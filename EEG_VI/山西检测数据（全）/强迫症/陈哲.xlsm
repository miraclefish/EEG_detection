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<sst xmlns="http://schemas.openxmlformats.org/spreadsheetml/2006/main" count="702" uniqueCount="577">
  <si>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</si>
  <si>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</si>
  <si>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</si>
  <si>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</si>
  <si>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</si>
  <si>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</si>
  <si>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</si>
  <si>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</si>
  <si>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</si>
  <si>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</si>
  <si>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</si>
  <si>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</si>
  <si>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</si>
  <si>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</si>
  <si>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</si>
  <si>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</si>
  <si>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</si>
  <si>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</si>
  <si>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</si>
  <si>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</si>
  <si>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</si>
  <si>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</si>
  <si>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</si>
  <si>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</si>
  <si>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</si>
  <si>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</si>
  <si>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</si>
  <si>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</si>
  <si>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</si>
  <si>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</si>
  <si>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</si>
  <si>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</si>
  <si>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</si>
  <si>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</si>
  <si>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</si>
  <si>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</si>
  <si>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</si>
  <si>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</si>
  <si>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</si>
  <si>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</si>
  <si>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</si>
  <si>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</si>
  <si>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</si>
  <si>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</si>
  <si>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</si>
  <si>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</si>
  <si>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</si>
  <si>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</si>
  <si>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</si>
  <si>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</si>
  <si>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</si>
  <si>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</si>
  <si>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</si>
  <si>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</si>
  <si>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</si>
  <si>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</si>
  <si>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</si>
  <si>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</si>
  <si>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</si>
  <si>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</si>
  <si>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</si>
  <si>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</si>
  <si>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</si>
  <si>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</si>
  <si>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</si>
  <si>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</si>
  <si>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</si>
  <si>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</si>
  <si>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</si>
  <si>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</si>
  <si>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</si>
  <si>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</si>
  <si>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</si>
  <si>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</si>
  <si>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</si>
  <si>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</si>
  <si>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</si>
  <si>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</si>
  <si>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</si>
  <si>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</si>
  <si>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</si>
  <si>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</si>
  <si>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</si>
  <si>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</si>
  <si>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</si>
  <si>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</si>
  <si>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</si>
  <si>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</si>
  <si>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</si>
  <si>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</si>
  <si>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</si>
  <si>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</si>
  <si>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</si>
  <si>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</si>
  <si>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</si>
  <si>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</si>
  <si>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</si>
  <si>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</si>
  <si>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</si>
  <si>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</si>
  <si>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</si>
  <si>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</si>
  <si>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</si>
  <si>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</si>
  <si>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</si>
  <si>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</si>
  <si>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</si>
  <si>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</si>
  <si>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</si>
  <si>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</si>
  <si>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</si>
  <si>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</si>
  <si>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</si>
  <si>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</si>
  <si>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</si>
  <si>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</si>
  <si>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</si>
  <si>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</si>
  <si>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</si>
  <si>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</si>
  <si>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</si>
  <si>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</si>
  <si>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</si>
  <si>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</si>
  <si>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</si>
  <si>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</si>
  <si>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</si>
  <si>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</si>
  <si>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</si>
  <si>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</si>
  <si>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</si>
  <si>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</si>
  <si>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</si>
  <si>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</si>
  <si>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</si>
  <si>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</si>
  <si>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</si>
  <si>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</si>
  <si>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</si>
  <si>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</si>
  <si>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</si>
  <si>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</si>
  <si>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</si>
  <si>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</si>
  <si>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</si>
  <si>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</si>
  <si>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</si>
  <si>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</si>
  <si>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</si>
  <si>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</si>
  <si>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</si>
  <si>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</si>
  <si>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</si>
  <si>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</si>
  <si>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</si>
  <si>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</si>
  <si>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</si>
  <si>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</si>
  <si>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</si>
  <si>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</si>
  <si>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</si>
  <si>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</si>
  <si>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</si>
  <si>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</si>
  <si>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</si>
  <si>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</si>
  <si>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</si>
  <si>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</si>
  <si>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</si>
  <si>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</si>
  <si>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</si>
  <si>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</si>
  <si>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</si>
  <si>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</si>
  <si>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</si>
  <si>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</si>
  <si>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</si>
  <si>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</si>
  <si>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</si>
  <si>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</si>
  <si>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</si>
  <si>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</si>
  <si>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</si>
  <si>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</si>
  <si>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</si>
  <si>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</si>
  <si>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</si>
  <si>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</si>
  <si>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</si>
  <si>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</si>
  <si>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</si>
  <si>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</si>
  <si>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</si>
  <si>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</si>
  <si>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</si>
  <si>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</si>
  <si>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</si>
  <si>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</si>
  <si>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</si>
  <si>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</si>
  <si>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</si>
  <si>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</si>
  <si>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</si>
  <si>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</si>
  <si>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</si>
  <si>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</si>
  <si>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</si>
  <si>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</si>
  <si>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</si>
  <si>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</si>
  <si>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</si>
  <si>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</si>
  <si>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</si>
  <si>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</si>
  <si>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</si>
  <si>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</si>
  <si>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</si>
  <si>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</si>
  <si>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</si>
  <si>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</si>
  <si>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</si>
  <si>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</si>
  <si>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</si>
  <si>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</si>
  <si>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</si>
  <si>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</si>
  <si>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</si>
  <si>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</si>
  <si>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</si>
  <si>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</si>
  <si>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</si>
  <si>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</si>
  <si>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</si>
  <si>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</si>
  <si>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</si>
  <si>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</si>
  <si>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</si>
  <si>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</si>
  <si>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</si>
  <si>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</si>
  <si>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</si>
  <si>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</si>
  <si>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</si>
  <si>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</si>
  <si>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</si>
  <si>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</si>
  <si>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</si>
  <si>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</si>
  <si>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</si>
  <si>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</si>
  <si>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</si>
  <si>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</si>
  <si>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</si>
  <si>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</si>
  <si>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</si>
  <si>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</si>
  <si>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</si>
  <si>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</si>
  <si>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</si>
  <si>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</si>
  <si>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</si>
  <si>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</si>
  <si>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</si>
  <si>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</si>
  <si>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</si>
  <si>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</si>
  <si>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</si>
  <si>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</si>
  <si>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</si>
  <si>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</si>
  <si>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</si>
  <si>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</si>
  <si>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</si>
  <si>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</si>
  <si>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</si>
  <si>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</si>
  <si>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</si>
  <si>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</si>
  <si>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</si>
  <si>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</si>
  <si>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</si>
  <si>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</si>
  <si>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</si>
  <si>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</si>
  <si>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</si>
  <si>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</si>
  <si>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</si>
  <si>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</si>
  <si>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</si>
  <si>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</si>
  <si>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</si>
  <si>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</si>
  <si>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</si>
  <si>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</si>
  <si>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</si>
  <si>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</si>
  <si>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</si>
  <si>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</si>
  <si>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</si>
  <si>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</si>
  <si>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</si>
  <si>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</si>
  <si>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</si>
  <si>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</si>
  <si>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</si>
  <si>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</si>
  <si>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</si>
  <si>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</si>
  <si>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</si>
  <si>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</si>
  <si>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</si>
  <si>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</si>
  <si>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</si>
  <si>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</si>
  <si>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</si>
  <si>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</si>
  <si>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</si>
  <si>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</si>
  <si>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</si>
  <si>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</si>
  <si>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</si>
  <si>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</si>
  <si>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</si>
  <si>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</si>
  <si>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</si>
  <si>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</si>
  <si>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</si>
  <si>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</si>
  <si>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</si>
  <si>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</si>
  <si>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</si>
  <si>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</si>
  <si>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</si>
  <si>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</si>
  <si>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</si>
  <si>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</si>
  <si>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</si>
  <si>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</si>
  <si>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</si>
  <si>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</si>
  <si>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</si>
  <si>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</si>
  <si>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</si>
  <si>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</si>
  <si>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</si>
  <si>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</si>
  <si>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</si>
  <si>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</si>
  <si>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</si>
  <si>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</si>
  <si>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</si>
  <si>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</si>
  <si>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</si>
  <si>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</si>
  <si>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</si>
  <si>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</si>
  <si>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</si>
  <si>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</si>
  <si>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</si>
  <si>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</si>
  <si>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</si>
  <si>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</si>
  <si>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</si>
  <si>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</si>
  <si>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</si>
  <si>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</si>
  <si>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</si>
  <si>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</si>
  <si>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</si>
  <si>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</si>
  <si>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</si>
  <si>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</si>
  <si>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</si>
  <si>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</si>
  <si>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</si>
  <si>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</si>
  <si>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</si>
  <si>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</si>
  <si>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</si>
  <si>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</si>
  <si>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</si>
  <si>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</si>
  <si>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</si>
  <si>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</si>
  <si>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</si>
  <si>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</si>
  <si>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</si>
  <si>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</si>
  <si>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</si>
  <si>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</si>
  <si>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</si>
  <si>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</si>
  <si>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</si>
  <si>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</si>
  <si>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</si>
  <si>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</si>
  <si>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</si>
  <si>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</si>
  <si>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</si>
  <si>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</si>
  <si>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</si>
  <si>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压力(P6)</t>
    <phoneticPr fontId="29" type="noConversion"/>
  </si>
  <si>
    <t>神经质或情绪不稳定(F9)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</si>
  <si>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</si>
  <si>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</si>
  <si>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</si>
  <si>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</si>
  <si>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</si>
  <si>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</si>
  <si>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</si>
  <si>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</si>
  <si>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</si>
  <si>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</si>
  <si>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[0.383249]</t>
  </si>
  <si>
    <t>1 [0.787999]</t>
  </si>
  <si>
    <t>1 [1.197840]</t>
  </si>
  <si>
    <t>1 [1.620741]</t>
  </si>
  <si>
    <t>1 [2.003213]</t>
  </si>
  <si>
    <t>1 [2.415606]</t>
  </si>
  <si>
    <t>1 [2.824460]</t>
  </si>
  <si>
    <t>1 [3.221425]</t>
  </si>
  <si>
    <t>1 [3.632694]</t>
  </si>
  <si>
    <t>1 [4.039284]</t>
  </si>
  <si>
    <t>1 [4.442126]</t>
  </si>
  <si>
    <t>1 [4.851064]</t>
  </si>
  <si>
    <t>1 [5.256997]</t>
  </si>
  <si>
    <t>1 [5.664700]</t>
  </si>
  <si>
    <t>1 [6.071784]</t>
  </si>
  <si>
    <t>1 [6.476815]</t>
  </si>
  <si>
    <t>1 [6.884616]</t>
  </si>
  <si>
    <t>1 [7.287551]</t>
  </si>
  <si>
    <t>1 [7.693901]</t>
  </si>
  <si>
    <t>1 [8.102412]</t>
  </si>
  <si>
    <t>1 [8.508283]</t>
  </si>
  <si>
    <t>1 [8.911874]</t>
  </si>
  <si>
    <t>1 [9.319201]</t>
  </si>
  <si>
    <t>1 [9.724098]</t>
  </si>
  <si>
    <t>1 [10.129011]</t>
  </si>
  <si>
    <t>1 [10.535485]</t>
  </si>
  <si>
    <t>1 [10.940356]</t>
  </si>
  <si>
    <t>1 [11.352814]</t>
  </si>
  <si>
    <t>1 [11.759569]</t>
  </si>
  <si>
    <t>1 [12.166595]</t>
  </si>
  <si>
    <t>1 [12.568440]</t>
  </si>
  <si>
    <t>1 [12.974369]</t>
  </si>
  <si>
    <t>1 [13.383262]</t>
  </si>
  <si>
    <t>1 [13.788257]</t>
  </si>
  <si>
    <t>1 [14.211883]</t>
  </si>
  <si>
    <t>1 [14.605651]</t>
  </si>
  <si>
    <t>1 [15.009376]</t>
  </si>
  <si>
    <t>1 [15.408276]</t>
  </si>
  <si>
    <t>1 [15.817093]</t>
  </si>
  <si>
    <t>1 [16.227851]</t>
  </si>
  <si>
    <t>1 [16.632832]</t>
  </si>
  <si>
    <t>1 [17.034892]</t>
  </si>
  <si>
    <t>1 [17.442665]</t>
  </si>
  <si>
    <t>1 [17.849624]</t>
  </si>
  <si>
    <t>1 [18.280462]</t>
  </si>
  <si>
    <t>1 [18.658599]</t>
  </si>
  <si>
    <t>1 [19.072310]</t>
  </si>
  <si>
    <t>1 [19.476330]</t>
  </si>
  <si>
    <t>1 [19.882151]</t>
  </si>
  <si>
    <t>1 [20.285117]</t>
  </si>
  <si>
    <t>1 [20.694103]</t>
  </si>
  <si>
    <t>1 [21.100915]</t>
  </si>
  <si>
    <t>1 [21.503072]</t>
  </si>
  <si>
    <t>1 [21.912688]</t>
  </si>
  <si>
    <t>1 [22.318634]</t>
  </si>
  <si>
    <t>1 [22.720781]</t>
  </si>
  <si>
    <t>1 [23.132505]</t>
  </si>
  <si>
    <t>1 [23.537550]</t>
  </si>
  <si>
    <t>1 [23.945279]</t>
  </si>
  <si>
    <t>1 [24.349441]</t>
  </si>
  <si>
    <t>1 [24.755309]</t>
  </si>
  <si>
    <t>1 [25.162666]</t>
  </si>
  <si>
    <t>1 [25.570108]</t>
  </si>
  <si>
    <t>1 [25.975601]</t>
  </si>
  <si>
    <t>1 [26.380160]</t>
  </si>
  <si>
    <t>1 [26.787990]</t>
  </si>
  <si>
    <t>1 [27.189887]</t>
  </si>
  <si>
    <t>1 [27.599991]</t>
  </si>
  <si>
    <t>1 [28.004031]</t>
  </si>
  <si>
    <t>1 [28.411685]</t>
  </si>
  <si>
    <t>1 [28.818528]</t>
  </si>
  <si>
    <t>1 [29.221556]</t>
  </si>
  <si>
    <t>1 [29.631472]</t>
  </si>
  <si>
    <t>1 [30.034872]</t>
  </si>
  <si>
    <t>2 [30.472105]</t>
  </si>
  <si>
    <t>2 [30.880707]</t>
  </si>
  <si>
    <t>2 [31.287867]</t>
  </si>
  <si>
    <t>2 [31.694068]</t>
  </si>
  <si>
    <t>2 [32.101779]</t>
  </si>
  <si>
    <t>2 [32.505678]</t>
  </si>
  <si>
    <t>2 [32.910697]</t>
  </si>
  <si>
    <t>2 [33.318594]</t>
  </si>
  <si>
    <t>2 [33.723568]</t>
  </si>
  <si>
    <t>2 [34.133349]</t>
  </si>
  <si>
    <t>2 [34.534301]</t>
  </si>
  <si>
    <t>2 [34.944352]</t>
  </si>
  <si>
    <t>2 [35.348521]</t>
  </si>
  <si>
    <t>2 [35.753699]</t>
  </si>
  <si>
    <t>2 [36.162913]</t>
  </si>
  <si>
    <t>2 [36.569769]</t>
  </si>
  <si>
    <t>2 [36.973739]</t>
  </si>
  <si>
    <t>2 [37.379693]</t>
  </si>
  <si>
    <t>2 [37.785480]</t>
  </si>
  <si>
    <t>2 [38.192637]</t>
  </si>
  <si>
    <t>2 [38.602327]</t>
  </si>
  <si>
    <t>2 [39.005606]</t>
  </si>
  <si>
    <t>2 [39.414163]</t>
  </si>
  <si>
    <t>2 [39.819262]</t>
  </si>
  <si>
    <t>2 [40.222145]</t>
  </si>
  <si>
    <t>2 [40.633948]</t>
  </si>
  <si>
    <t>2 [41.040873]</t>
  </si>
  <si>
    <t>2 [41.444709]</t>
  </si>
  <si>
    <t>2 [41.849759]</t>
  </si>
  <si>
    <t>2 [42.256823]</t>
  </si>
  <si>
    <t>2 [42.665468]</t>
  </si>
  <si>
    <t>2 [43.072434]</t>
  </si>
  <si>
    <t>2 [43.474365]</t>
  </si>
  <si>
    <t>2 [43.881207]</t>
  </si>
  <si>
    <t>2 [44.287274]</t>
  </si>
  <si>
    <t>2 [44.692004]</t>
  </si>
  <si>
    <t>2 [45.099964]</t>
  </si>
  <si>
    <t>2 [45.505037]</t>
  </si>
  <si>
    <t>2 [45.913775]</t>
  </si>
  <si>
    <t>2 [46.318324]</t>
  </si>
  <si>
    <t>2 [46.723638]</t>
  </si>
  <si>
    <t>2 [47.128553]</t>
  </si>
  <si>
    <t>2 [47.537399]</t>
  </si>
  <si>
    <t>2 [47.940310]</t>
  </si>
  <si>
    <t>2 [48.353455]</t>
  </si>
  <si>
    <t>2 [48.758219]</t>
  </si>
  <si>
    <t>2 [49.162061]</t>
  </si>
  <si>
    <t>2 [49.569265]</t>
  </si>
  <si>
    <t>2 [49.976996]</t>
  </si>
  <si>
    <t>2 [50.382920]</t>
  </si>
  <si>
    <t>2 [50.788744]</t>
  </si>
  <si>
    <t>2 [51.191788]</t>
  </si>
  <si>
    <t>2 [51.597732]</t>
  </si>
  <si>
    <t>2 [52.003633]</t>
  </si>
  <si>
    <t>2 [52.410396]</t>
  </si>
  <si>
    <t>2 [52.819508]</t>
  </si>
  <si>
    <t>2 [53.225204]</t>
  </si>
  <si>
    <t>2 [53.634167]</t>
  </si>
  <si>
    <t>2 [54.039111]</t>
  </si>
  <si>
    <t>2 [54.444985]</t>
  </si>
  <si>
    <t>2 [54.850956]</t>
  </si>
  <si>
    <t>2 [55.259866]</t>
  </si>
  <si>
    <t>2 [55.662744]</t>
  </si>
  <si>
    <t>2 [56.070754]</t>
  </si>
  <si>
    <t>2 [56.472677]</t>
  </si>
  <si>
    <t>2 [56.878562]</t>
  </si>
  <si>
    <t>2 [57.289390]</t>
  </si>
  <si>
    <t>2 [57.696420]</t>
  </si>
  <si>
    <t>2 [58.101145]</t>
  </si>
  <si>
    <t>2 [58.503394]</t>
  </si>
  <si>
    <t>2 [58.912974]</t>
  </si>
  <si>
    <t>2 [59.315957]</t>
  </si>
  <si>
    <t>2 [59.722866]</t>
  </si>
  <si>
    <t>2 [60.132756]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</si>
  <si>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</si>
  <si>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</si>
  <si>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</si>
  <si>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</si>
  <si>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</si>
  <si>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</si>
  <si>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</si>
  <si>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</si>
  <si>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</si>
  <si>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</si>
  <si>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</si>
  <si>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</si>
  <si>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</si>
  <si>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</si>
  <si>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</si>
  <si>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陈哲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</si>
</sst>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51.902000000000001</c:v>
                </c:pt>
                <c:pt idx="1">
                  <c:v>35.081099999999999</c:v>
                </c:pt>
                <c:pt idx="2">
                  <c:v>29.772300000000001</c:v>
                </c:pt>
                <c:pt idx="3">
                  <c:v>38.8673</c:v>
                </c:pt>
                <c:pt idx="4">
                  <c:v>55.824399999999997</c:v>
                </c:pt>
                <c:pt idx="5">
                  <c:v>64.285200000000003</c:v>
                </c:pt>
                <c:pt idx="6">
                  <c:v>23.216899999999999</c:v>
                </c:pt>
                <c:pt idx="7">
                  <c:v>59.455399999999997</c:v>
                </c:pt>
                <c:pt idx="8">
                  <c:v>20.901</c:v>
                </c:pt>
                <c:pt idx="9">
                  <c:v>25.704000000000001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0.44901537727079682</c:v>
                </c:pt>
                <c:pt idx="1">
                  <c:v>0.34459182674785094</c:v>
                </c:pt>
                <c:pt idx="2">
                  <c:v>0.20639279598135227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24763</c:v>
                </c:pt>
                <c:pt idx="7">
                  <c:v>0</c:v>
                </c:pt>
                <c:pt idx="8">
                  <c:v>27251</c:v>
                </c:pt>
                <c:pt idx="9">
                  <c:v>0</c:v>
                </c:pt>
                <c:pt idx="10">
                  <c:v>0</c:v>
                </c:pt>
                <c:pt idx="11">
                  <c:v>27215</c:v>
                </c:pt>
                <c:pt idx="12">
                  <c:v>0</c:v>
                </c:pt>
                <c:pt idx="13">
                  <c:v>35092</c:v>
                </c:pt>
                <c:pt idx="14">
                  <c:v>0</c:v>
                </c:pt>
                <c:pt idx="15">
                  <c:v>0</c:v>
                </c:pt>
                <c:pt idx="16">
                  <c:v>37437</c:v>
                </c:pt>
                <c:pt idx="17">
                  <c:v>0</c:v>
                </c:pt>
                <c:pt idx="18">
                  <c:v>0</c:v>
                </c:pt>
                <c:pt idx="19">
                  <c:v>42710</c:v>
                </c:pt>
                <c:pt idx="20">
                  <c:v>0</c:v>
                </c:pt>
                <c:pt idx="21">
                  <c:v>47443</c:v>
                </c:pt>
                <c:pt idx="22">
                  <c:v>0</c:v>
                </c:pt>
                <c:pt idx="23">
                  <c:v>0</c:v>
                </c:pt>
                <c:pt idx="24">
                  <c:v>49056</c:v>
                </c:pt>
                <c:pt idx="25">
                  <c:v>0</c:v>
                </c:pt>
                <c:pt idx="26">
                  <c:v>52285</c:v>
                </c:pt>
                <c:pt idx="27">
                  <c:v>0</c:v>
                </c:pt>
                <c:pt idx="28">
                  <c:v>0</c:v>
                </c:pt>
                <c:pt idx="29">
                  <c:v>55521</c:v>
                </c:pt>
                <c:pt idx="30">
                  <c:v>0</c:v>
                </c:pt>
                <c:pt idx="31">
                  <c:v>59413</c:v>
                </c:pt>
                <c:pt idx="32">
                  <c:v>0</c:v>
                </c:pt>
                <c:pt idx="33">
                  <c:v>0</c:v>
                </c:pt>
                <c:pt idx="34">
                  <c:v>63536</c:v>
                </c:pt>
                <c:pt idx="35">
                  <c:v>0</c:v>
                </c:pt>
                <c:pt idx="36">
                  <c:v>0</c:v>
                </c:pt>
                <c:pt idx="37">
                  <c:v>63919</c:v>
                </c:pt>
                <c:pt idx="38">
                  <c:v>0</c:v>
                </c:pt>
                <c:pt idx="39">
                  <c:v>63352</c:v>
                </c:pt>
                <c:pt idx="40">
                  <c:v>0</c:v>
                </c:pt>
                <c:pt idx="41">
                  <c:v>0</c:v>
                </c:pt>
                <c:pt idx="42">
                  <c:v>70699</c:v>
                </c:pt>
                <c:pt idx="43">
                  <c:v>0</c:v>
                </c:pt>
                <c:pt idx="44">
                  <c:v>67614</c:v>
                </c:pt>
                <c:pt idx="45">
                  <c:v>0</c:v>
                </c:pt>
                <c:pt idx="46">
                  <c:v>0</c:v>
                </c:pt>
                <c:pt idx="47">
                  <c:v>70265</c:v>
                </c:pt>
                <c:pt idx="48">
                  <c:v>0</c:v>
                </c:pt>
                <c:pt idx="49">
                  <c:v>72269</c:v>
                </c:pt>
                <c:pt idx="50">
                  <c:v>0</c:v>
                </c:pt>
                <c:pt idx="51">
                  <c:v>0</c:v>
                </c:pt>
                <c:pt idx="52">
                  <c:v>69460</c:v>
                </c:pt>
                <c:pt idx="53">
                  <c:v>0</c:v>
                </c:pt>
                <c:pt idx="54">
                  <c:v>0</c:v>
                </c:pt>
                <c:pt idx="55">
                  <c:v>69289</c:v>
                </c:pt>
                <c:pt idx="56">
                  <c:v>0</c:v>
                </c:pt>
                <c:pt idx="57">
                  <c:v>66151</c:v>
                </c:pt>
                <c:pt idx="58">
                  <c:v>0</c:v>
                </c:pt>
                <c:pt idx="59">
                  <c:v>0</c:v>
                </c:pt>
                <c:pt idx="60">
                  <c:v>68676</c:v>
                </c:pt>
                <c:pt idx="61">
                  <c:v>0</c:v>
                </c:pt>
                <c:pt idx="62">
                  <c:v>77174</c:v>
                </c:pt>
                <c:pt idx="63">
                  <c:v>0</c:v>
                </c:pt>
                <c:pt idx="64">
                  <c:v>0</c:v>
                </c:pt>
                <c:pt idx="65">
                  <c:v>79992</c:v>
                </c:pt>
                <c:pt idx="66">
                  <c:v>0</c:v>
                </c:pt>
                <c:pt idx="67">
                  <c:v>78372</c:v>
                </c:pt>
                <c:pt idx="68">
                  <c:v>0</c:v>
                </c:pt>
                <c:pt idx="69">
                  <c:v>0</c:v>
                </c:pt>
                <c:pt idx="70">
                  <c:v>85162</c:v>
                </c:pt>
                <c:pt idx="71">
                  <c:v>0</c:v>
                </c:pt>
                <c:pt idx="72">
                  <c:v>0</c:v>
                </c:pt>
                <c:pt idx="73">
                  <c:v>93548</c:v>
                </c:pt>
                <c:pt idx="74">
                  <c:v>0</c:v>
                </c:pt>
                <c:pt idx="75">
                  <c:v>101154</c:v>
                </c:pt>
                <c:pt idx="76">
                  <c:v>0</c:v>
                </c:pt>
                <c:pt idx="77">
                  <c:v>0</c:v>
                </c:pt>
                <c:pt idx="78">
                  <c:v>107747</c:v>
                </c:pt>
                <c:pt idx="79">
                  <c:v>0</c:v>
                </c:pt>
                <c:pt idx="80">
                  <c:v>115012</c:v>
                </c:pt>
                <c:pt idx="81">
                  <c:v>0</c:v>
                </c:pt>
                <c:pt idx="82">
                  <c:v>0</c:v>
                </c:pt>
                <c:pt idx="83">
                  <c:v>118908</c:v>
                </c:pt>
                <c:pt idx="84">
                  <c:v>0</c:v>
                </c:pt>
                <c:pt idx="85">
                  <c:v>0</c:v>
                </c:pt>
                <c:pt idx="86">
                  <c:v>110029</c:v>
                </c:pt>
                <c:pt idx="87">
                  <c:v>0</c:v>
                </c:pt>
                <c:pt idx="88">
                  <c:v>116420</c:v>
                </c:pt>
                <c:pt idx="89">
                  <c:v>0</c:v>
                </c:pt>
                <c:pt idx="90">
                  <c:v>0</c:v>
                </c:pt>
                <c:pt idx="91">
                  <c:v>113380</c:v>
                </c:pt>
                <c:pt idx="92">
                  <c:v>0</c:v>
                </c:pt>
                <c:pt idx="93">
                  <c:v>118766</c:v>
                </c:pt>
                <c:pt idx="94">
                  <c:v>0</c:v>
                </c:pt>
                <c:pt idx="95">
                  <c:v>0</c:v>
                </c:pt>
                <c:pt idx="96">
                  <c:v>119164</c:v>
                </c:pt>
                <c:pt idx="97">
                  <c:v>0</c:v>
                </c:pt>
                <c:pt idx="98">
                  <c:v>119302</c:v>
                </c:pt>
                <c:pt idx="99">
                  <c:v>0</c:v>
                </c:pt>
                <c:pt idx="100">
                  <c:v>0</c:v>
                </c:pt>
                <c:pt idx="101">
                  <c:v>117438</c:v>
                </c:pt>
                <c:pt idx="102">
                  <c:v>0</c:v>
                </c:pt>
                <c:pt idx="103">
                  <c:v>0</c:v>
                </c:pt>
                <c:pt idx="104">
                  <c:v>116888</c:v>
                </c:pt>
                <c:pt idx="105">
                  <c:v>0</c:v>
                </c:pt>
                <c:pt idx="106">
                  <c:v>115590</c:v>
                </c:pt>
                <c:pt idx="107">
                  <c:v>0</c:v>
                </c:pt>
                <c:pt idx="108">
                  <c:v>0</c:v>
                </c:pt>
                <c:pt idx="109">
                  <c:v>118880</c:v>
                </c:pt>
                <c:pt idx="110">
                  <c:v>0</c:v>
                </c:pt>
                <c:pt idx="111">
                  <c:v>126161</c:v>
                </c:pt>
                <c:pt idx="112">
                  <c:v>0</c:v>
                </c:pt>
                <c:pt idx="113">
                  <c:v>0</c:v>
                </c:pt>
                <c:pt idx="114">
                  <c:v>127991</c:v>
                </c:pt>
                <c:pt idx="115">
                  <c:v>0</c:v>
                </c:pt>
                <c:pt idx="116">
                  <c:v>122813</c:v>
                </c:pt>
                <c:pt idx="117">
                  <c:v>0</c:v>
                </c:pt>
                <c:pt idx="118">
                  <c:v>0</c:v>
                </c:pt>
                <c:pt idx="119">
                  <c:v>126230</c:v>
                </c:pt>
                <c:pt idx="120">
                  <c:v>0</c:v>
                </c:pt>
                <c:pt idx="121">
                  <c:v>0</c:v>
                </c:pt>
                <c:pt idx="122">
                  <c:v>118569</c:v>
                </c:pt>
                <c:pt idx="123">
                  <c:v>0</c:v>
                </c:pt>
                <c:pt idx="124">
                  <c:v>118881</c:v>
                </c:pt>
                <c:pt idx="125">
                  <c:v>0</c:v>
                </c:pt>
                <c:pt idx="126">
                  <c:v>0</c:v>
                </c:pt>
                <c:pt idx="127">
                  <c:v>118636</c:v>
                </c:pt>
                <c:pt idx="128">
                  <c:v>0</c:v>
                </c:pt>
                <c:pt idx="129">
                  <c:v>114501</c:v>
                </c:pt>
                <c:pt idx="130">
                  <c:v>0</c:v>
                </c:pt>
                <c:pt idx="131">
                  <c:v>0</c:v>
                </c:pt>
                <c:pt idx="132">
                  <c:v>112701</c:v>
                </c:pt>
                <c:pt idx="133">
                  <c:v>0</c:v>
                </c:pt>
                <c:pt idx="134">
                  <c:v>117965</c:v>
                </c:pt>
                <c:pt idx="135">
                  <c:v>0</c:v>
                </c:pt>
                <c:pt idx="136">
                  <c:v>0</c:v>
                </c:pt>
                <c:pt idx="137">
                  <c:v>113071</c:v>
                </c:pt>
                <c:pt idx="138">
                  <c:v>0</c:v>
                </c:pt>
                <c:pt idx="139">
                  <c:v>0</c:v>
                </c:pt>
                <c:pt idx="140">
                  <c:v>100190</c:v>
                </c:pt>
                <c:pt idx="141">
                  <c:v>0</c:v>
                </c:pt>
                <c:pt idx="142">
                  <c:v>100260</c:v>
                </c:pt>
                <c:pt idx="143">
                  <c:v>0</c:v>
                </c:pt>
                <c:pt idx="144">
                  <c:v>0</c:v>
                </c:pt>
                <c:pt idx="145">
                  <c:v>94318</c:v>
                </c:pt>
                <c:pt idx="146">
                  <c:v>0</c:v>
                </c:pt>
                <c:pt idx="147">
                  <c:v>95013</c:v>
                </c:pt>
                <c:pt idx="148">
                  <c:v>0</c:v>
                </c:pt>
                <c:pt idx="149">
                  <c:v>0</c:v>
                </c:pt>
                <c:pt idx="150">
                  <c:v>83472</c:v>
                </c:pt>
                <c:pt idx="151">
                  <c:v>0</c:v>
                </c:pt>
                <c:pt idx="152">
                  <c:v>76041</c:v>
                </c:pt>
                <c:pt idx="153">
                  <c:v>0</c:v>
                </c:pt>
                <c:pt idx="154">
                  <c:v>0</c:v>
                </c:pt>
                <c:pt idx="155">
                  <c:v>72225</c:v>
                </c:pt>
                <c:pt idx="156">
                  <c:v>0</c:v>
                </c:pt>
                <c:pt idx="157">
                  <c:v>0</c:v>
                </c:pt>
                <c:pt idx="158">
                  <c:v>67727</c:v>
                </c:pt>
                <c:pt idx="159">
                  <c:v>0</c:v>
                </c:pt>
                <c:pt idx="160">
                  <c:v>57157</c:v>
                </c:pt>
                <c:pt idx="161">
                  <c:v>0</c:v>
                </c:pt>
                <c:pt idx="162">
                  <c:v>0</c:v>
                </c:pt>
                <c:pt idx="163">
                  <c:v>51940</c:v>
                </c:pt>
                <c:pt idx="164">
                  <c:v>0</c:v>
                </c:pt>
                <c:pt idx="165">
                  <c:v>47698</c:v>
                </c:pt>
                <c:pt idx="166">
                  <c:v>0</c:v>
                </c:pt>
                <c:pt idx="167">
                  <c:v>0</c:v>
                </c:pt>
                <c:pt idx="168">
                  <c:v>41750</c:v>
                </c:pt>
                <c:pt idx="169">
                  <c:v>0</c:v>
                </c:pt>
                <c:pt idx="170">
                  <c:v>0</c:v>
                </c:pt>
                <c:pt idx="171">
                  <c:v>32649</c:v>
                </c:pt>
                <c:pt idx="172">
                  <c:v>0</c:v>
                </c:pt>
                <c:pt idx="173">
                  <c:v>21829</c:v>
                </c:pt>
                <c:pt idx="174">
                  <c:v>0</c:v>
                </c:pt>
                <c:pt idx="175">
                  <c:v>0</c:v>
                </c:pt>
                <c:pt idx="176">
                  <c:v>16474</c:v>
                </c:pt>
                <c:pt idx="177">
                  <c:v>0</c:v>
                </c:pt>
                <c:pt idx="178">
                  <c:v>12501</c:v>
                </c:pt>
                <c:pt idx="179">
                  <c:v>0</c:v>
                </c:pt>
                <c:pt idx="180">
                  <c:v>0</c:v>
                </c:pt>
                <c:pt idx="181">
                  <c:v>8645</c:v>
                </c:pt>
                <c:pt idx="182">
                  <c:v>0</c:v>
                </c:pt>
                <c:pt idx="183">
                  <c:v>6028</c:v>
                </c:pt>
                <c:pt idx="184">
                  <c:v>0</c:v>
                </c:pt>
                <c:pt idx="185">
                  <c:v>0</c:v>
                </c:pt>
                <c:pt idx="186">
                  <c:v>4088</c:v>
                </c:pt>
                <c:pt idx="187">
                  <c:v>0</c:v>
                </c:pt>
                <c:pt idx="188">
                  <c:v>0</c:v>
                </c:pt>
                <c:pt idx="189">
                  <c:v>1837</c:v>
                </c:pt>
                <c:pt idx="190">
                  <c:v>0</c:v>
                </c:pt>
                <c:pt idx="191">
                  <c:v>520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  <c:pt idx="75">
                  <c:v>3.6386200000000004</c:v>
                </c:pt>
                <c:pt idx="76">
                  <c:v>3.6326000000000001</c:v>
                </c:pt>
                <c:pt idx="77">
                  <c:v>3.62981</c:v>
                </c:pt>
                <c:pt idx="78">
                  <c:v>3.6257000000000001</c:v>
                </c:pt>
                <c:pt idx="79">
                  <c:v>3.62439</c:v>
                </c:pt>
                <c:pt idx="80">
                  <c:v>3.6238999999999999</c:v>
                </c:pt>
                <c:pt idx="81">
                  <c:v>3.6245599999999998</c:v>
                </c:pt>
                <c:pt idx="82">
                  <c:v>3.6286200000000002</c:v>
                </c:pt>
                <c:pt idx="83">
                  <c:v>3.6385800000000001</c:v>
                </c:pt>
                <c:pt idx="84">
                  <c:v>3.6516900000000003</c:v>
                </c:pt>
                <c:pt idx="85">
                  <c:v>3.6672799999999999</c:v>
                </c:pt>
                <c:pt idx="86">
                  <c:v>3.6817199999999999</c:v>
                </c:pt>
                <c:pt idx="87">
                  <c:v>3.69739</c:v>
                </c:pt>
                <c:pt idx="88">
                  <c:v>3.7171900000000004</c:v>
                </c:pt>
                <c:pt idx="89">
                  <c:v>3.7424900000000001</c:v>
                </c:pt>
                <c:pt idx="90">
                  <c:v>3.77311</c:v>
                </c:pt>
                <c:pt idx="91">
                  <c:v>3.8046000000000002</c:v>
                </c:pt>
                <c:pt idx="92">
                  <c:v>3.83657</c:v>
                </c:pt>
                <c:pt idx="93">
                  <c:v>3.86917</c:v>
                </c:pt>
                <c:pt idx="94">
                  <c:v>3.9027000000000003</c:v>
                </c:pt>
                <c:pt idx="95">
                  <c:v>3.93675</c:v>
                </c:pt>
                <c:pt idx="96">
                  <c:v>3.9657300000000002</c:v>
                </c:pt>
                <c:pt idx="97">
                  <c:v>3.98706</c:v>
                </c:pt>
                <c:pt idx="98">
                  <c:v>4.0104699999999998</c:v>
                </c:pt>
                <c:pt idx="99">
                  <c:v>4.0372200000000005</c:v>
                </c:pt>
                <c:pt idx="100">
                  <c:v>4.0619100000000001</c:v>
                </c:pt>
                <c:pt idx="101">
                  <c:v>4.0914299999999999</c:v>
                </c:pt>
                <c:pt idx="102">
                  <c:v>4.1197600000000003</c:v>
                </c:pt>
                <c:pt idx="103">
                  <c:v>4.1472999999999995</c:v>
                </c:pt>
                <c:pt idx="104">
                  <c:v>4.1760599999999997</c:v>
                </c:pt>
                <c:pt idx="105">
                  <c:v>4.2066400000000002</c:v>
                </c:pt>
                <c:pt idx="106">
                  <c:v>4.2405299999999997</c:v>
                </c:pt>
                <c:pt idx="107">
                  <c:v>4.2744499999999999</c:v>
                </c:pt>
                <c:pt idx="108">
                  <c:v>4.3024100000000001</c:v>
                </c:pt>
                <c:pt idx="109">
                  <c:v>4.3292799999999998</c:v>
                </c:pt>
                <c:pt idx="110">
                  <c:v>4.3519600000000001</c:v>
                </c:pt>
                <c:pt idx="111">
                  <c:v>4.3745899999999995</c:v>
                </c:pt>
                <c:pt idx="112">
                  <c:v>4.3993099999999998</c:v>
                </c:pt>
                <c:pt idx="113">
                  <c:v>4.4231300000000005</c:v>
                </c:pt>
                <c:pt idx="114">
                  <c:v>4.4459799999999996</c:v>
                </c:pt>
                <c:pt idx="115">
                  <c:v>4.4662800000000002</c:v>
                </c:pt>
                <c:pt idx="116">
                  <c:v>4.48529</c:v>
                </c:pt>
                <c:pt idx="117">
                  <c:v>4.5015000000000001</c:v>
                </c:pt>
                <c:pt idx="118">
                  <c:v>4.5109700000000004</c:v>
                </c:pt>
                <c:pt idx="119">
                  <c:v>4.5155000000000003</c:v>
                </c:pt>
                <c:pt idx="120">
                  <c:v>4.51424</c:v>
                </c:pt>
                <c:pt idx="121">
                  <c:v>4.5110799999999998</c:v>
                </c:pt>
                <c:pt idx="122">
                  <c:v>4.5072999999999999</c:v>
                </c:pt>
                <c:pt idx="123">
                  <c:v>4.5015999999999998</c:v>
                </c:pt>
                <c:pt idx="124">
                  <c:v>4.5008599999999994</c:v>
                </c:pt>
                <c:pt idx="125">
                  <c:v>4.5082800000000001</c:v>
                </c:pt>
                <c:pt idx="126">
                  <c:v>4.5118799999999997</c:v>
                </c:pt>
                <c:pt idx="127">
                  <c:v>4.5151700000000003</c:v>
                </c:pt>
                <c:pt idx="128">
                  <c:v>4.5175700000000001</c:v>
                </c:pt>
                <c:pt idx="129">
                  <c:v>4.5172699999999999</c:v>
                </c:pt>
                <c:pt idx="130">
                  <c:v>4.5151700000000003</c:v>
                </c:pt>
                <c:pt idx="131">
                  <c:v>4.5078300000000002</c:v>
                </c:pt>
                <c:pt idx="132">
                  <c:v>4.4965999999999999</c:v>
                </c:pt>
                <c:pt idx="133">
                  <c:v>4.48787</c:v>
                </c:pt>
                <c:pt idx="134">
                  <c:v>4.4798299999999998</c:v>
                </c:pt>
                <c:pt idx="135">
                  <c:v>4.4758199999999997</c:v>
                </c:pt>
                <c:pt idx="136">
                  <c:v>4.4695600000000004</c:v>
                </c:pt>
                <c:pt idx="137">
                  <c:v>4.45702</c:v>
                </c:pt>
                <c:pt idx="138">
                  <c:v>4.4390700000000001</c:v>
                </c:pt>
                <c:pt idx="139">
                  <c:v>4.4138599999999997</c:v>
                </c:pt>
                <c:pt idx="140">
                  <c:v>4.3818200000000003</c:v>
                </c:pt>
                <c:pt idx="141">
                  <c:v>4.3435000000000006</c:v>
                </c:pt>
                <c:pt idx="142">
                  <c:v>4.3006000000000002</c:v>
                </c:pt>
                <c:pt idx="143">
                  <c:v>4.26281</c:v>
                </c:pt>
                <c:pt idx="144">
                  <c:v>4.2204899999999999</c:v>
                </c:pt>
                <c:pt idx="145">
                  <c:v>4.1872799999999994</c:v>
                </c:pt>
                <c:pt idx="146">
                  <c:v>4.1639799999999996</c:v>
                </c:pt>
                <c:pt idx="147">
                  <c:v>4.1628600000000002</c:v>
                </c:pt>
                <c:pt idx="148">
                  <c:v>4.1673999999999998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  <c:pt idx="75">
                  <c:v>32.027999999999999</c:v>
                </c:pt>
                <c:pt idx="76">
                  <c:v>32.298900000000003</c:v>
                </c:pt>
                <c:pt idx="77">
                  <c:v>32.562000000000005</c:v>
                </c:pt>
                <c:pt idx="78">
                  <c:v>32.763500000000001</c:v>
                </c:pt>
                <c:pt idx="79">
                  <c:v>32.896500000000003</c:v>
                </c:pt>
                <c:pt idx="80">
                  <c:v>32.975100000000005</c:v>
                </c:pt>
                <c:pt idx="81">
                  <c:v>32.980699999999999</c:v>
                </c:pt>
                <c:pt idx="82">
                  <c:v>32.853000000000002</c:v>
                </c:pt>
                <c:pt idx="83">
                  <c:v>32.540700000000001</c:v>
                </c:pt>
                <c:pt idx="84">
                  <c:v>32.159599999999998</c:v>
                </c:pt>
                <c:pt idx="85">
                  <c:v>31.739299999999997</c:v>
                </c:pt>
                <c:pt idx="86">
                  <c:v>31.324400000000001</c:v>
                </c:pt>
                <c:pt idx="87">
                  <c:v>30.822800000000001</c:v>
                </c:pt>
                <c:pt idx="88">
                  <c:v>30.213899999999999</c:v>
                </c:pt>
                <c:pt idx="89">
                  <c:v>29.520000000000003</c:v>
                </c:pt>
                <c:pt idx="90">
                  <c:v>28.749099999999999</c:v>
                </c:pt>
                <c:pt idx="91">
                  <c:v>28.053599999999999</c:v>
                </c:pt>
                <c:pt idx="92">
                  <c:v>27.391399999999997</c:v>
                </c:pt>
                <c:pt idx="93">
                  <c:v>26.664999999999999</c:v>
                </c:pt>
                <c:pt idx="94">
                  <c:v>25.854500000000002</c:v>
                </c:pt>
                <c:pt idx="95">
                  <c:v>25.022499999999997</c:v>
                </c:pt>
                <c:pt idx="96">
                  <c:v>24.230399999999999</c:v>
                </c:pt>
                <c:pt idx="97">
                  <c:v>23.655999999999999</c:v>
                </c:pt>
                <c:pt idx="98">
                  <c:v>23.271900000000002</c:v>
                </c:pt>
                <c:pt idx="99">
                  <c:v>22.881999999999998</c:v>
                </c:pt>
                <c:pt idx="100">
                  <c:v>22.510400000000001</c:v>
                </c:pt>
                <c:pt idx="101">
                  <c:v>22.046700000000001</c:v>
                </c:pt>
                <c:pt idx="102">
                  <c:v>21.581</c:v>
                </c:pt>
                <c:pt idx="103">
                  <c:v>21.167200000000001</c:v>
                </c:pt>
                <c:pt idx="104">
                  <c:v>20.6996</c:v>
                </c:pt>
                <c:pt idx="105">
                  <c:v>20.2438</c:v>
                </c:pt>
                <c:pt idx="106">
                  <c:v>19.7196</c:v>
                </c:pt>
                <c:pt idx="107">
                  <c:v>19.220699999999997</c:v>
                </c:pt>
                <c:pt idx="108">
                  <c:v>18.8475</c:v>
                </c:pt>
                <c:pt idx="109">
                  <c:v>18.540799999999997</c:v>
                </c:pt>
                <c:pt idx="110">
                  <c:v>18.3279</c:v>
                </c:pt>
                <c:pt idx="111">
                  <c:v>18.154400000000003</c:v>
                </c:pt>
                <c:pt idx="112">
                  <c:v>17.996599999999997</c:v>
                </c:pt>
                <c:pt idx="113">
                  <c:v>17.881700000000002</c:v>
                </c:pt>
                <c:pt idx="114">
                  <c:v>17.7529</c:v>
                </c:pt>
                <c:pt idx="115">
                  <c:v>17.6509</c:v>
                </c:pt>
                <c:pt idx="116">
                  <c:v>17.560100000000002</c:v>
                </c:pt>
                <c:pt idx="117">
                  <c:v>17.514099999999999</c:v>
                </c:pt>
                <c:pt idx="118">
                  <c:v>17.580399999999997</c:v>
                </c:pt>
                <c:pt idx="119">
                  <c:v>17.698399999999999</c:v>
                </c:pt>
                <c:pt idx="120">
                  <c:v>17.835000000000001</c:v>
                </c:pt>
                <c:pt idx="121">
                  <c:v>18.009399999999999</c:v>
                </c:pt>
                <c:pt idx="122">
                  <c:v>18.226600000000001</c:v>
                </c:pt>
                <c:pt idx="123">
                  <c:v>18.520500000000002</c:v>
                </c:pt>
                <c:pt idx="124">
                  <c:v>18.683900000000001</c:v>
                </c:pt>
                <c:pt idx="125">
                  <c:v>18.7239</c:v>
                </c:pt>
                <c:pt idx="126">
                  <c:v>18.793599999999998</c:v>
                </c:pt>
                <c:pt idx="127">
                  <c:v>18.8779</c:v>
                </c:pt>
                <c:pt idx="128">
                  <c:v>18.960599999999999</c:v>
                </c:pt>
                <c:pt idx="129">
                  <c:v>19.102800000000002</c:v>
                </c:pt>
                <c:pt idx="130">
                  <c:v>19.248899999999999</c:v>
                </c:pt>
                <c:pt idx="131">
                  <c:v>19.501200000000001</c:v>
                </c:pt>
                <c:pt idx="132">
                  <c:v>19.831499999999998</c:v>
                </c:pt>
                <c:pt idx="133">
                  <c:v>20.101800000000001</c:v>
                </c:pt>
                <c:pt idx="134">
                  <c:v>20.341100000000001</c:v>
                </c:pt>
                <c:pt idx="135">
                  <c:v>20.505399999999998</c:v>
                </c:pt>
                <c:pt idx="136">
                  <c:v>20.657700000000002</c:v>
                </c:pt>
                <c:pt idx="137">
                  <c:v>20.896600000000003</c:v>
                </c:pt>
                <c:pt idx="138">
                  <c:v>21.199000000000002</c:v>
                </c:pt>
                <c:pt idx="139">
                  <c:v>21.683499999999999</c:v>
                </c:pt>
                <c:pt idx="140">
                  <c:v>22.334200000000003</c:v>
                </c:pt>
                <c:pt idx="141">
                  <c:v>23.1023</c:v>
                </c:pt>
                <c:pt idx="142">
                  <c:v>23.9953</c:v>
                </c:pt>
                <c:pt idx="143">
                  <c:v>24.7667</c:v>
                </c:pt>
                <c:pt idx="144">
                  <c:v>25.735500000000002</c:v>
                </c:pt>
                <c:pt idx="145">
                  <c:v>26.8108</c:v>
                </c:pt>
                <c:pt idx="146">
                  <c:v>27.926400000000001</c:v>
                </c:pt>
                <c:pt idx="147">
                  <c:v>28.5246</c:v>
                </c:pt>
                <c:pt idx="148">
                  <c:v>28.520099999999999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3.6437999999999997</c:v>
                </c:pt>
                <c:pt idx="1">
                  <c:v>3.6386200000000004</c:v>
                </c:pt>
                <c:pt idx="2">
                  <c:v>3.6326000000000001</c:v>
                </c:pt>
                <c:pt idx="3">
                  <c:v>3.62981</c:v>
                </c:pt>
                <c:pt idx="4">
                  <c:v>3.6257000000000001</c:v>
                </c:pt>
                <c:pt idx="5">
                  <c:v>3.62439</c:v>
                </c:pt>
                <c:pt idx="6">
                  <c:v>3.6238999999999999</c:v>
                </c:pt>
                <c:pt idx="7">
                  <c:v>3.6245599999999998</c:v>
                </c:pt>
                <c:pt idx="8">
                  <c:v>3.6286200000000002</c:v>
                </c:pt>
                <c:pt idx="9">
                  <c:v>3.6385800000000001</c:v>
                </c:pt>
                <c:pt idx="10">
                  <c:v>3.6516900000000003</c:v>
                </c:pt>
                <c:pt idx="11">
                  <c:v>3.6672799999999999</c:v>
                </c:pt>
                <c:pt idx="12">
                  <c:v>3.6817199999999999</c:v>
                </c:pt>
                <c:pt idx="13">
                  <c:v>3.69739</c:v>
                </c:pt>
                <c:pt idx="14">
                  <c:v>3.7171900000000004</c:v>
                </c:pt>
                <c:pt idx="15">
                  <c:v>3.7424900000000001</c:v>
                </c:pt>
                <c:pt idx="16">
                  <c:v>3.77311</c:v>
                </c:pt>
                <c:pt idx="17">
                  <c:v>3.8046000000000002</c:v>
                </c:pt>
                <c:pt idx="18">
                  <c:v>3.83657</c:v>
                </c:pt>
                <c:pt idx="19">
                  <c:v>3.86917</c:v>
                </c:pt>
                <c:pt idx="20">
                  <c:v>3.9027000000000003</c:v>
                </c:pt>
                <c:pt idx="21">
                  <c:v>3.93675</c:v>
                </c:pt>
                <c:pt idx="22">
                  <c:v>3.9657300000000002</c:v>
                </c:pt>
                <c:pt idx="23">
                  <c:v>3.98706</c:v>
                </c:pt>
                <c:pt idx="24">
                  <c:v>4.0104699999999998</c:v>
                </c:pt>
                <c:pt idx="25">
                  <c:v>4.0372200000000005</c:v>
                </c:pt>
                <c:pt idx="26">
                  <c:v>4.0619100000000001</c:v>
                </c:pt>
                <c:pt idx="27">
                  <c:v>4.0914299999999999</c:v>
                </c:pt>
                <c:pt idx="28">
                  <c:v>4.1197600000000003</c:v>
                </c:pt>
                <c:pt idx="29">
                  <c:v>4.1472999999999995</c:v>
                </c:pt>
                <c:pt idx="30">
                  <c:v>4.1760599999999997</c:v>
                </c:pt>
                <c:pt idx="31">
                  <c:v>4.2066400000000002</c:v>
                </c:pt>
                <c:pt idx="32">
                  <c:v>4.2405299999999997</c:v>
                </c:pt>
                <c:pt idx="33">
                  <c:v>4.2744499999999999</c:v>
                </c:pt>
                <c:pt idx="34">
                  <c:v>4.3024100000000001</c:v>
                </c:pt>
                <c:pt idx="35">
                  <c:v>4.3292799999999998</c:v>
                </c:pt>
                <c:pt idx="36">
                  <c:v>4.3519600000000001</c:v>
                </c:pt>
                <c:pt idx="37">
                  <c:v>4.3745899999999995</c:v>
                </c:pt>
                <c:pt idx="38">
                  <c:v>4.3993099999999998</c:v>
                </c:pt>
                <c:pt idx="39">
                  <c:v>4.4231300000000005</c:v>
                </c:pt>
                <c:pt idx="40">
                  <c:v>4.4459799999999996</c:v>
                </c:pt>
                <c:pt idx="41">
                  <c:v>4.4662800000000002</c:v>
                </c:pt>
                <c:pt idx="42">
                  <c:v>4.48529</c:v>
                </c:pt>
                <c:pt idx="43">
                  <c:v>4.5015000000000001</c:v>
                </c:pt>
                <c:pt idx="44">
                  <c:v>4.5109700000000004</c:v>
                </c:pt>
                <c:pt idx="45">
                  <c:v>4.5155000000000003</c:v>
                </c:pt>
                <c:pt idx="46">
                  <c:v>4.51424</c:v>
                </c:pt>
                <c:pt idx="47">
                  <c:v>4.5110799999999998</c:v>
                </c:pt>
                <c:pt idx="48">
                  <c:v>4.5072999999999999</c:v>
                </c:pt>
                <c:pt idx="49">
                  <c:v>4.5015999999999998</c:v>
                </c:pt>
                <c:pt idx="50">
                  <c:v>4.5008599999999994</c:v>
                </c:pt>
                <c:pt idx="51">
                  <c:v>4.5082800000000001</c:v>
                </c:pt>
                <c:pt idx="52">
                  <c:v>4.5118799999999997</c:v>
                </c:pt>
                <c:pt idx="53">
                  <c:v>4.5151700000000003</c:v>
                </c:pt>
                <c:pt idx="54">
                  <c:v>4.5175700000000001</c:v>
                </c:pt>
                <c:pt idx="55">
                  <c:v>4.5172699999999999</c:v>
                </c:pt>
                <c:pt idx="56">
                  <c:v>4.5151700000000003</c:v>
                </c:pt>
                <c:pt idx="57">
                  <c:v>4.5078300000000002</c:v>
                </c:pt>
                <c:pt idx="58">
                  <c:v>4.4965999999999999</c:v>
                </c:pt>
                <c:pt idx="59">
                  <c:v>4.48787</c:v>
                </c:pt>
                <c:pt idx="60">
                  <c:v>4.4798299999999998</c:v>
                </c:pt>
                <c:pt idx="61">
                  <c:v>4.4758199999999997</c:v>
                </c:pt>
                <c:pt idx="62">
                  <c:v>4.4695600000000004</c:v>
                </c:pt>
                <c:pt idx="63">
                  <c:v>4.45702</c:v>
                </c:pt>
                <c:pt idx="64">
                  <c:v>4.4390700000000001</c:v>
                </c:pt>
                <c:pt idx="65">
                  <c:v>4.4138599999999997</c:v>
                </c:pt>
                <c:pt idx="66">
                  <c:v>4.3818200000000003</c:v>
                </c:pt>
                <c:pt idx="67">
                  <c:v>4.3435000000000006</c:v>
                </c:pt>
                <c:pt idx="68">
                  <c:v>4.3006000000000002</c:v>
                </c:pt>
                <c:pt idx="69">
                  <c:v>4.26281</c:v>
                </c:pt>
                <c:pt idx="70">
                  <c:v>4.2204899999999999</c:v>
                </c:pt>
                <c:pt idx="71">
                  <c:v>4.1872799999999994</c:v>
                </c:pt>
                <c:pt idx="72">
                  <c:v>4.1639799999999996</c:v>
                </c:pt>
                <c:pt idx="73">
                  <c:v>4.1628600000000002</c:v>
                </c:pt>
                <c:pt idx="74">
                  <c:v>4.1673999999999998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31.781300000000002</c:v>
                </c:pt>
                <c:pt idx="1">
                  <c:v>32.027999999999999</c:v>
                </c:pt>
                <c:pt idx="2">
                  <c:v>32.298900000000003</c:v>
                </c:pt>
                <c:pt idx="3">
                  <c:v>32.562000000000005</c:v>
                </c:pt>
                <c:pt idx="4">
                  <c:v>32.763500000000001</c:v>
                </c:pt>
                <c:pt idx="5">
                  <c:v>32.896500000000003</c:v>
                </c:pt>
                <c:pt idx="6">
                  <c:v>32.975100000000005</c:v>
                </c:pt>
                <c:pt idx="7">
                  <c:v>32.980699999999999</c:v>
                </c:pt>
                <c:pt idx="8">
                  <c:v>32.853000000000002</c:v>
                </c:pt>
                <c:pt idx="9">
                  <c:v>32.540700000000001</c:v>
                </c:pt>
                <c:pt idx="10">
                  <c:v>32.159599999999998</c:v>
                </c:pt>
                <c:pt idx="11">
                  <c:v>31.739299999999997</c:v>
                </c:pt>
                <c:pt idx="12">
                  <c:v>31.324400000000001</c:v>
                </c:pt>
                <c:pt idx="13">
                  <c:v>30.822800000000001</c:v>
                </c:pt>
                <c:pt idx="14">
                  <c:v>30.213899999999999</c:v>
                </c:pt>
                <c:pt idx="15">
                  <c:v>29.520000000000003</c:v>
                </c:pt>
                <c:pt idx="16">
                  <c:v>28.749099999999999</c:v>
                </c:pt>
                <c:pt idx="17">
                  <c:v>28.053599999999999</c:v>
                </c:pt>
                <c:pt idx="18">
                  <c:v>27.391399999999997</c:v>
                </c:pt>
                <c:pt idx="19">
                  <c:v>26.664999999999999</c:v>
                </c:pt>
                <c:pt idx="20">
                  <c:v>25.854500000000002</c:v>
                </c:pt>
                <c:pt idx="21">
                  <c:v>25.022499999999997</c:v>
                </c:pt>
                <c:pt idx="22">
                  <c:v>24.230399999999999</c:v>
                </c:pt>
                <c:pt idx="23">
                  <c:v>23.655999999999999</c:v>
                </c:pt>
                <c:pt idx="24">
                  <c:v>23.271900000000002</c:v>
                </c:pt>
                <c:pt idx="25">
                  <c:v>22.881999999999998</c:v>
                </c:pt>
                <c:pt idx="26">
                  <c:v>22.510400000000001</c:v>
                </c:pt>
                <c:pt idx="27">
                  <c:v>22.046700000000001</c:v>
                </c:pt>
                <c:pt idx="28">
                  <c:v>21.581</c:v>
                </c:pt>
                <c:pt idx="29">
                  <c:v>21.167200000000001</c:v>
                </c:pt>
                <c:pt idx="30">
                  <c:v>20.6996</c:v>
                </c:pt>
                <c:pt idx="31">
                  <c:v>20.2438</c:v>
                </c:pt>
                <c:pt idx="32">
                  <c:v>19.7196</c:v>
                </c:pt>
                <c:pt idx="33">
                  <c:v>19.220699999999997</c:v>
                </c:pt>
                <c:pt idx="34">
                  <c:v>18.8475</c:v>
                </c:pt>
                <c:pt idx="35">
                  <c:v>18.540799999999997</c:v>
                </c:pt>
                <c:pt idx="36">
                  <c:v>18.3279</c:v>
                </c:pt>
                <c:pt idx="37">
                  <c:v>18.154400000000003</c:v>
                </c:pt>
                <c:pt idx="38">
                  <c:v>17.996599999999997</c:v>
                </c:pt>
                <c:pt idx="39">
                  <c:v>17.881700000000002</c:v>
                </c:pt>
                <c:pt idx="40">
                  <c:v>17.7529</c:v>
                </c:pt>
                <c:pt idx="41">
                  <c:v>17.6509</c:v>
                </c:pt>
                <c:pt idx="42">
                  <c:v>17.560100000000002</c:v>
                </c:pt>
                <c:pt idx="43">
                  <c:v>17.514099999999999</c:v>
                </c:pt>
                <c:pt idx="44">
                  <c:v>17.580399999999997</c:v>
                </c:pt>
                <c:pt idx="45">
                  <c:v>17.698399999999999</c:v>
                </c:pt>
                <c:pt idx="46">
                  <c:v>17.835000000000001</c:v>
                </c:pt>
                <c:pt idx="47">
                  <c:v>18.009399999999999</c:v>
                </c:pt>
                <c:pt idx="48">
                  <c:v>18.226600000000001</c:v>
                </c:pt>
                <c:pt idx="49">
                  <c:v>18.520500000000002</c:v>
                </c:pt>
                <c:pt idx="50">
                  <c:v>18.683900000000001</c:v>
                </c:pt>
                <c:pt idx="51">
                  <c:v>18.7239</c:v>
                </c:pt>
                <c:pt idx="52">
                  <c:v>18.793599999999998</c:v>
                </c:pt>
                <c:pt idx="53">
                  <c:v>18.8779</c:v>
                </c:pt>
                <c:pt idx="54">
                  <c:v>18.960599999999999</c:v>
                </c:pt>
                <c:pt idx="55">
                  <c:v>19.102800000000002</c:v>
                </c:pt>
                <c:pt idx="56">
                  <c:v>19.248899999999999</c:v>
                </c:pt>
                <c:pt idx="57">
                  <c:v>19.501200000000001</c:v>
                </c:pt>
                <c:pt idx="58">
                  <c:v>19.831499999999998</c:v>
                </c:pt>
                <c:pt idx="59">
                  <c:v>20.101800000000001</c:v>
                </c:pt>
                <c:pt idx="60">
                  <c:v>20.341100000000001</c:v>
                </c:pt>
                <c:pt idx="61">
                  <c:v>20.505399999999998</c:v>
                </c:pt>
                <c:pt idx="62">
                  <c:v>20.657700000000002</c:v>
                </c:pt>
                <c:pt idx="63">
                  <c:v>20.896600000000003</c:v>
                </c:pt>
                <c:pt idx="64">
                  <c:v>21.199000000000002</c:v>
                </c:pt>
                <c:pt idx="65">
                  <c:v>21.683499999999999</c:v>
                </c:pt>
                <c:pt idx="66">
                  <c:v>22.334200000000003</c:v>
                </c:pt>
                <c:pt idx="67">
                  <c:v>23.1023</c:v>
                </c:pt>
                <c:pt idx="68">
                  <c:v>23.9953</c:v>
                </c:pt>
                <c:pt idx="69">
                  <c:v>24.7667</c:v>
                </c:pt>
                <c:pt idx="70">
                  <c:v>25.735500000000002</c:v>
                </c:pt>
                <c:pt idx="71">
                  <c:v>26.8108</c:v>
                </c:pt>
                <c:pt idx="72">
                  <c:v>27.926400000000001</c:v>
                </c:pt>
                <c:pt idx="73">
                  <c:v>28.5246</c:v>
                </c:pt>
                <c:pt idx="74">
                  <c:v>28.520099999999999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3.6238551351351358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26.071933783783781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4.1606381081081096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23.551722972972982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4.1606381081081096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23.551722972972982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0.23531816755485202</c:v>
                </c:pt>
                <c:pt idx="1">
                  <c:v>0.38992819072478269</c:v>
                </c:pt>
                <c:pt idx="2">
                  <c:v>0.37475364172036529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  <c:pt idx="75">
                  <c:v>30.472100000000001</c:v>
                </c:pt>
                <c:pt idx="76">
                  <c:v>30.880700000000001</c:v>
                </c:pt>
                <c:pt idx="77">
                  <c:v>31.2879</c:v>
                </c:pt>
                <c:pt idx="78">
                  <c:v>31.694099999999999</c:v>
                </c:pt>
                <c:pt idx="79">
                  <c:v>32.101799999999997</c:v>
                </c:pt>
                <c:pt idx="80">
                  <c:v>32.505699999999997</c:v>
                </c:pt>
                <c:pt idx="81">
                  <c:v>32.910699999999999</c:v>
                </c:pt>
                <c:pt idx="82">
                  <c:v>33.318600000000004</c:v>
                </c:pt>
                <c:pt idx="83">
                  <c:v>33.723599999999998</c:v>
                </c:pt>
                <c:pt idx="84">
                  <c:v>34.133299999999998</c:v>
                </c:pt>
                <c:pt idx="85">
                  <c:v>34.534300000000002</c:v>
                </c:pt>
                <c:pt idx="86">
                  <c:v>34.944400000000002</c:v>
                </c:pt>
                <c:pt idx="87">
                  <c:v>35.348500000000001</c:v>
                </c:pt>
                <c:pt idx="88">
                  <c:v>35.753700000000002</c:v>
                </c:pt>
                <c:pt idx="89">
                  <c:v>36.1629</c:v>
                </c:pt>
                <c:pt idx="90">
                  <c:v>36.569800000000001</c:v>
                </c:pt>
                <c:pt idx="91">
                  <c:v>36.973700000000001</c:v>
                </c:pt>
                <c:pt idx="92">
                  <c:v>37.3797</c:v>
                </c:pt>
                <c:pt idx="93">
                  <c:v>37.785499999999999</c:v>
                </c:pt>
                <c:pt idx="94">
                  <c:v>38.192599999999999</c:v>
                </c:pt>
                <c:pt idx="95">
                  <c:v>38.6023</c:v>
                </c:pt>
                <c:pt idx="96">
                  <c:v>39.005600000000001</c:v>
                </c:pt>
                <c:pt idx="97">
                  <c:v>39.414200000000001</c:v>
                </c:pt>
                <c:pt idx="98">
                  <c:v>39.819299999999998</c:v>
                </c:pt>
                <c:pt idx="99">
                  <c:v>40.222099999999998</c:v>
                </c:pt>
                <c:pt idx="100">
                  <c:v>40.633899999999997</c:v>
                </c:pt>
                <c:pt idx="101">
                  <c:v>41.040900000000001</c:v>
                </c:pt>
                <c:pt idx="102">
                  <c:v>41.444699999999997</c:v>
                </c:pt>
                <c:pt idx="103">
                  <c:v>41.849800000000002</c:v>
                </c:pt>
                <c:pt idx="104">
                  <c:v>42.256799999999998</c:v>
                </c:pt>
                <c:pt idx="105">
                  <c:v>42.665500000000002</c:v>
                </c:pt>
                <c:pt idx="106">
                  <c:v>43.072400000000002</c:v>
                </c:pt>
                <c:pt idx="107">
                  <c:v>43.474400000000003</c:v>
                </c:pt>
                <c:pt idx="108">
                  <c:v>43.8812</c:v>
                </c:pt>
                <c:pt idx="109">
                  <c:v>44.287300000000002</c:v>
                </c:pt>
                <c:pt idx="110">
                  <c:v>44.692</c:v>
                </c:pt>
                <c:pt idx="111">
                  <c:v>45.1</c:v>
                </c:pt>
                <c:pt idx="112">
                  <c:v>45.505000000000003</c:v>
                </c:pt>
                <c:pt idx="113">
                  <c:v>45.913800000000002</c:v>
                </c:pt>
                <c:pt idx="114">
                  <c:v>46.318300000000001</c:v>
                </c:pt>
                <c:pt idx="115">
                  <c:v>46.723599999999998</c:v>
                </c:pt>
                <c:pt idx="116">
                  <c:v>47.128599999999999</c:v>
                </c:pt>
                <c:pt idx="117">
                  <c:v>47.537399999999998</c:v>
                </c:pt>
                <c:pt idx="118">
                  <c:v>47.940300000000001</c:v>
                </c:pt>
                <c:pt idx="119">
                  <c:v>48.353499999999997</c:v>
                </c:pt>
                <c:pt idx="120">
                  <c:v>48.758200000000002</c:v>
                </c:pt>
                <c:pt idx="121">
                  <c:v>49.162100000000002</c:v>
                </c:pt>
                <c:pt idx="122">
                  <c:v>49.569299999999998</c:v>
                </c:pt>
                <c:pt idx="123">
                  <c:v>49.976999999999997</c:v>
                </c:pt>
                <c:pt idx="124">
                  <c:v>50.382899999999999</c:v>
                </c:pt>
                <c:pt idx="125">
                  <c:v>50.788699999999999</c:v>
                </c:pt>
                <c:pt idx="126">
                  <c:v>51.191800000000001</c:v>
                </c:pt>
                <c:pt idx="127">
                  <c:v>51.597700000000003</c:v>
                </c:pt>
                <c:pt idx="128">
                  <c:v>52.003599999999999</c:v>
                </c:pt>
                <c:pt idx="129">
                  <c:v>52.410400000000003</c:v>
                </c:pt>
                <c:pt idx="130">
                  <c:v>52.819499999999998</c:v>
                </c:pt>
                <c:pt idx="131">
                  <c:v>53.225200000000001</c:v>
                </c:pt>
                <c:pt idx="132">
                  <c:v>53.6342</c:v>
                </c:pt>
                <c:pt idx="133">
                  <c:v>54.039099999999998</c:v>
                </c:pt>
                <c:pt idx="134">
                  <c:v>54.445</c:v>
                </c:pt>
                <c:pt idx="135">
                  <c:v>54.850999999999999</c:v>
                </c:pt>
                <c:pt idx="136">
                  <c:v>55.259900000000002</c:v>
                </c:pt>
                <c:pt idx="137">
                  <c:v>55.662700000000001</c:v>
                </c:pt>
                <c:pt idx="138">
                  <c:v>56.070799999999998</c:v>
                </c:pt>
                <c:pt idx="139">
                  <c:v>56.472700000000003</c:v>
                </c:pt>
                <c:pt idx="140">
                  <c:v>56.878599999999999</c:v>
                </c:pt>
                <c:pt idx="141">
                  <c:v>57.289400000000001</c:v>
                </c:pt>
                <c:pt idx="142">
                  <c:v>57.696399999999997</c:v>
                </c:pt>
                <c:pt idx="143">
                  <c:v>58.101100000000002</c:v>
                </c:pt>
                <c:pt idx="144">
                  <c:v>58.503399999999999</c:v>
                </c:pt>
                <c:pt idx="145">
                  <c:v>58.912999999999997</c:v>
                </c:pt>
                <c:pt idx="146">
                  <c:v>59.316000000000003</c:v>
                </c:pt>
                <c:pt idx="147">
                  <c:v>59.722900000000003</c:v>
                </c:pt>
                <c:pt idx="148">
                  <c:v>60.132800000000003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  <c:pt idx="75">
                  <c:v>3.6386200000000004</c:v>
                </c:pt>
                <c:pt idx="76">
                  <c:v>3.6326000000000001</c:v>
                </c:pt>
                <c:pt idx="77">
                  <c:v>3.62981</c:v>
                </c:pt>
                <c:pt idx="78">
                  <c:v>3.6257000000000001</c:v>
                </c:pt>
                <c:pt idx="79">
                  <c:v>3.62439</c:v>
                </c:pt>
                <c:pt idx="80">
                  <c:v>3.6238999999999999</c:v>
                </c:pt>
                <c:pt idx="81">
                  <c:v>3.6245599999999998</c:v>
                </c:pt>
                <c:pt idx="82">
                  <c:v>3.6286200000000002</c:v>
                </c:pt>
                <c:pt idx="83">
                  <c:v>3.6385800000000001</c:v>
                </c:pt>
                <c:pt idx="84">
                  <c:v>3.6516900000000003</c:v>
                </c:pt>
                <c:pt idx="85">
                  <c:v>3.6672799999999999</c:v>
                </c:pt>
                <c:pt idx="86">
                  <c:v>3.6817199999999999</c:v>
                </c:pt>
                <c:pt idx="87">
                  <c:v>3.69739</c:v>
                </c:pt>
                <c:pt idx="88">
                  <c:v>3.7171900000000004</c:v>
                </c:pt>
                <c:pt idx="89">
                  <c:v>3.7424900000000001</c:v>
                </c:pt>
                <c:pt idx="90">
                  <c:v>3.77311</c:v>
                </c:pt>
                <c:pt idx="91">
                  <c:v>3.8046000000000002</c:v>
                </c:pt>
                <c:pt idx="92">
                  <c:v>3.83657</c:v>
                </c:pt>
                <c:pt idx="93">
                  <c:v>3.86917</c:v>
                </c:pt>
                <c:pt idx="94">
                  <c:v>3.9027000000000003</c:v>
                </c:pt>
                <c:pt idx="95">
                  <c:v>3.93675</c:v>
                </c:pt>
                <c:pt idx="96">
                  <c:v>3.9657300000000002</c:v>
                </c:pt>
                <c:pt idx="97">
                  <c:v>3.98706</c:v>
                </c:pt>
                <c:pt idx="98">
                  <c:v>4.0104699999999998</c:v>
                </c:pt>
                <c:pt idx="99">
                  <c:v>4.0372200000000005</c:v>
                </c:pt>
                <c:pt idx="100">
                  <c:v>4.0619100000000001</c:v>
                </c:pt>
                <c:pt idx="101">
                  <c:v>4.0914299999999999</c:v>
                </c:pt>
                <c:pt idx="102">
                  <c:v>4.1197600000000003</c:v>
                </c:pt>
                <c:pt idx="103">
                  <c:v>4.1472999999999995</c:v>
                </c:pt>
                <c:pt idx="104">
                  <c:v>4.1760599999999997</c:v>
                </c:pt>
                <c:pt idx="105">
                  <c:v>4.2066400000000002</c:v>
                </c:pt>
                <c:pt idx="106">
                  <c:v>4.2405299999999997</c:v>
                </c:pt>
                <c:pt idx="107">
                  <c:v>4.2744499999999999</c:v>
                </c:pt>
                <c:pt idx="108">
                  <c:v>4.3024100000000001</c:v>
                </c:pt>
                <c:pt idx="109">
                  <c:v>4.3292799999999998</c:v>
                </c:pt>
                <c:pt idx="110">
                  <c:v>4.3519600000000001</c:v>
                </c:pt>
                <c:pt idx="111">
                  <c:v>4.3745899999999995</c:v>
                </c:pt>
                <c:pt idx="112">
                  <c:v>4.3993099999999998</c:v>
                </c:pt>
                <c:pt idx="113">
                  <c:v>4.4231300000000005</c:v>
                </c:pt>
                <c:pt idx="114">
                  <c:v>4.4459799999999996</c:v>
                </c:pt>
                <c:pt idx="115">
                  <c:v>4.4662800000000002</c:v>
                </c:pt>
                <c:pt idx="116">
                  <c:v>4.48529</c:v>
                </c:pt>
                <c:pt idx="117">
                  <c:v>4.5015000000000001</c:v>
                </c:pt>
                <c:pt idx="118">
                  <c:v>4.5109700000000004</c:v>
                </c:pt>
                <c:pt idx="119">
                  <c:v>4.5155000000000003</c:v>
                </c:pt>
                <c:pt idx="120">
                  <c:v>4.51424</c:v>
                </c:pt>
                <c:pt idx="121">
                  <c:v>4.5110799999999998</c:v>
                </c:pt>
                <c:pt idx="122">
                  <c:v>4.5072999999999999</c:v>
                </c:pt>
                <c:pt idx="123">
                  <c:v>4.5015999999999998</c:v>
                </c:pt>
                <c:pt idx="124">
                  <c:v>4.5008599999999994</c:v>
                </c:pt>
                <c:pt idx="125">
                  <c:v>4.5082800000000001</c:v>
                </c:pt>
                <c:pt idx="126">
                  <c:v>4.5118799999999997</c:v>
                </c:pt>
                <c:pt idx="127">
                  <c:v>4.5151700000000003</c:v>
                </c:pt>
                <c:pt idx="128">
                  <c:v>4.5175700000000001</c:v>
                </c:pt>
                <c:pt idx="129">
                  <c:v>4.5172699999999999</c:v>
                </c:pt>
                <c:pt idx="130">
                  <c:v>4.5151700000000003</c:v>
                </c:pt>
                <c:pt idx="131">
                  <c:v>4.5078300000000002</c:v>
                </c:pt>
                <c:pt idx="132">
                  <c:v>4.4965999999999999</c:v>
                </c:pt>
                <c:pt idx="133">
                  <c:v>4.48787</c:v>
                </c:pt>
                <c:pt idx="134">
                  <c:v>4.4798299999999998</c:v>
                </c:pt>
                <c:pt idx="135">
                  <c:v>4.4758199999999997</c:v>
                </c:pt>
                <c:pt idx="136">
                  <c:v>4.4695600000000004</c:v>
                </c:pt>
                <c:pt idx="137">
                  <c:v>4.45702</c:v>
                </c:pt>
                <c:pt idx="138">
                  <c:v>4.4390700000000001</c:v>
                </c:pt>
                <c:pt idx="139">
                  <c:v>4.4138599999999997</c:v>
                </c:pt>
                <c:pt idx="140">
                  <c:v>4.3818200000000003</c:v>
                </c:pt>
                <c:pt idx="141">
                  <c:v>4.3435000000000006</c:v>
                </c:pt>
                <c:pt idx="142">
                  <c:v>4.3006000000000002</c:v>
                </c:pt>
                <c:pt idx="143">
                  <c:v>4.26281</c:v>
                </c:pt>
                <c:pt idx="144">
                  <c:v>4.2204899999999999</c:v>
                </c:pt>
                <c:pt idx="145">
                  <c:v>4.1872799999999994</c:v>
                </c:pt>
                <c:pt idx="146">
                  <c:v>4.1639799999999996</c:v>
                </c:pt>
                <c:pt idx="147">
                  <c:v>4.1628600000000002</c:v>
                </c:pt>
                <c:pt idx="148">
                  <c:v>4.1673999999999998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30.0349</c:v>
                </c:pt>
                <c:pt idx="1">
                  <c:v>30.472100000000001</c:v>
                </c:pt>
                <c:pt idx="2">
                  <c:v>30.880700000000001</c:v>
                </c:pt>
                <c:pt idx="3">
                  <c:v>31.2879</c:v>
                </c:pt>
                <c:pt idx="4">
                  <c:v>31.694099999999999</c:v>
                </c:pt>
                <c:pt idx="5">
                  <c:v>32.101799999999997</c:v>
                </c:pt>
                <c:pt idx="6">
                  <c:v>32.505699999999997</c:v>
                </c:pt>
                <c:pt idx="7">
                  <c:v>32.910699999999999</c:v>
                </c:pt>
                <c:pt idx="8">
                  <c:v>33.318600000000004</c:v>
                </c:pt>
                <c:pt idx="9">
                  <c:v>33.723599999999998</c:v>
                </c:pt>
                <c:pt idx="10">
                  <c:v>34.133299999999998</c:v>
                </c:pt>
                <c:pt idx="11">
                  <c:v>34.534300000000002</c:v>
                </c:pt>
                <c:pt idx="12">
                  <c:v>34.944400000000002</c:v>
                </c:pt>
                <c:pt idx="13">
                  <c:v>35.348500000000001</c:v>
                </c:pt>
                <c:pt idx="14">
                  <c:v>35.753700000000002</c:v>
                </c:pt>
                <c:pt idx="15">
                  <c:v>36.1629</c:v>
                </c:pt>
                <c:pt idx="16">
                  <c:v>36.569800000000001</c:v>
                </c:pt>
                <c:pt idx="17">
                  <c:v>36.973700000000001</c:v>
                </c:pt>
                <c:pt idx="18">
                  <c:v>37.3797</c:v>
                </c:pt>
                <c:pt idx="19">
                  <c:v>37.785499999999999</c:v>
                </c:pt>
                <c:pt idx="20">
                  <c:v>38.192599999999999</c:v>
                </c:pt>
                <c:pt idx="21">
                  <c:v>38.6023</c:v>
                </c:pt>
                <c:pt idx="22">
                  <c:v>39.005600000000001</c:v>
                </c:pt>
                <c:pt idx="23">
                  <c:v>39.414200000000001</c:v>
                </c:pt>
                <c:pt idx="24">
                  <c:v>39.819299999999998</c:v>
                </c:pt>
                <c:pt idx="25">
                  <c:v>40.222099999999998</c:v>
                </c:pt>
                <c:pt idx="26">
                  <c:v>40.633899999999997</c:v>
                </c:pt>
                <c:pt idx="27">
                  <c:v>41.040900000000001</c:v>
                </c:pt>
                <c:pt idx="28">
                  <c:v>41.444699999999997</c:v>
                </c:pt>
                <c:pt idx="29">
                  <c:v>41.849800000000002</c:v>
                </c:pt>
                <c:pt idx="30">
                  <c:v>42.256799999999998</c:v>
                </c:pt>
                <c:pt idx="31">
                  <c:v>42.665500000000002</c:v>
                </c:pt>
                <c:pt idx="32">
                  <c:v>43.072400000000002</c:v>
                </c:pt>
                <c:pt idx="33">
                  <c:v>43.474400000000003</c:v>
                </c:pt>
                <c:pt idx="34">
                  <c:v>43.8812</c:v>
                </c:pt>
                <c:pt idx="35">
                  <c:v>44.287300000000002</c:v>
                </c:pt>
                <c:pt idx="36">
                  <c:v>44.692</c:v>
                </c:pt>
                <c:pt idx="37">
                  <c:v>45.1</c:v>
                </c:pt>
                <c:pt idx="38">
                  <c:v>45.505000000000003</c:v>
                </c:pt>
                <c:pt idx="39">
                  <c:v>45.913800000000002</c:v>
                </c:pt>
                <c:pt idx="40">
                  <c:v>46.318300000000001</c:v>
                </c:pt>
                <c:pt idx="41">
                  <c:v>46.723599999999998</c:v>
                </c:pt>
                <c:pt idx="42">
                  <c:v>47.128599999999999</c:v>
                </c:pt>
                <c:pt idx="43">
                  <c:v>47.537399999999998</c:v>
                </c:pt>
                <c:pt idx="44">
                  <c:v>47.940300000000001</c:v>
                </c:pt>
                <c:pt idx="45">
                  <c:v>48.353499999999997</c:v>
                </c:pt>
                <c:pt idx="46">
                  <c:v>48.758200000000002</c:v>
                </c:pt>
                <c:pt idx="47">
                  <c:v>49.162100000000002</c:v>
                </c:pt>
                <c:pt idx="48">
                  <c:v>49.569299999999998</c:v>
                </c:pt>
                <c:pt idx="49">
                  <c:v>49.976999999999997</c:v>
                </c:pt>
                <c:pt idx="50">
                  <c:v>50.382899999999999</c:v>
                </c:pt>
                <c:pt idx="51">
                  <c:v>50.788699999999999</c:v>
                </c:pt>
                <c:pt idx="52">
                  <c:v>51.191800000000001</c:v>
                </c:pt>
                <c:pt idx="53">
                  <c:v>51.597700000000003</c:v>
                </c:pt>
                <c:pt idx="54">
                  <c:v>52.003599999999999</c:v>
                </c:pt>
                <c:pt idx="55">
                  <c:v>52.410400000000003</c:v>
                </c:pt>
                <c:pt idx="56">
                  <c:v>52.819499999999998</c:v>
                </c:pt>
                <c:pt idx="57">
                  <c:v>53.225200000000001</c:v>
                </c:pt>
                <c:pt idx="58">
                  <c:v>53.6342</c:v>
                </c:pt>
                <c:pt idx="59">
                  <c:v>54.039099999999998</c:v>
                </c:pt>
                <c:pt idx="60">
                  <c:v>54.445</c:v>
                </c:pt>
                <c:pt idx="61">
                  <c:v>54.850999999999999</c:v>
                </c:pt>
                <c:pt idx="62">
                  <c:v>55.259900000000002</c:v>
                </c:pt>
                <c:pt idx="63">
                  <c:v>55.662700000000001</c:v>
                </c:pt>
                <c:pt idx="64">
                  <c:v>56.070799999999998</c:v>
                </c:pt>
                <c:pt idx="65">
                  <c:v>56.472700000000003</c:v>
                </c:pt>
                <c:pt idx="66">
                  <c:v>56.878599999999999</c:v>
                </c:pt>
                <c:pt idx="67">
                  <c:v>57.289400000000001</c:v>
                </c:pt>
                <c:pt idx="68">
                  <c:v>57.696399999999997</c:v>
                </c:pt>
                <c:pt idx="69">
                  <c:v>58.101100000000002</c:v>
                </c:pt>
                <c:pt idx="70">
                  <c:v>58.503399999999999</c:v>
                </c:pt>
                <c:pt idx="71">
                  <c:v>58.912999999999997</c:v>
                </c:pt>
                <c:pt idx="72">
                  <c:v>59.316000000000003</c:v>
                </c:pt>
                <c:pt idx="73">
                  <c:v>59.722900000000003</c:v>
                </c:pt>
                <c:pt idx="74">
                  <c:v>60.132800000000003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3.6437999999999997</c:v>
                </c:pt>
                <c:pt idx="1">
                  <c:v>3.6386200000000004</c:v>
                </c:pt>
                <c:pt idx="2">
                  <c:v>3.6326000000000001</c:v>
                </c:pt>
                <c:pt idx="3">
                  <c:v>3.62981</c:v>
                </c:pt>
                <c:pt idx="4">
                  <c:v>3.6257000000000001</c:v>
                </c:pt>
                <c:pt idx="5">
                  <c:v>3.62439</c:v>
                </c:pt>
                <c:pt idx="6">
                  <c:v>3.6238999999999999</c:v>
                </c:pt>
                <c:pt idx="7">
                  <c:v>3.6245599999999998</c:v>
                </c:pt>
                <c:pt idx="8">
                  <c:v>3.6286200000000002</c:v>
                </c:pt>
                <c:pt idx="9">
                  <c:v>3.6385800000000001</c:v>
                </c:pt>
                <c:pt idx="10">
                  <c:v>3.6516900000000003</c:v>
                </c:pt>
                <c:pt idx="11">
                  <c:v>3.6672799999999999</c:v>
                </c:pt>
                <c:pt idx="12">
                  <c:v>3.6817199999999999</c:v>
                </c:pt>
                <c:pt idx="13">
                  <c:v>3.69739</c:v>
                </c:pt>
                <c:pt idx="14">
                  <c:v>3.7171900000000004</c:v>
                </c:pt>
                <c:pt idx="15">
                  <c:v>3.7424900000000001</c:v>
                </c:pt>
                <c:pt idx="16">
                  <c:v>3.77311</c:v>
                </c:pt>
                <c:pt idx="17">
                  <c:v>3.8046000000000002</c:v>
                </c:pt>
                <c:pt idx="18">
                  <c:v>3.83657</c:v>
                </c:pt>
                <c:pt idx="19">
                  <c:v>3.86917</c:v>
                </c:pt>
                <c:pt idx="20">
                  <c:v>3.9027000000000003</c:v>
                </c:pt>
                <c:pt idx="21">
                  <c:v>3.93675</c:v>
                </c:pt>
                <c:pt idx="22">
                  <c:v>3.9657300000000002</c:v>
                </c:pt>
                <c:pt idx="23">
                  <c:v>3.98706</c:v>
                </c:pt>
                <c:pt idx="24">
                  <c:v>4.0104699999999998</c:v>
                </c:pt>
                <c:pt idx="25">
                  <c:v>4.0372200000000005</c:v>
                </c:pt>
                <c:pt idx="26">
                  <c:v>4.0619100000000001</c:v>
                </c:pt>
                <c:pt idx="27">
                  <c:v>4.0914299999999999</c:v>
                </c:pt>
                <c:pt idx="28">
                  <c:v>4.1197600000000003</c:v>
                </c:pt>
                <c:pt idx="29">
                  <c:v>4.1472999999999995</c:v>
                </c:pt>
                <c:pt idx="30">
                  <c:v>4.1760599999999997</c:v>
                </c:pt>
                <c:pt idx="31">
                  <c:v>4.2066400000000002</c:v>
                </c:pt>
                <c:pt idx="32">
                  <c:v>4.2405299999999997</c:v>
                </c:pt>
                <c:pt idx="33">
                  <c:v>4.2744499999999999</c:v>
                </c:pt>
                <c:pt idx="34">
                  <c:v>4.3024100000000001</c:v>
                </c:pt>
                <c:pt idx="35">
                  <c:v>4.3292799999999998</c:v>
                </c:pt>
                <c:pt idx="36">
                  <c:v>4.3519600000000001</c:v>
                </c:pt>
                <c:pt idx="37">
                  <c:v>4.3745899999999995</c:v>
                </c:pt>
                <c:pt idx="38">
                  <c:v>4.3993099999999998</c:v>
                </c:pt>
                <c:pt idx="39">
                  <c:v>4.4231300000000005</c:v>
                </c:pt>
                <c:pt idx="40">
                  <c:v>4.4459799999999996</c:v>
                </c:pt>
                <c:pt idx="41">
                  <c:v>4.4662800000000002</c:v>
                </c:pt>
                <c:pt idx="42">
                  <c:v>4.48529</c:v>
                </c:pt>
                <c:pt idx="43">
                  <c:v>4.5015000000000001</c:v>
                </c:pt>
                <c:pt idx="44">
                  <c:v>4.5109700000000004</c:v>
                </c:pt>
                <c:pt idx="45">
                  <c:v>4.5155000000000003</c:v>
                </c:pt>
                <c:pt idx="46">
                  <c:v>4.51424</c:v>
                </c:pt>
                <c:pt idx="47">
                  <c:v>4.5110799999999998</c:v>
                </c:pt>
                <c:pt idx="48">
                  <c:v>4.5072999999999999</c:v>
                </c:pt>
                <c:pt idx="49">
                  <c:v>4.5015999999999998</c:v>
                </c:pt>
                <c:pt idx="50">
                  <c:v>4.5008599999999994</c:v>
                </c:pt>
                <c:pt idx="51">
                  <c:v>4.5082800000000001</c:v>
                </c:pt>
                <c:pt idx="52">
                  <c:v>4.5118799999999997</c:v>
                </c:pt>
                <c:pt idx="53">
                  <c:v>4.5151700000000003</c:v>
                </c:pt>
                <c:pt idx="54">
                  <c:v>4.5175700000000001</c:v>
                </c:pt>
                <c:pt idx="55">
                  <c:v>4.5172699999999999</c:v>
                </c:pt>
                <c:pt idx="56">
                  <c:v>4.5151700000000003</c:v>
                </c:pt>
                <c:pt idx="57">
                  <c:v>4.5078300000000002</c:v>
                </c:pt>
                <c:pt idx="58">
                  <c:v>4.4965999999999999</c:v>
                </c:pt>
                <c:pt idx="59">
                  <c:v>4.48787</c:v>
                </c:pt>
                <c:pt idx="60">
                  <c:v>4.4798299999999998</c:v>
                </c:pt>
                <c:pt idx="61">
                  <c:v>4.4758199999999997</c:v>
                </c:pt>
                <c:pt idx="62">
                  <c:v>4.4695600000000004</c:v>
                </c:pt>
                <c:pt idx="63">
                  <c:v>4.45702</c:v>
                </c:pt>
                <c:pt idx="64">
                  <c:v>4.4390700000000001</c:v>
                </c:pt>
                <c:pt idx="65">
                  <c:v>4.4138599999999997</c:v>
                </c:pt>
                <c:pt idx="66">
                  <c:v>4.3818200000000003</c:v>
                </c:pt>
                <c:pt idx="67">
                  <c:v>4.3435000000000006</c:v>
                </c:pt>
                <c:pt idx="68">
                  <c:v>4.3006000000000002</c:v>
                </c:pt>
                <c:pt idx="69">
                  <c:v>4.26281</c:v>
                </c:pt>
                <c:pt idx="70">
                  <c:v>4.2204899999999999</c:v>
                </c:pt>
                <c:pt idx="71">
                  <c:v>4.1872799999999994</c:v>
                </c:pt>
                <c:pt idx="72">
                  <c:v>4.1639799999999996</c:v>
                </c:pt>
                <c:pt idx="73">
                  <c:v>4.1628600000000002</c:v>
                </c:pt>
                <c:pt idx="74">
                  <c:v>4.1673999999999998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15.033200000000001</c:v>
                </c:pt>
                <c:pt idx="1">
                  <c:v>45.099600000000002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3.6238551351351358</c:v>
                </c:pt>
                <c:pt idx="1">
                  <c:v>4.1606381081081096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  <c:pt idx="75">
                  <c:v>30.472100000000001</c:v>
                </c:pt>
                <c:pt idx="76">
                  <c:v>30.880700000000001</c:v>
                </c:pt>
                <c:pt idx="77">
                  <c:v>31.2879</c:v>
                </c:pt>
                <c:pt idx="78">
                  <c:v>31.694099999999999</c:v>
                </c:pt>
                <c:pt idx="79">
                  <c:v>32.101799999999997</c:v>
                </c:pt>
                <c:pt idx="80">
                  <c:v>32.505699999999997</c:v>
                </c:pt>
                <c:pt idx="81">
                  <c:v>32.910699999999999</c:v>
                </c:pt>
                <c:pt idx="82">
                  <c:v>33.318600000000004</c:v>
                </c:pt>
                <c:pt idx="83">
                  <c:v>33.723599999999998</c:v>
                </c:pt>
                <c:pt idx="84">
                  <c:v>34.133299999999998</c:v>
                </c:pt>
                <c:pt idx="85">
                  <c:v>34.534300000000002</c:v>
                </c:pt>
                <c:pt idx="86">
                  <c:v>34.944400000000002</c:v>
                </c:pt>
                <c:pt idx="87">
                  <c:v>35.348500000000001</c:v>
                </c:pt>
                <c:pt idx="88">
                  <c:v>35.753700000000002</c:v>
                </c:pt>
                <c:pt idx="89">
                  <c:v>36.1629</c:v>
                </c:pt>
                <c:pt idx="90">
                  <c:v>36.569800000000001</c:v>
                </c:pt>
                <c:pt idx="91">
                  <c:v>36.973700000000001</c:v>
                </c:pt>
                <c:pt idx="92">
                  <c:v>37.3797</c:v>
                </c:pt>
                <c:pt idx="93">
                  <c:v>37.785499999999999</c:v>
                </c:pt>
                <c:pt idx="94">
                  <c:v>38.192599999999999</c:v>
                </c:pt>
                <c:pt idx="95">
                  <c:v>38.6023</c:v>
                </c:pt>
                <c:pt idx="96">
                  <c:v>39.005600000000001</c:v>
                </c:pt>
                <c:pt idx="97">
                  <c:v>39.414200000000001</c:v>
                </c:pt>
                <c:pt idx="98">
                  <c:v>39.819299999999998</c:v>
                </c:pt>
                <c:pt idx="99">
                  <c:v>40.222099999999998</c:v>
                </c:pt>
                <c:pt idx="100">
                  <c:v>40.633899999999997</c:v>
                </c:pt>
                <c:pt idx="101">
                  <c:v>41.040900000000001</c:v>
                </c:pt>
                <c:pt idx="102">
                  <c:v>41.444699999999997</c:v>
                </c:pt>
                <c:pt idx="103">
                  <c:v>41.849800000000002</c:v>
                </c:pt>
                <c:pt idx="104">
                  <c:v>42.256799999999998</c:v>
                </c:pt>
                <c:pt idx="105">
                  <c:v>42.665500000000002</c:v>
                </c:pt>
                <c:pt idx="106">
                  <c:v>43.072400000000002</c:v>
                </c:pt>
                <c:pt idx="107">
                  <c:v>43.474400000000003</c:v>
                </c:pt>
                <c:pt idx="108">
                  <c:v>43.8812</c:v>
                </c:pt>
                <c:pt idx="109">
                  <c:v>44.287300000000002</c:v>
                </c:pt>
                <c:pt idx="110">
                  <c:v>44.692</c:v>
                </c:pt>
                <c:pt idx="111">
                  <c:v>45.1</c:v>
                </c:pt>
                <c:pt idx="112">
                  <c:v>45.505000000000003</c:v>
                </c:pt>
                <c:pt idx="113">
                  <c:v>45.913800000000002</c:v>
                </c:pt>
                <c:pt idx="114">
                  <c:v>46.318300000000001</c:v>
                </c:pt>
                <c:pt idx="115">
                  <c:v>46.723599999999998</c:v>
                </c:pt>
                <c:pt idx="116">
                  <c:v>47.128599999999999</c:v>
                </c:pt>
                <c:pt idx="117">
                  <c:v>47.537399999999998</c:v>
                </c:pt>
                <c:pt idx="118">
                  <c:v>47.940300000000001</c:v>
                </c:pt>
                <c:pt idx="119">
                  <c:v>48.353499999999997</c:v>
                </c:pt>
                <c:pt idx="120">
                  <c:v>48.758200000000002</c:v>
                </c:pt>
                <c:pt idx="121">
                  <c:v>49.162100000000002</c:v>
                </c:pt>
                <c:pt idx="122">
                  <c:v>49.569299999999998</c:v>
                </c:pt>
                <c:pt idx="123">
                  <c:v>49.976999999999997</c:v>
                </c:pt>
                <c:pt idx="124">
                  <c:v>50.382899999999999</c:v>
                </c:pt>
                <c:pt idx="125">
                  <c:v>50.788699999999999</c:v>
                </c:pt>
                <c:pt idx="126">
                  <c:v>51.191800000000001</c:v>
                </c:pt>
                <c:pt idx="127">
                  <c:v>51.597700000000003</c:v>
                </c:pt>
                <c:pt idx="128">
                  <c:v>52.003599999999999</c:v>
                </c:pt>
                <c:pt idx="129">
                  <c:v>52.410400000000003</c:v>
                </c:pt>
                <c:pt idx="130">
                  <c:v>52.819499999999998</c:v>
                </c:pt>
                <c:pt idx="131">
                  <c:v>53.225200000000001</c:v>
                </c:pt>
                <c:pt idx="132">
                  <c:v>53.6342</c:v>
                </c:pt>
                <c:pt idx="133">
                  <c:v>54.039099999999998</c:v>
                </c:pt>
                <c:pt idx="134">
                  <c:v>54.445</c:v>
                </c:pt>
                <c:pt idx="135">
                  <c:v>54.850999999999999</c:v>
                </c:pt>
                <c:pt idx="136">
                  <c:v>55.259900000000002</c:v>
                </c:pt>
                <c:pt idx="137">
                  <c:v>55.662700000000001</c:v>
                </c:pt>
                <c:pt idx="138">
                  <c:v>56.070799999999998</c:v>
                </c:pt>
                <c:pt idx="139">
                  <c:v>56.472700000000003</c:v>
                </c:pt>
                <c:pt idx="140">
                  <c:v>56.878599999999999</c:v>
                </c:pt>
                <c:pt idx="141">
                  <c:v>57.289400000000001</c:v>
                </c:pt>
                <c:pt idx="142">
                  <c:v>57.696399999999997</c:v>
                </c:pt>
                <c:pt idx="143">
                  <c:v>58.101100000000002</c:v>
                </c:pt>
                <c:pt idx="144">
                  <c:v>58.503399999999999</c:v>
                </c:pt>
                <c:pt idx="145">
                  <c:v>58.912999999999997</c:v>
                </c:pt>
                <c:pt idx="146">
                  <c:v>59.316000000000003</c:v>
                </c:pt>
                <c:pt idx="147">
                  <c:v>59.722900000000003</c:v>
                </c:pt>
                <c:pt idx="148">
                  <c:v>60.132800000000003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  <c:pt idx="75">
                  <c:v>32.027999999999999</c:v>
                </c:pt>
                <c:pt idx="76">
                  <c:v>32.298900000000003</c:v>
                </c:pt>
                <c:pt idx="77">
                  <c:v>32.562000000000005</c:v>
                </c:pt>
                <c:pt idx="78">
                  <c:v>32.763500000000001</c:v>
                </c:pt>
                <c:pt idx="79">
                  <c:v>32.896500000000003</c:v>
                </c:pt>
                <c:pt idx="80">
                  <c:v>32.975100000000005</c:v>
                </c:pt>
                <c:pt idx="81">
                  <c:v>32.980699999999999</c:v>
                </c:pt>
                <c:pt idx="82">
                  <c:v>32.853000000000002</c:v>
                </c:pt>
                <c:pt idx="83">
                  <c:v>32.540700000000001</c:v>
                </c:pt>
                <c:pt idx="84">
                  <c:v>32.159599999999998</c:v>
                </c:pt>
                <c:pt idx="85">
                  <c:v>31.739299999999997</c:v>
                </c:pt>
                <c:pt idx="86">
                  <c:v>31.324400000000001</c:v>
                </c:pt>
                <c:pt idx="87">
                  <c:v>30.822800000000001</c:v>
                </c:pt>
                <c:pt idx="88">
                  <c:v>30.213899999999999</c:v>
                </c:pt>
                <c:pt idx="89">
                  <c:v>29.520000000000003</c:v>
                </c:pt>
                <c:pt idx="90">
                  <c:v>28.749099999999999</c:v>
                </c:pt>
                <c:pt idx="91">
                  <c:v>28.053599999999999</c:v>
                </c:pt>
                <c:pt idx="92">
                  <c:v>27.391399999999997</c:v>
                </c:pt>
                <c:pt idx="93">
                  <c:v>26.664999999999999</c:v>
                </c:pt>
                <c:pt idx="94">
                  <c:v>25.854500000000002</c:v>
                </c:pt>
                <c:pt idx="95">
                  <c:v>25.022499999999997</c:v>
                </c:pt>
                <c:pt idx="96">
                  <c:v>24.230399999999999</c:v>
                </c:pt>
                <c:pt idx="97">
                  <c:v>23.655999999999999</c:v>
                </c:pt>
                <c:pt idx="98">
                  <c:v>23.271900000000002</c:v>
                </c:pt>
                <c:pt idx="99">
                  <c:v>22.881999999999998</c:v>
                </c:pt>
                <c:pt idx="100">
                  <c:v>22.510400000000001</c:v>
                </c:pt>
                <c:pt idx="101">
                  <c:v>22.046700000000001</c:v>
                </c:pt>
                <c:pt idx="102">
                  <c:v>21.581</c:v>
                </c:pt>
                <c:pt idx="103">
                  <c:v>21.167200000000001</c:v>
                </c:pt>
                <c:pt idx="104">
                  <c:v>20.6996</c:v>
                </c:pt>
                <c:pt idx="105">
                  <c:v>20.2438</c:v>
                </c:pt>
                <c:pt idx="106">
                  <c:v>19.7196</c:v>
                </c:pt>
                <c:pt idx="107">
                  <c:v>19.220699999999997</c:v>
                </c:pt>
                <c:pt idx="108">
                  <c:v>18.8475</c:v>
                </c:pt>
                <c:pt idx="109">
                  <c:v>18.540799999999997</c:v>
                </c:pt>
                <c:pt idx="110">
                  <c:v>18.3279</c:v>
                </c:pt>
                <c:pt idx="111">
                  <c:v>18.154400000000003</c:v>
                </c:pt>
                <c:pt idx="112">
                  <c:v>17.996599999999997</c:v>
                </c:pt>
                <c:pt idx="113">
                  <c:v>17.881700000000002</c:v>
                </c:pt>
                <c:pt idx="114">
                  <c:v>17.7529</c:v>
                </c:pt>
                <c:pt idx="115">
                  <c:v>17.6509</c:v>
                </c:pt>
                <c:pt idx="116">
                  <c:v>17.560100000000002</c:v>
                </c:pt>
                <c:pt idx="117">
                  <c:v>17.514099999999999</c:v>
                </c:pt>
                <c:pt idx="118">
                  <c:v>17.580399999999997</c:v>
                </c:pt>
                <c:pt idx="119">
                  <c:v>17.698399999999999</c:v>
                </c:pt>
                <c:pt idx="120">
                  <c:v>17.835000000000001</c:v>
                </c:pt>
                <c:pt idx="121">
                  <c:v>18.009399999999999</c:v>
                </c:pt>
                <c:pt idx="122">
                  <c:v>18.226600000000001</c:v>
                </c:pt>
                <c:pt idx="123">
                  <c:v>18.520500000000002</c:v>
                </c:pt>
                <c:pt idx="124">
                  <c:v>18.683900000000001</c:v>
                </c:pt>
                <c:pt idx="125">
                  <c:v>18.7239</c:v>
                </c:pt>
                <c:pt idx="126">
                  <c:v>18.793599999999998</c:v>
                </c:pt>
                <c:pt idx="127">
                  <c:v>18.8779</c:v>
                </c:pt>
                <c:pt idx="128">
                  <c:v>18.960599999999999</c:v>
                </c:pt>
                <c:pt idx="129">
                  <c:v>19.102800000000002</c:v>
                </c:pt>
                <c:pt idx="130">
                  <c:v>19.248899999999999</c:v>
                </c:pt>
                <c:pt idx="131">
                  <c:v>19.501200000000001</c:v>
                </c:pt>
                <c:pt idx="132">
                  <c:v>19.831499999999998</c:v>
                </c:pt>
                <c:pt idx="133">
                  <c:v>20.101800000000001</c:v>
                </c:pt>
                <c:pt idx="134">
                  <c:v>20.341100000000001</c:v>
                </c:pt>
                <c:pt idx="135">
                  <c:v>20.505399999999998</c:v>
                </c:pt>
                <c:pt idx="136">
                  <c:v>20.657700000000002</c:v>
                </c:pt>
                <c:pt idx="137">
                  <c:v>20.896600000000003</c:v>
                </c:pt>
                <c:pt idx="138">
                  <c:v>21.199000000000002</c:v>
                </c:pt>
                <c:pt idx="139">
                  <c:v>21.683499999999999</c:v>
                </c:pt>
                <c:pt idx="140">
                  <c:v>22.334200000000003</c:v>
                </c:pt>
                <c:pt idx="141">
                  <c:v>23.1023</c:v>
                </c:pt>
                <c:pt idx="142">
                  <c:v>23.9953</c:v>
                </c:pt>
                <c:pt idx="143">
                  <c:v>24.7667</c:v>
                </c:pt>
                <c:pt idx="144">
                  <c:v>25.735500000000002</c:v>
                </c:pt>
                <c:pt idx="145">
                  <c:v>26.8108</c:v>
                </c:pt>
                <c:pt idx="146">
                  <c:v>27.926400000000001</c:v>
                </c:pt>
                <c:pt idx="147">
                  <c:v>28.5246</c:v>
                </c:pt>
                <c:pt idx="148">
                  <c:v>28.520099999999999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30.0349</c:v>
                </c:pt>
                <c:pt idx="1">
                  <c:v>30.472100000000001</c:v>
                </c:pt>
                <c:pt idx="2">
                  <c:v>30.880700000000001</c:v>
                </c:pt>
                <c:pt idx="3">
                  <c:v>31.2879</c:v>
                </c:pt>
                <c:pt idx="4">
                  <c:v>31.694099999999999</c:v>
                </c:pt>
                <c:pt idx="5">
                  <c:v>32.101799999999997</c:v>
                </c:pt>
                <c:pt idx="6">
                  <c:v>32.505699999999997</c:v>
                </c:pt>
                <c:pt idx="7">
                  <c:v>32.910699999999999</c:v>
                </c:pt>
                <c:pt idx="8">
                  <c:v>33.318600000000004</c:v>
                </c:pt>
                <c:pt idx="9">
                  <c:v>33.723599999999998</c:v>
                </c:pt>
                <c:pt idx="10">
                  <c:v>34.133299999999998</c:v>
                </c:pt>
                <c:pt idx="11">
                  <c:v>34.534300000000002</c:v>
                </c:pt>
                <c:pt idx="12">
                  <c:v>34.944400000000002</c:v>
                </c:pt>
                <c:pt idx="13">
                  <c:v>35.348500000000001</c:v>
                </c:pt>
                <c:pt idx="14">
                  <c:v>35.753700000000002</c:v>
                </c:pt>
                <c:pt idx="15">
                  <c:v>36.1629</c:v>
                </c:pt>
                <c:pt idx="16">
                  <c:v>36.569800000000001</c:v>
                </c:pt>
                <c:pt idx="17">
                  <c:v>36.973700000000001</c:v>
                </c:pt>
                <c:pt idx="18">
                  <c:v>37.3797</c:v>
                </c:pt>
                <c:pt idx="19">
                  <c:v>37.785499999999999</c:v>
                </c:pt>
                <c:pt idx="20">
                  <c:v>38.192599999999999</c:v>
                </c:pt>
                <c:pt idx="21">
                  <c:v>38.6023</c:v>
                </c:pt>
                <c:pt idx="22">
                  <c:v>39.005600000000001</c:v>
                </c:pt>
                <c:pt idx="23">
                  <c:v>39.414200000000001</c:v>
                </c:pt>
                <c:pt idx="24">
                  <c:v>39.819299999999998</c:v>
                </c:pt>
                <c:pt idx="25">
                  <c:v>40.222099999999998</c:v>
                </c:pt>
                <c:pt idx="26">
                  <c:v>40.633899999999997</c:v>
                </c:pt>
                <c:pt idx="27">
                  <c:v>41.040900000000001</c:v>
                </c:pt>
                <c:pt idx="28">
                  <c:v>41.444699999999997</c:v>
                </c:pt>
                <c:pt idx="29">
                  <c:v>41.849800000000002</c:v>
                </c:pt>
                <c:pt idx="30">
                  <c:v>42.256799999999998</c:v>
                </c:pt>
                <c:pt idx="31">
                  <c:v>42.665500000000002</c:v>
                </c:pt>
                <c:pt idx="32">
                  <c:v>43.072400000000002</c:v>
                </c:pt>
                <c:pt idx="33">
                  <c:v>43.474400000000003</c:v>
                </c:pt>
                <c:pt idx="34">
                  <c:v>43.8812</c:v>
                </c:pt>
                <c:pt idx="35">
                  <c:v>44.287300000000002</c:v>
                </c:pt>
                <c:pt idx="36">
                  <c:v>44.692</c:v>
                </c:pt>
                <c:pt idx="37">
                  <c:v>45.1</c:v>
                </c:pt>
                <c:pt idx="38">
                  <c:v>45.505000000000003</c:v>
                </c:pt>
                <c:pt idx="39">
                  <c:v>45.913800000000002</c:v>
                </c:pt>
                <c:pt idx="40">
                  <c:v>46.318300000000001</c:v>
                </c:pt>
                <c:pt idx="41">
                  <c:v>46.723599999999998</c:v>
                </c:pt>
                <c:pt idx="42">
                  <c:v>47.128599999999999</c:v>
                </c:pt>
                <c:pt idx="43">
                  <c:v>47.537399999999998</c:v>
                </c:pt>
                <c:pt idx="44">
                  <c:v>47.940300000000001</c:v>
                </c:pt>
                <c:pt idx="45">
                  <c:v>48.353499999999997</c:v>
                </c:pt>
                <c:pt idx="46">
                  <c:v>48.758200000000002</c:v>
                </c:pt>
                <c:pt idx="47">
                  <c:v>49.162100000000002</c:v>
                </c:pt>
                <c:pt idx="48">
                  <c:v>49.569299999999998</c:v>
                </c:pt>
                <c:pt idx="49">
                  <c:v>49.976999999999997</c:v>
                </c:pt>
                <c:pt idx="50">
                  <c:v>50.382899999999999</c:v>
                </c:pt>
                <c:pt idx="51">
                  <c:v>50.788699999999999</c:v>
                </c:pt>
                <c:pt idx="52">
                  <c:v>51.191800000000001</c:v>
                </c:pt>
                <c:pt idx="53">
                  <c:v>51.597700000000003</c:v>
                </c:pt>
                <c:pt idx="54">
                  <c:v>52.003599999999999</c:v>
                </c:pt>
                <c:pt idx="55">
                  <c:v>52.410400000000003</c:v>
                </c:pt>
                <c:pt idx="56">
                  <c:v>52.819499999999998</c:v>
                </c:pt>
                <c:pt idx="57">
                  <c:v>53.225200000000001</c:v>
                </c:pt>
                <c:pt idx="58">
                  <c:v>53.6342</c:v>
                </c:pt>
                <c:pt idx="59">
                  <c:v>54.039099999999998</c:v>
                </c:pt>
                <c:pt idx="60">
                  <c:v>54.445</c:v>
                </c:pt>
                <c:pt idx="61">
                  <c:v>54.850999999999999</c:v>
                </c:pt>
                <c:pt idx="62">
                  <c:v>55.259900000000002</c:v>
                </c:pt>
                <c:pt idx="63">
                  <c:v>55.662700000000001</c:v>
                </c:pt>
                <c:pt idx="64">
                  <c:v>56.070799999999998</c:v>
                </c:pt>
                <c:pt idx="65">
                  <c:v>56.472700000000003</c:v>
                </c:pt>
                <c:pt idx="66">
                  <c:v>56.878599999999999</c:v>
                </c:pt>
                <c:pt idx="67">
                  <c:v>57.289400000000001</c:v>
                </c:pt>
                <c:pt idx="68">
                  <c:v>57.696399999999997</c:v>
                </c:pt>
                <c:pt idx="69">
                  <c:v>58.101100000000002</c:v>
                </c:pt>
                <c:pt idx="70">
                  <c:v>58.503399999999999</c:v>
                </c:pt>
                <c:pt idx="71">
                  <c:v>58.912999999999997</c:v>
                </c:pt>
                <c:pt idx="72">
                  <c:v>59.316000000000003</c:v>
                </c:pt>
                <c:pt idx="73">
                  <c:v>59.722900000000003</c:v>
                </c:pt>
                <c:pt idx="74">
                  <c:v>60.132800000000003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31.781300000000002</c:v>
                </c:pt>
                <c:pt idx="1">
                  <c:v>32.027999999999999</c:v>
                </c:pt>
                <c:pt idx="2">
                  <c:v>32.298900000000003</c:v>
                </c:pt>
                <c:pt idx="3">
                  <c:v>32.562000000000005</c:v>
                </c:pt>
                <c:pt idx="4">
                  <c:v>32.763500000000001</c:v>
                </c:pt>
                <c:pt idx="5">
                  <c:v>32.896500000000003</c:v>
                </c:pt>
                <c:pt idx="6">
                  <c:v>32.975100000000005</c:v>
                </c:pt>
                <c:pt idx="7">
                  <c:v>32.980699999999999</c:v>
                </c:pt>
                <c:pt idx="8">
                  <c:v>32.853000000000002</c:v>
                </c:pt>
                <c:pt idx="9">
                  <c:v>32.540700000000001</c:v>
                </c:pt>
                <c:pt idx="10">
                  <c:v>32.159599999999998</c:v>
                </c:pt>
                <c:pt idx="11">
                  <c:v>31.739299999999997</c:v>
                </c:pt>
                <c:pt idx="12">
                  <c:v>31.324400000000001</c:v>
                </c:pt>
                <c:pt idx="13">
                  <c:v>30.822800000000001</c:v>
                </c:pt>
                <c:pt idx="14">
                  <c:v>30.213899999999999</c:v>
                </c:pt>
                <c:pt idx="15">
                  <c:v>29.520000000000003</c:v>
                </c:pt>
                <c:pt idx="16">
                  <c:v>28.749099999999999</c:v>
                </c:pt>
                <c:pt idx="17">
                  <c:v>28.053599999999999</c:v>
                </c:pt>
                <c:pt idx="18">
                  <c:v>27.391399999999997</c:v>
                </c:pt>
                <c:pt idx="19">
                  <c:v>26.664999999999999</c:v>
                </c:pt>
                <c:pt idx="20">
                  <c:v>25.854500000000002</c:v>
                </c:pt>
                <c:pt idx="21">
                  <c:v>25.022499999999997</c:v>
                </c:pt>
                <c:pt idx="22">
                  <c:v>24.230399999999999</c:v>
                </c:pt>
                <c:pt idx="23">
                  <c:v>23.655999999999999</c:v>
                </c:pt>
                <c:pt idx="24">
                  <c:v>23.271900000000002</c:v>
                </c:pt>
                <c:pt idx="25">
                  <c:v>22.881999999999998</c:v>
                </c:pt>
                <c:pt idx="26">
                  <c:v>22.510400000000001</c:v>
                </c:pt>
                <c:pt idx="27">
                  <c:v>22.046700000000001</c:v>
                </c:pt>
                <c:pt idx="28">
                  <c:v>21.581</c:v>
                </c:pt>
                <c:pt idx="29">
                  <c:v>21.167200000000001</c:v>
                </c:pt>
                <c:pt idx="30">
                  <c:v>20.6996</c:v>
                </c:pt>
                <c:pt idx="31">
                  <c:v>20.2438</c:v>
                </c:pt>
                <c:pt idx="32">
                  <c:v>19.7196</c:v>
                </c:pt>
                <c:pt idx="33">
                  <c:v>19.220699999999997</c:v>
                </c:pt>
                <c:pt idx="34">
                  <c:v>18.8475</c:v>
                </c:pt>
                <c:pt idx="35">
                  <c:v>18.540799999999997</c:v>
                </c:pt>
                <c:pt idx="36">
                  <c:v>18.3279</c:v>
                </c:pt>
                <c:pt idx="37">
                  <c:v>18.154400000000003</c:v>
                </c:pt>
                <c:pt idx="38">
                  <c:v>17.996599999999997</c:v>
                </c:pt>
                <c:pt idx="39">
                  <c:v>17.881700000000002</c:v>
                </c:pt>
                <c:pt idx="40">
                  <c:v>17.7529</c:v>
                </c:pt>
                <c:pt idx="41">
                  <c:v>17.6509</c:v>
                </c:pt>
                <c:pt idx="42">
                  <c:v>17.560100000000002</c:v>
                </c:pt>
                <c:pt idx="43">
                  <c:v>17.514099999999999</c:v>
                </c:pt>
                <c:pt idx="44">
                  <c:v>17.580399999999997</c:v>
                </c:pt>
                <c:pt idx="45">
                  <c:v>17.698399999999999</c:v>
                </c:pt>
                <c:pt idx="46">
                  <c:v>17.835000000000001</c:v>
                </c:pt>
                <c:pt idx="47">
                  <c:v>18.009399999999999</c:v>
                </c:pt>
                <c:pt idx="48">
                  <c:v>18.226600000000001</c:v>
                </c:pt>
                <c:pt idx="49">
                  <c:v>18.520500000000002</c:v>
                </c:pt>
                <c:pt idx="50">
                  <c:v>18.683900000000001</c:v>
                </c:pt>
                <c:pt idx="51">
                  <c:v>18.7239</c:v>
                </c:pt>
                <c:pt idx="52">
                  <c:v>18.793599999999998</c:v>
                </c:pt>
                <c:pt idx="53">
                  <c:v>18.8779</c:v>
                </c:pt>
                <c:pt idx="54">
                  <c:v>18.960599999999999</c:v>
                </c:pt>
                <c:pt idx="55">
                  <c:v>19.102800000000002</c:v>
                </c:pt>
                <c:pt idx="56">
                  <c:v>19.248899999999999</c:v>
                </c:pt>
                <c:pt idx="57">
                  <c:v>19.501200000000001</c:v>
                </c:pt>
                <c:pt idx="58">
                  <c:v>19.831499999999998</c:v>
                </c:pt>
                <c:pt idx="59">
                  <c:v>20.101800000000001</c:v>
                </c:pt>
                <c:pt idx="60">
                  <c:v>20.341100000000001</c:v>
                </c:pt>
                <c:pt idx="61">
                  <c:v>20.505399999999998</c:v>
                </c:pt>
                <c:pt idx="62">
                  <c:v>20.657700000000002</c:v>
                </c:pt>
                <c:pt idx="63">
                  <c:v>20.896600000000003</c:v>
                </c:pt>
                <c:pt idx="64">
                  <c:v>21.199000000000002</c:v>
                </c:pt>
                <c:pt idx="65">
                  <c:v>21.683499999999999</c:v>
                </c:pt>
                <c:pt idx="66">
                  <c:v>22.334200000000003</c:v>
                </c:pt>
                <c:pt idx="67">
                  <c:v>23.1023</c:v>
                </c:pt>
                <c:pt idx="68">
                  <c:v>23.9953</c:v>
                </c:pt>
                <c:pt idx="69">
                  <c:v>24.7667</c:v>
                </c:pt>
                <c:pt idx="70">
                  <c:v>25.735500000000002</c:v>
                </c:pt>
                <c:pt idx="71">
                  <c:v>26.8108</c:v>
                </c:pt>
                <c:pt idx="72">
                  <c:v>27.926400000000001</c:v>
                </c:pt>
                <c:pt idx="73">
                  <c:v>28.5246</c:v>
                </c:pt>
                <c:pt idx="74">
                  <c:v>28.520099999999999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15.033200000000001</c:v>
                </c:pt>
                <c:pt idx="1">
                  <c:v>45.099600000000002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26.071933783783781</c:v>
                </c:pt>
                <c:pt idx="1">
                  <c:v>23.551722972972982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48.518900000000002</c:v>
                </c:pt>
                <c:pt idx="1">
                  <c:v>34.705800000000004</c:v>
                </c:pt>
                <c:pt idx="2">
                  <c:v>32.342700000000001</c:v>
                </c:pt>
                <c:pt idx="3">
                  <c:v>38.296199999999999</c:v>
                </c:pt>
                <c:pt idx="4">
                  <c:v>59.731699999999996</c:v>
                </c:pt>
                <c:pt idx="5">
                  <c:v>66.624499999999998</c:v>
                </c:pt>
                <c:pt idx="6">
                  <c:v>22.541</c:v>
                </c:pt>
                <c:pt idx="7">
                  <c:v>61.8733</c:v>
                </c:pt>
                <c:pt idx="8">
                  <c:v>19.5688</c:v>
                </c:pt>
                <c:pt idx="9">
                  <c:v>20.336400000000001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54.863700000000001</c:v>
                </c:pt>
                <c:pt idx="1">
                  <c:v>35.546199999999999</c:v>
                </c:pt>
                <c:pt idx="2">
                  <c:v>26.394100000000002</c:v>
                </c:pt>
                <c:pt idx="3">
                  <c:v>39.777099999999997</c:v>
                </c:pt>
                <c:pt idx="4">
                  <c:v>54.241500000000002</c:v>
                </c:pt>
                <c:pt idx="5">
                  <c:v>62.416200000000003</c:v>
                </c:pt>
                <c:pt idx="6">
                  <c:v>24.693999999999999</c:v>
                </c:pt>
                <c:pt idx="7">
                  <c:v>57.658200000000001</c:v>
                </c:pt>
                <c:pt idx="8">
                  <c:v>22.5334</c:v>
                </c:pt>
                <c:pt idx="9">
                  <c:v>20.843499999999999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0.47423356572080427</c:v>
                </c:pt>
                <c:pt idx="1">
                  <c:v>0.34619305672586798</c:v>
                </c:pt>
                <c:pt idx="2">
                  <c:v>0.17957337755332781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14176</c:v>
                </c:pt>
                <c:pt idx="7">
                  <c:v>0</c:v>
                </c:pt>
                <c:pt idx="8">
                  <c:v>12549</c:v>
                </c:pt>
                <c:pt idx="9">
                  <c:v>0</c:v>
                </c:pt>
                <c:pt idx="10">
                  <c:v>0</c:v>
                </c:pt>
                <c:pt idx="11">
                  <c:v>14970</c:v>
                </c:pt>
                <c:pt idx="12">
                  <c:v>0</c:v>
                </c:pt>
                <c:pt idx="13">
                  <c:v>20989</c:v>
                </c:pt>
                <c:pt idx="14">
                  <c:v>0</c:v>
                </c:pt>
                <c:pt idx="15">
                  <c:v>0</c:v>
                </c:pt>
                <c:pt idx="16">
                  <c:v>18417</c:v>
                </c:pt>
                <c:pt idx="17">
                  <c:v>0</c:v>
                </c:pt>
                <c:pt idx="18">
                  <c:v>0</c:v>
                </c:pt>
                <c:pt idx="19">
                  <c:v>19068</c:v>
                </c:pt>
                <c:pt idx="20">
                  <c:v>0</c:v>
                </c:pt>
                <c:pt idx="21">
                  <c:v>21155</c:v>
                </c:pt>
                <c:pt idx="22">
                  <c:v>0</c:v>
                </c:pt>
                <c:pt idx="23">
                  <c:v>0</c:v>
                </c:pt>
                <c:pt idx="24">
                  <c:v>28552</c:v>
                </c:pt>
                <c:pt idx="25">
                  <c:v>0</c:v>
                </c:pt>
                <c:pt idx="26">
                  <c:v>32363</c:v>
                </c:pt>
                <c:pt idx="27">
                  <c:v>0</c:v>
                </c:pt>
                <c:pt idx="28">
                  <c:v>0</c:v>
                </c:pt>
                <c:pt idx="29">
                  <c:v>35609</c:v>
                </c:pt>
                <c:pt idx="30">
                  <c:v>0</c:v>
                </c:pt>
                <c:pt idx="31">
                  <c:v>39612</c:v>
                </c:pt>
                <c:pt idx="32">
                  <c:v>0</c:v>
                </c:pt>
                <c:pt idx="33">
                  <c:v>0</c:v>
                </c:pt>
                <c:pt idx="34">
                  <c:v>42687</c:v>
                </c:pt>
                <c:pt idx="35">
                  <c:v>0</c:v>
                </c:pt>
                <c:pt idx="36">
                  <c:v>0</c:v>
                </c:pt>
                <c:pt idx="37">
                  <c:v>43018</c:v>
                </c:pt>
                <c:pt idx="38">
                  <c:v>0</c:v>
                </c:pt>
                <c:pt idx="39">
                  <c:v>41985</c:v>
                </c:pt>
                <c:pt idx="40">
                  <c:v>0</c:v>
                </c:pt>
                <c:pt idx="41">
                  <c:v>0</c:v>
                </c:pt>
                <c:pt idx="42">
                  <c:v>46130</c:v>
                </c:pt>
                <c:pt idx="43">
                  <c:v>0</c:v>
                </c:pt>
                <c:pt idx="44">
                  <c:v>44265</c:v>
                </c:pt>
                <c:pt idx="45">
                  <c:v>0</c:v>
                </c:pt>
                <c:pt idx="46">
                  <c:v>0</c:v>
                </c:pt>
                <c:pt idx="47">
                  <c:v>47733</c:v>
                </c:pt>
                <c:pt idx="48">
                  <c:v>0</c:v>
                </c:pt>
                <c:pt idx="49">
                  <c:v>46954</c:v>
                </c:pt>
                <c:pt idx="50">
                  <c:v>0</c:v>
                </c:pt>
                <c:pt idx="51">
                  <c:v>0</c:v>
                </c:pt>
                <c:pt idx="52">
                  <c:v>45982</c:v>
                </c:pt>
                <c:pt idx="53">
                  <c:v>0</c:v>
                </c:pt>
                <c:pt idx="54">
                  <c:v>0</c:v>
                </c:pt>
                <c:pt idx="55">
                  <c:v>46103</c:v>
                </c:pt>
                <c:pt idx="56">
                  <c:v>0</c:v>
                </c:pt>
                <c:pt idx="57">
                  <c:v>42029</c:v>
                </c:pt>
                <c:pt idx="58">
                  <c:v>0</c:v>
                </c:pt>
                <c:pt idx="59">
                  <c:v>0</c:v>
                </c:pt>
                <c:pt idx="60">
                  <c:v>43973</c:v>
                </c:pt>
                <c:pt idx="61">
                  <c:v>0</c:v>
                </c:pt>
                <c:pt idx="62">
                  <c:v>47778</c:v>
                </c:pt>
                <c:pt idx="63">
                  <c:v>0</c:v>
                </c:pt>
                <c:pt idx="64">
                  <c:v>0</c:v>
                </c:pt>
                <c:pt idx="65">
                  <c:v>52230</c:v>
                </c:pt>
                <c:pt idx="66">
                  <c:v>0</c:v>
                </c:pt>
                <c:pt idx="67">
                  <c:v>45816</c:v>
                </c:pt>
                <c:pt idx="68">
                  <c:v>0</c:v>
                </c:pt>
                <c:pt idx="69">
                  <c:v>0</c:v>
                </c:pt>
                <c:pt idx="70">
                  <c:v>46797</c:v>
                </c:pt>
                <c:pt idx="71">
                  <c:v>0</c:v>
                </c:pt>
                <c:pt idx="72">
                  <c:v>0</c:v>
                </c:pt>
                <c:pt idx="73">
                  <c:v>51754</c:v>
                </c:pt>
                <c:pt idx="74">
                  <c:v>0</c:v>
                </c:pt>
                <c:pt idx="75">
                  <c:v>51823</c:v>
                </c:pt>
                <c:pt idx="76">
                  <c:v>0</c:v>
                </c:pt>
                <c:pt idx="77">
                  <c:v>0</c:v>
                </c:pt>
                <c:pt idx="78">
                  <c:v>52893</c:v>
                </c:pt>
                <c:pt idx="79">
                  <c:v>0</c:v>
                </c:pt>
                <c:pt idx="80">
                  <c:v>56799</c:v>
                </c:pt>
                <c:pt idx="81">
                  <c:v>0</c:v>
                </c:pt>
                <c:pt idx="82">
                  <c:v>0</c:v>
                </c:pt>
                <c:pt idx="83">
                  <c:v>58800</c:v>
                </c:pt>
                <c:pt idx="84">
                  <c:v>0</c:v>
                </c:pt>
                <c:pt idx="85">
                  <c:v>0</c:v>
                </c:pt>
                <c:pt idx="86">
                  <c:v>53977</c:v>
                </c:pt>
                <c:pt idx="87">
                  <c:v>0</c:v>
                </c:pt>
                <c:pt idx="88">
                  <c:v>59580</c:v>
                </c:pt>
                <c:pt idx="89">
                  <c:v>0</c:v>
                </c:pt>
                <c:pt idx="90">
                  <c:v>0</c:v>
                </c:pt>
                <c:pt idx="91">
                  <c:v>54140</c:v>
                </c:pt>
                <c:pt idx="92">
                  <c:v>0</c:v>
                </c:pt>
                <c:pt idx="93">
                  <c:v>53178</c:v>
                </c:pt>
                <c:pt idx="94">
                  <c:v>0</c:v>
                </c:pt>
                <c:pt idx="95">
                  <c:v>0</c:v>
                </c:pt>
                <c:pt idx="96">
                  <c:v>54459</c:v>
                </c:pt>
                <c:pt idx="97">
                  <c:v>0</c:v>
                </c:pt>
                <c:pt idx="98">
                  <c:v>51125</c:v>
                </c:pt>
                <c:pt idx="99">
                  <c:v>0</c:v>
                </c:pt>
                <c:pt idx="100">
                  <c:v>0</c:v>
                </c:pt>
                <c:pt idx="101">
                  <c:v>45894</c:v>
                </c:pt>
                <c:pt idx="102">
                  <c:v>0</c:v>
                </c:pt>
                <c:pt idx="103">
                  <c:v>0</c:v>
                </c:pt>
                <c:pt idx="104">
                  <c:v>45245</c:v>
                </c:pt>
                <c:pt idx="105">
                  <c:v>0</c:v>
                </c:pt>
                <c:pt idx="106">
                  <c:v>45636</c:v>
                </c:pt>
                <c:pt idx="107">
                  <c:v>0</c:v>
                </c:pt>
                <c:pt idx="108">
                  <c:v>0</c:v>
                </c:pt>
                <c:pt idx="109">
                  <c:v>46240</c:v>
                </c:pt>
                <c:pt idx="110">
                  <c:v>0</c:v>
                </c:pt>
                <c:pt idx="111">
                  <c:v>46562</c:v>
                </c:pt>
                <c:pt idx="112">
                  <c:v>0</c:v>
                </c:pt>
                <c:pt idx="113">
                  <c:v>0</c:v>
                </c:pt>
                <c:pt idx="114">
                  <c:v>46156</c:v>
                </c:pt>
                <c:pt idx="115">
                  <c:v>0</c:v>
                </c:pt>
                <c:pt idx="116">
                  <c:v>45651</c:v>
                </c:pt>
                <c:pt idx="117">
                  <c:v>0</c:v>
                </c:pt>
                <c:pt idx="118">
                  <c:v>0</c:v>
                </c:pt>
                <c:pt idx="119">
                  <c:v>46622</c:v>
                </c:pt>
                <c:pt idx="120">
                  <c:v>0</c:v>
                </c:pt>
                <c:pt idx="121">
                  <c:v>0</c:v>
                </c:pt>
                <c:pt idx="122">
                  <c:v>42729</c:v>
                </c:pt>
                <c:pt idx="123">
                  <c:v>0</c:v>
                </c:pt>
                <c:pt idx="124">
                  <c:v>45172</c:v>
                </c:pt>
                <c:pt idx="125">
                  <c:v>0</c:v>
                </c:pt>
                <c:pt idx="126">
                  <c:v>0</c:v>
                </c:pt>
                <c:pt idx="127">
                  <c:v>44625</c:v>
                </c:pt>
                <c:pt idx="128">
                  <c:v>0</c:v>
                </c:pt>
                <c:pt idx="129">
                  <c:v>42191</c:v>
                </c:pt>
                <c:pt idx="130">
                  <c:v>0</c:v>
                </c:pt>
                <c:pt idx="131">
                  <c:v>0</c:v>
                </c:pt>
                <c:pt idx="132">
                  <c:v>39480</c:v>
                </c:pt>
                <c:pt idx="133">
                  <c:v>0</c:v>
                </c:pt>
                <c:pt idx="134">
                  <c:v>41865</c:v>
                </c:pt>
                <c:pt idx="135">
                  <c:v>0</c:v>
                </c:pt>
                <c:pt idx="136">
                  <c:v>0</c:v>
                </c:pt>
                <c:pt idx="137">
                  <c:v>36745</c:v>
                </c:pt>
                <c:pt idx="138">
                  <c:v>0</c:v>
                </c:pt>
                <c:pt idx="139">
                  <c:v>0</c:v>
                </c:pt>
                <c:pt idx="140">
                  <c:v>33250</c:v>
                </c:pt>
                <c:pt idx="141">
                  <c:v>0</c:v>
                </c:pt>
                <c:pt idx="142">
                  <c:v>28533</c:v>
                </c:pt>
                <c:pt idx="143">
                  <c:v>0</c:v>
                </c:pt>
                <c:pt idx="144">
                  <c:v>0</c:v>
                </c:pt>
                <c:pt idx="145">
                  <c:v>28450</c:v>
                </c:pt>
                <c:pt idx="146">
                  <c:v>0</c:v>
                </c:pt>
                <c:pt idx="147">
                  <c:v>28044</c:v>
                </c:pt>
                <c:pt idx="148">
                  <c:v>0</c:v>
                </c:pt>
                <c:pt idx="149">
                  <c:v>0</c:v>
                </c:pt>
                <c:pt idx="150">
                  <c:v>26348</c:v>
                </c:pt>
                <c:pt idx="151">
                  <c:v>0</c:v>
                </c:pt>
                <c:pt idx="152">
                  <c:v>26696</c:v>
                </c:pt>
                <c:pt idx="153">
                  <c:v>0</c:v>
                </c:pt>
                <c:pt idx="154">
                  <c:v>0</c:v>
                </c:pt>
                <c:pt idx="155">
                  <c:v>27957</c:v>
                </c:pt>
                <c:pt idx="156">
                  <c:v>0</c:v>
                </c:pt>
                <c:pt idx="157">
                  <c:v>0</c:v>
                </c:pt>
                <c:pt idx="158">
                  <c:v>27277</c:v>
                </c:pt>
                <c:pt idx="159">
                  <c:v>0</c:v>
                </c:pt>
                <c:pt idx="160">
                  <c:v>26659</c:v>
                </c:pt>
                <c:pt idx="161">
                  <c:v>0</c:v>
                </c:pt>
                <c:pt idx="162">
                  <c:v>0</c:v>
                </c:pt>
                <c:pt idx="163">
                  <c:v>25512</c:v>
                </c:pt>
                <c:pt idx="164">
                  <c:v>0</c:v>
                </c:pt>
                <c:pt idx="165">
                  <c:v>24008</c:v>
                </c:pt>
                <c:pt idx="166">
                  <c:v>0</c:v>
                </c:pt>
                <c:pt idx="167">
                  <c:v>0</c:v>
                </c:pt>
                <c:pt idx="168">
                  <c:v>20053</c:v>
                </c:pt>
                <c:pt idx="169">
                  <c:v>0</c:v>
                </c:pt>
                <c:pt idx="170">
                  <c:v>0</c:v>
                </c:pt>
                <c:pt idx="171">
                  <c:v>14477</c:v>
                </c:pt>
                <c:pt idx="172">
                  <c:v>0</c:v>
                </c:pt>
                <c:pt idx="173">
                  <c:v>10411</c:v>
                </c:pt>
                <c:pt idx="174">
                  <c:v>0</c:v>
                </c:pt>
                <c:pt idx="175">
                  <c:v>0</c:v>
                </c:pt>
                <c:pt idx="176">
                  <c:v>7267</c:v>
                </c:pt>
                <c:pt idx="177">
                  <c:v>0</c:v>
                </c:pt>
                <c:pt idx="178">
                  <c:v>5159</c:v>
                </c:pt>
                <c:pt idx="179">
                  <c:v>0</c:v>
                </c:pt>
                <c:pt idx="180">
                  <c:v>0</c:v>
                </c:pt>
                <c:pt idx="181">
                  <c:v>3569</c:v>
                </c:pt>
                <c:pt idx="182">
                  <c:v>0</c:v>
                </c:pt>
                <c:pt idx="183">
                  <c:v>1669</c:v>
                </c:pt>
                <c:pt idx="184">
                  <c:v>0</c:v>
                </c:pt>
                <c:pt idx="185">
                  <c:v>0</c:v>
                </c:pt>
                <c:pt idx="186">
                  <c:v>625</c:v>
                </c:pt>
                <c:pt idx="187">
                  <c:v>0</c:v>
                </c:pt>
                <c:pt idx="188">
                  <c:v>0</c:v>
                </c:pt>
                <c:pt idx="189">
                  <c:v>570</c:v>
                </c:pt>
                <c:pt idx="190">
                  <c:v>0</c:v>
                </c:pt>
                <c:pt idx="191">
                  <c:v>136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10807</c:v>
                </c:pt>
                <c:pt idx="7">
                  <c:v>0</c:v>
                </c:pt>
                <c:pt idx="8">
                  <c:v>14846</c:v>
                </c:pt>
                <c:pt idx="9">
                  <c:v>0</c:v>
                </c:pt>
                <c:pt idx="10">
                  <c:v>0</c:v>
                </c:pt>
                <c:pt idx="11">
                  <c:v>12381</c:v>
                </c:pt>
                <c:pt idx="12">
                  <c:v>0</c:v>
                </c:pt>
                <c:pt idx="13">
                  <c:v>14247</c:v>
                </c:pt>
                <c:pt idx="14">
                  <c:v>0</c:v>
                </c:pt>
                <c:pt idx="15">
                  <c:v>0</c:v>
                </c:pt>
                <c:pt idx="16">
                  <c:v>19130</c:v>
                </c:pt>
                <c:pt idx="17">
                  <c:v>0</c:v>
                </c:pt>
                <c:pt idx="18">
                  <c:v>0</c:v>
                </c:pt>
                <c:pt idx="19">
                  <c:v>23902</c:v>
                </c:pt>
                <c:pt idx="20">
                  <c:v>0</c:v>
                </c:pt>
                <c:pt idx="21">
                  <c:v>26536</c:v>
                </c:pt>
                <c:pt idx="22">
                  <c:v>0</c:v>
                </c:pt>
                <c:pt idx="23">
                  <c:v>0</c:v>
                </c:pt>
                <c:pt idx="24">
                  <c:v>20806</c:v>
                </c:pt>
                <c:pt idx="25">
                  <c:v>0</c:v>
                </c:pt>
                <c:pt idx="26">
                  <c:v>20153</c:v>
                </c:pt>
                <c:pt idx="27">
                  <c:v>0</c:v>
                </c:pt>
                <c:pt idx="28">
                  <c:v>0</c:v>
                </c:pt>
                <c:pt idx="29">
                  <c:v>20215</c:v>
                </c:pt>
                <c:pt idx="30">
                  <c:v>0</c:v>
                </c:pt>
                <c:pt idx="31">
                  <c:v>20157</c:v>
                </c:pt>
                <c:pt idx="32">
                  <c:v>0</c:v>
                </c:pt>
                <c:pt idx="33">
                  <c:v>0</c:v>
                </c:pt>
                <c:pt idx="34">
                  <c:v>21225</c:v>
                </c:pt>
                <c:pt idx="35">
                  <c:v>0</c:v>
                </c:pt>
                <c:pt idx="36">
                  <c:v>0</c:v>
                </c:pt>
                <c:pt idx="37">
                  <c:v>21195</c:v>
                </c:pt>
                <c:pt idx="38">
                  <c:v>0</c:v>
                </c:pt>
                <c:pt idx="39">
                  <c:v>21559</c:v>
                </c:pt>
                <c:pt idx="40">
                  <c:v>0</c:v>
                </c:pt>
                <c:pt idx="41">
                  <c:v>0</c:v>
                </c:pt>
                <c:pt idx="42">
                  <c:v>25366</c:v>
                </c:pt>
                <c:pt idx="43">
                  <c:v>0</c:v>
                </c:pt>
                <c:pt idx="44">
                  <c:v>23711</c:v>
                </c:pt>
                <c:pt idx="45">
                  <c:v>0</c:v>
                </c:pt>
                <c:pt idx="46">
                  <c:v>0</c:v>
                </c:pt>
                <c:pt idx="47">
                  <c:v>22967</c:v>
                </c:pt>
                <c:pt idx="48">
                  <c:v>0</c:v>
                </c:pt>
                <c:pt idx="49">
                  <c:v>25577</c:v>
                </c:pt>
                <c:pt idx="50">
                  <c:v>0</c:v>
                </c:pt>
                <c:pt idx="51">
                  <c:v>0</c:v>
                </c:pt>
                <c:pt idx="52">
                  <c:v>23877</c:v>
                </c:pt>
                <c:pt idx="53">
                  <c:v>0</c:v>
                </c:pt>
                <c:pt idx="54">
                  <c:v>0</c:v>
                </c:pt>
                <c:pt idx="55">
                  <c:v>23728</c:v>
                </c:pt>
                <c:pt idx="56">
                  <c:v>0</c:v>
                </c:pt>
                <c:pt idx="57">
                  <c:v>24595</c:v>
                </c:pt>
                <c:pt idx="58">
                  <c:v>0</c:v>
                </c:pt>
                <c:pt idx="59">
                  <c:v>0</c:v>
                </c:pt>
                <c:pt idx="60">
                  <c:v>25149</c:v>
                </c:pt>
                <c:pt idx="61">
                  <c:v>0</c:v>
                </c:pt>
                <c:pt idx="62">
                  <c:v>29977</c:v>
                </c:pt>
                <c:pt idx="63">
                  <c:v>0</c:v>
                </c:pt>
                <c:pt idx="64">
                  <c:v>0</c:v>
                </c:pt>
                <c:pt idx="65">
                  <c:v>28524</c:v>
                </c:pt>
                <c:pt idx="66">
                  <c:v>0</c:v>
                </c:pt>
                <c:pt idx="67">
                  <c:v>32766</c:v>
                </c:pt>
                <c:pt idx="68">
                  <c:v>0</c:v>
                </c:pt>
                <c:pt idx="69">
                  <c:v>0</c:v>
                </c:pt>
                <c:pt idx="70">
                  <c:v>39093</c:v>
                </c:pt>
                <c:pt idx="71">
                  <c:v>0</c:v>
                </c:pt>
                <c:pt idx="72">
                  <c:v>0</c:v>
                </c:pt>
                <c:pt idx="73">
                  <c:v>42492</c:v>
                </c:pt>
                <c:pt idx="74">
                  <c:v>0</c:v>
                </c:pt>
                <c:pt idx="75">
                  <c:v>50045</c:v>
                </c:pt>
                <c:pt idx="76">
                  <c:v>0</c:v>
                </c:pt>
                <c:pt idx="77">
                  <c:v>0</c:v>
                </c:pt>
                <c:pt idx="78">
                  <c:v>55515</c:v>
                </c:pt>
                <c:pt idx="79">
                  <c:v>0</c:v>
                </c:pt>
                <c:pt idx="80">
                  <c:v>59483</c:v>
                </c:pt>
                <c:pt idx="81">
                  <c:v>0</c:v>
                </c:pt>
                <c:pt idx="82">
                  <c:v>0</c:v>
                </c:pt>
                <c:pt idx="83">
                  <c:v>61047</c:v>
                </c:pt>
                <c:pt idx="84">
                  <c:v>0</c:v>
                </c:pt>
                <c:pt idx="85">
                  <c:v>0</c:v>
                </c:pt>
                <c:pt idx="86">
                  <c:v>56973</c:v>
                </c:pt>
                <c:pt idx="87">
                  <c:v>0</c:v>
                </c:pt>
                <c:pt idx="88">
                  <c:v>57715</c:v>
                </c:pt>
                <c:pt idx="89">
                  <c:v>0</c:v>
                </c:pt>
                <c:pt idx="90">
                  <c:v>0</c:v>
                </c:pt>
                <c:pt idx="91">
                  <c:v>60684</c:v>
                </c:pt>
                <c:pt idx="92">
                  <c:v>0</c:v>
                </c:pt>
                <c:pt idx="93">
                  <c:v>66649</c:v>
                </c:pt>
                <c:pt idx="94">
                  <c:v>0</c:v>
                </c:pt>
                <c:pt idx="95">
                  <c:v>0</c:v>
                </c:pt>
                <c:pt idx="96">
                  <c:v>65406</c:v>
                </c:pt>
                <c:pt idx="97">
                  <c:v>0</c:v>
                </c:pt>
                <c:pt idx="98">
                  <c:v>68907</c:v>
                </c:pt>
                <c:pt idx="99">
                  <c:v>0</c:v>
                </c:pt>
                <c:pt idx="100">
                  <c:v>0</c:v>
                </c:pt>
                <c:pt idx="101">
                  <c:v>72412</c:v>
                </c:pt>
                <c:pt idx="102">
                  <c:v>0</c:v>
                </c:pt>
                <c:pt idx="103">
                  <c:v>0</c:v>
                </c:pt>
                <c:pt idx="104">
                  <c:v>72220</c:v>
                </c:pt>
                <c:pt idx="105">
                  <c:v>0</c:v>
                </c:pt>
                <c:pt idx="106">
                  <c:v>70798</c:v>
                </c:pt>
                <c:pt idx="107">
                  <c:v>0</c:v>
                </c:pt>
                <c:pt idx="108">
                  <c:v>0</c:v>
                </c:pt>
                <c:pt idx="109">
                  <c:v>73411</c:v>
                </c:pt>
                <c:pt idx="110">
                  <c:v>0</c:v>
                </c:pt>
                <c:pt idx="111">
                  <c:v>80341</c:v>
                </c:pt>
                <c:pt idx="112">
                  <c:v>0</c:v>
                </c:pt>
                <c:pt idx="113">
                  <c:v>0</c:v>
                </c:pt>
                <c:pt idx="114">
                  <c:v>82940</c:v>
                </c:pt>
                <c:pt idx="115">
                  <c:v>0</c:v>
                </c:pt>
                <c:pt idx="116">
                  <c:v>77925</c:v>
                </c:pt>
                <c:pt idx="117">
                  <c:v>0</c:v>
                </c:pt>
                <c:pt idx="118">
                  <c:v>0</c:v>
                </c:pt>
                <c:pt idx="119">
                  <c:v>80176</c:v>
                </c:pt>
                <c:pt idx="120">
                  <c:v>0</c:v>
                </c:pt>
                <c:pt idx="121">
                  <c:v>0</c:v>
                </c:pt>
                <c:pt idx="122">
                  <c:v>76490</c:v>
                </c:pt>
                <c:pt idx="123">
                  <c:v>0</c:v>
                </c:pt>
                <c:pt idx="124">
                  <c:v>74379</c:v>
                </c:pt>
                <c:pt idx="125">
                  <c:v>0</c:v>
                </c:pt>
                <c:pt idx="126">
                  <c:v>0</c:v>
                </c:pt>
                <c:pt idx="127">
                  <c:v>74777</c:v>
                </c:pt>
                <c:pt idx="128">
                  <c:v>0</c:v>
                </c:pt>
                <c:pt idx="129">
                  <c:v>72995</c:v>
                </c:pt>
                <c:pt idx="130">
                  <c:v>0</c:v>
                </c:pt>
                <c:pt idx="131">
                  <c:v>0</c:v>
                </c:pt>
                <c:pt idx="132">
                  <c:v>74137</c:v>
                </c:pt>
                <c:pt idx="133">
                  <c:v>0</c:v>
                </c:pt>
                <c:pt idx="134">
                  <c:v>76728</c:v>
                </c:pt>
                <c:pt idx="135">
                  <c:v>0</c:v>
                </c:pt>
                <c:pt idx="136">
                  <c:v>0</c:v>
                </c:pt>
                <c:pt idx="137">
                  <c:v>76786</c:v>
                </c:pt>
                <c:pt idx="138">
                  <c:v>0</c:v>
                </c:pt>
                <c:pt idx="139">
                  <c:v>0</c:v>
                </c:pt>
                <c:pt idx="140">
                  <c:v>67703</c:v>
                </c:pt>
                <c:pt idx="141">
                  <c:v>0</c:v>
                </c:pt>
                <c:pt idx="142">
                  <c:v>72312</c:v>
                </c:pt>
                <c:pt idx="143">
                  <c:v>0</c:v>
                </c:pt>
                <c:pt idx="144">
                  <c:v>0</c:v>
                </c:pt>
                <c:pt idx="145">
                  <c:v>66375</c:v>
                </c:pt>
                <c:pt idx="146">
                  <c:v>0</c:v>
                </c:pt>
                <c:pt idx="147">
                  <c:v>67777</c:v>
                </c:pt>
                <c:pt idx="148">
                  <c:v>0</c:v>
                </c:pt>
                <c:pt idx="149">
                  <c:v>0</c:v>
                </c:pt>
                <c:pt idx="150">
                  <c:v>57579</c:v>
                </c:pt>
                <c:pt idx="151">
                  <c:v>0</c:v>
                </c:pt>
                <c:pt idx="152">
                  <c:v>50005</c:v>
                </c:pt>
                <c:pt idx="153">
                  <c:v>0</c:v>
                </c:pt>
                <c:pt idx="154">
                  <c:v>0</c:v>
                </c:pt>
                <c:pt idx="155">
                  <c:v>45418</c:v>
                </c:pt>
                <c:pt idx="156">
                  <c:v>0</c:v>
                </c:pt>
                <c:pt idx="157">
                  <c:v>0</c:v>
                </c:pt>
                <c:pt idx="158">
                  <c:v>40939</c:v>
                </c:pt>
                <c:pt idx="159">
                  <c:v>0</c:v>
                </c:pt>
                <c:pt idx="160">
                  <c:v>30991</c:v>
                </c:pt>
                <c:pt idx="161">
                  <c:v>0</c:v>
                </c:pt>
                <c:pt idx="162">
                  <c:v>0</c:v>
                </c:pt>
                <c:pt idx="163">
                  <c:v>26576</c:v>
                </c:pt>
                <c:pt idx="164">
                  <c:v>0</c:v>
                </c:pt>
                <c:pt idx="165">
                  <c:v>23816</c:v>
                </c:pt>
                <c:pt idx="166">
                  <c:v>0</c:v>
                </c:pt>
                <c:pt idx="167">
                  <c:v>0</c:v>
                </c:pt>
                <c:pt idx="168">
                  <c:v>21697</c:v>
                </c:pt>
                <c:pt idx="169">
                  <c:v>0</c:v>
                </c:pt>
                <c:pt idx="170">
                  <c:v>0</c:v>
                </c:pt>
                <c:pt idx="171">
                  <c:v>18172</c:v>
                </c:pt>
                <c:pt idx="172">
                  <c:v>0</c:v>
                </c:pt>
                <c:pt idx="173">
                  <c:v>11418</c:v>
                </c:pt>
                <c:pt idx="174">
                  <c:v>0</c:v>
                </c:pt>
                <c:pt idx="175">
                  <c:v>0</c:v>
                </c:pt>
                <c:pt idx="176">
                  <c:v>9207</c:v>
                </c:pt>
                <c:pt idx="177">
                  <c:v>0</c:v>
                </c:pt>
                <c:pt idx="178">
                  <c:v>7342</c:v>
                </c:pt>
                <c:pt idx="179">
                  <c:v>0</c:v>
                </c:pt>
                <c:pt idx="180">
                  <c:v>0</c:v>
                </c:pt>
                <c:pt idx="181">
                  <c:v>5076</c:v>
                </c:pt>
                <c:pt idx="182">
                  <c:v>0</c:v>
                </c:pt>
                <c:pt idx="183">
                  <c:v>4359</c:v>
                </c:pt>
                <c:pt idx="184">
                  <c:v>0</c:v>
                </c:pt>
                <c:pt idx="185">
                  <c:v>0</c:v>
                </c:pt>
                <c:pt idx="186">
                  <c:v>3463</c:v>
                </c:pt>
                <c:pt idx="187">
                  <c:v>0</c:v>
                </c:pt>
                <c:pt idx="188">
                  <c:v>0</c:v>
                </c:pt>
                <c:pt idx="189">
                  <c:v>1267</c:v>
                </c:pt>
                <c:pt idx="190">
                  <c:v>0</c:v>
                </c:pt>
                <c:pt idx="191">
                  <c:v>384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0.22543228369737531</c:v>
                </c:pt>
                <c:pt idx="1">
                  <c:v>0.38468275758354464</c:v>
                </c:pt>
                <c:pt idx="2">
                  <c:v>0.38988495871908002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0.44989768162754479</c:v>
                </c:pt>
                <c:pt idx="1">
                  <c:v>0.35397974611660404</c:v>
                </c:pt>
                <c:pt idx="2">
                  <c:v>0.19612257225585109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8.8222825</c:v>
                </c:pt>
                <c:pt idx="1">
                  <c:v>17.077282499999999</c:v>
                </c:pt>
                <c:pt idx="2">
                  <c:v>22.300465000000003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  <c:pt idx="75">
                  <c:v>30.472100000000001</c:v>
                </c:pt>
                <c:pt idx="76">
                  <c:v>30.880700000000001</c:v>
                </c:pt>
                <c:pt idx="77">
                  <c:v>31.2879</c:v>
                </c:pt>
                <c:pt idx="78">
                  <c:v>31.694099999999999</c:v>
                </c:pt>
                <c:pt idx="79">
                  <c:v>32.101799999999997</c:v>
                </c:pt>
                <c:pt idx="80">
                  <c:v>32.505699999999997</c:v>
                </c:pt>
                <c:pt idx="81">
                  <c:v>32.910699999999999</c:v>
                </c:pt>
                <c:pt idx="82">
                  <c:v>33.318600000000004</c:v>
                </c:pt>
                <c:pt idx="83">
                  <c:v>33.723599999999998</c:v>
                </c:pt>
                <c:pt idx="84">
                  <c:v>34.133299999999998</c:v>
                </c:pt>
                <c:pt idx="85">
                  <c:v>34.534300000000002</c:v>
                </c:pt>
                <c:pt idx="86">
                  <c:v>34.944400000000002</c:v>
                </c:pt>
                <c:pt idx="87">
                  <c:v>35.348500000000001</c:v>
                </c:pt>
                <c:pt idx="88">
                  <c:v>35.753700000000002</c:v>
                </c:pt>
                <c:pt idx="89">
                  <c:v>36.1629</c:v>
                </c:pt>
                <c:pt idx="90">
                  <c:v>36.569800000000001</c:v>
                </c:pt>
                <c:pt idx="91">
                  <c:v>36.973700000000001</c:v>
                </c:pt>
                <c:pt idx="92">
                  <c:v>37.3797</c:v>
                </c:pt>
                <c:pt idx="93">
                  <c:v>37.785499999999999</c:v>
                </c:pt>
                <c:pt idx="94">
                  <c:v>38.192599999999999</c:v>
                </c:pt>
                <c:pt idx="95">
                  <c:v>38.6023</c:v>
                </c:pt>
                <c:pt idx="96">
                  <c:v>39.005600000000001</c:v>
                </c:pt>
                <c:pt idx="97">
                  <c:v>39.414200000000001</c:v>
                </c:pt>
                <c:pt idx="98">
                  <c:v>39.819299999999998</c:v>
                </c:pt>
                <c:pt idx="99">
                  <c:v>40.222099999999998</c:v>
                </c:pt>
                <c:pt idx="100">
                  <c:v>40.633899999999997</c:v>
                </c:pt>
                <c:pt idx="101">
                  <c:v>41.040900000000001</c:v>
                </c:pt>
                <c:pt idx="102">
                  <c:v>41.444699999999997</c:v>
                </c:pt>
                <c:pt idx="103">
                  <c:v>41.849800000000002</c:v>
                </c:pt>
                <c:pt idx="104">
                  <c:v>42.256799999999998</c:v>
                </c:pt>
                <c:pt idx="105">
                  <c:v>42.665500000000002</c:v>
                </c:pt>
                <c:pt idx="106">
                  <c:v>43.072400000000002</c:v>
                </c:pt>
                <c:pt idx="107">
                  <c:v>43.474400000000003</c:v>
                </c:pt>
                <c:pt idx="108">
                  <c:v>43.8812</c:v>
                </c:pt>
                <c:pt idx="109">
                  <c:v>44.287300000000002</c:v>
                </c:pt>
                <c:pt idx="110">
                  <c:v>44.692</c:v>
                </c:pt>
                <c:pt idx="111">
                  <c:v>45.1</c:v>
                </c:pt>
                <c:pt idx="112">
                  <c:v>45.505000000000003</c:v>
                </c:pt>
                <c:pt idx="113">
                  <c:v>45.913800000000002</c:v>
                </c:pt>
                <c:pt idx="114">
                  <c:v>46.318300000000001</c:v>
                </c:pt>
                <c:pt idx="115">
                  <c:v>46.723599999999998</c:v>
                </c:pt>
                <c:pt idx="116">
                  <c:v>47.128599999999999</c:v>
                </c:pt>
                <c:pt idx="117">
                  <c:v>47.537399999999998</c:v>
                </c:pt>
                <c:pt idx="118">
                  <c:v>47.940300000000001</c:v>
                </c:pt>
                <c:pt idx="119">
                  <c:v>48.353499999999997</c:v>
                </c:pt>
                <c:pt idx="120">
                  <c:v>48.758200000000002</c:v>
                </c:pt>
                <c:pt idx="121">
                  <c:v>49.162100000000002</c:v>
                </c:pt>
                <c:pt idx="122">
                  <c:v>49.569299999999998</c:v>
                </c:pt>
                <c:pt idx="123">
                  <c:v>49.976999999999997</c:v>
                </c:pt>
                <c:pt idx="124">
                  <c:v>50.382899999999999</c:v>
                </c:pt>
                <c:pt idx="125">
                  <c:v>50.788699999999999</c:v>
                </c:pt>
                <c:pt idx="126">
                  <c:v>51.191800000000001</c:v>
                </c:pt>
                <c:pt idx="127">
                  <c:v>51.597700000000003</c:v>
                </c:pt>
                <c:pt idx="128">
                  <c:v>52.003599999999999</c:v>
                </c:pt>
                <c:pt idx="129">
                  <c:v>52.410400000000003</c:v>
                </c:pt>
                <c:pt idx="130">
                  <c:v>52.819499999999998</c:v>
                </c:pt>
                <c:pt idx="131">
                  <c:v>53.225200000000001</c:v>
                </c:pt>
                <c:pt idx="132">
                  <c:v>53.6342</c:v>
                </c:pt>
                <c:pt idx="133">
                  <c:v>54.039099999999998</c:v>
                </c:pt>
                <c:pt idx="134">
                  <c:v>54.445</c:v>
                </c:pt>
                <c:pt idx="135">
                  <c:v>54.850999999999999</c:v>
                </c:pt>
                <c:pt idx="136">
                  <c:v>55.259900000000002</c:v>
                </c:pt>
                <c:pt idx="137">
                  <c:v>55.662700000000001</c:v>
                </c:pt>
                <c:pt idx="138">
                  <c:v>56.070799999999998</c:v>
                </c:pt>
                <c:pt idx="139">
                  <c:v>56.472700000000003</c:v>
                </c:pt>
                <c:pt idx="140">
                  <c:v>56.878599999999999</c:v>
                </c:pt>
                <c:pt idx="141">
                  <c:v>57.289400000000001</c:v>
                </c:pt>
                <c:pt idx="142">
                  <c:v>57.696399999999997</c:v>
                </c:pt>
                <c:pt idx="143">
                  <c:v>58.101100000000002</c:v>
                </c:pt>
                <c:pt idx="144">
                  <c:v>58.503399999999999</c:v>
                </c:pt>
                <c:pt idx="145">
                  <c:v>58.912999999999997</c:v>
                </c:pt>
                <c:pt idx="146">
                  <c:v>59.316000000000003</c:v>
                </c:pt>
                <c:pt idx="147">
                  <c:v>59.722900000000003</c:v>
                </c:pt>
                <c:pt idx="148">
                  <c:v>60.132800000000003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  <c:pt idx="75">
                  <c:v>3.6386200000000004</c:v>
                </c:pt>
                <c:pt idx="76">
                  <c:v>3.6326000000000001</c:v>
                </c:pt>
                <c:pt idx="77">
                  <c:v>3.62981</c:v>
                </c:pt>
                <c:pt idx="78">
                  <c:v>3.6257000000000001</c:v>
                </c:pt>
                <c:pt idx="79">
                  <c:v>3.62439</c:v>
                </c:pt>
                <c:pt idx="80">
                  <c:v>3.6238999999999999</c:v>
                </c:pt>
                <c:pt idx="81">
                  <c:v>3.6245599999999998</c:v>
                </c:pt>
                <c:pt idx="82">
                  <c:v>3.6286200000000002</c:v>
                </c:pt>
                <c:pt idx="83">
                  <c:v>3.6385800000000001</c:v>
                </c:pt>
                <c:pt idx="84">
                  <c:v>3.6516900000000003</c:v>
                </c:pt>
                <c:pt idx="85">
                  <c:v>3.6672799999999999</c:v>
                </c:pt>
                <c:pt idx="86">
                  <c:v>3.6817199999999999</c:v>
                </c:pt>
                <c:pt idx="87">
                  <c:v>3.69739</c:v>
                </c:pt>
                <c:pt idx="88">
                  <c:v>3.7171900000000004</c:v>
                </c:pt>
                <c:pt idx="89">
                  <c:v>3.7424900000000001</c:v>
                </c:pt>
                <c:pt idx="90">
                  <c:v>3.77311</c:v>
                </c:pt>
                <c:pt idx="91">
                  <c:v>3.8046000000000002</c:v>
                </c:pt>
                <c:pt idx="92">
                  <c:v>3.83657</c:v>
                </c:pt>
                <c:pt idx="93">
                  <c:v>3.86917</c:v>
                </c:pt>
                <c:pt idx="94">
                  <c:v>3.9027000000000003</c:v>
                </c:pt>
                <c:pt idx="95">
                  <c:v>3.93675</c:v>
                </c:pt>
                <c:pt idx="96">
                  <c:v>3.9657300000000002</c:v>
                </c:pt>
                <c:pt idx="97">
                  <c:v>3.98706</c:v>
                </c:pt>
                <c:pt idx="98">
                  <c:v>4.0104699999999998</c:v>
                </c:pt>
                <c:pt idx="99">
                  <c:v>4.0372200000000005</c:v>
                </c:pt>
                <c:pt idx="100">
                  <c:v>4.0619100000000001</c:v>
                </c:pt>
                <c:pt idx="101">
                  <c:v>4.0914299999999999</c:v>
                </c:pt>
                <c:pt idx="102">
                  <c:v>4.1197600000000003</c:v>
                </c:pt>
                <c:pt idx="103">
                  <c:v>4.1472999999999995</c:v>
                </c:pt>
                <c:pt idx="104">
                  <c:v>4.1760599999999997</c:v>
                </c:pt>
                <c:pt idx="105">
                  <c:v>4.2066400000000002</c:v>
                </c:pt>
                <c:pt idx="106">
                  <c:v>4.2405299999999997</c:v>
                </c:pt>
                <c:pt idx="107">
                  <c:v>4.2744499999999999</c:v>
                </c:pt>
                <c:pt idx="108">
                  <c:v>4.3024100000000001</c:v>
                </c:pt>
                <c:pt idx="109">
                  <c:v>4.3292799999999998</c:v>
                </c:pt>
                <c:pt idx="110">
                  <c:v>4.3519600000000001</c:v>
                </c:pt>
                <c:pt idx="111">
                  <c:v>4.3745899999999995</c:v>
                </c:pt>
                <c:pt idx="112">
                  <c:v>4.3993099999999998</c:v>
                </c:pt>
                <c:pt idx="113">
                  <c:v>4.4231300000000005</c:v>
                </c:pt>
                <c:pt idx="114">
                  <c:v>4.4459799999999996</c:v>
                </c:pt>
                <c:pt idx="115">
                  <c:v>4.4662800000000002</c:v>
                </c:pt>
                <c:pt idx="116">
                  <c:v>4.48529</c:v>
                </c:pt>
                <c:pt idx="117">
                  <c:v>4.5015000000000001</c:v>
                </c:pt>
                <c:pt idx="118">
                  <c:v>4.5109700000000004</c:v>
                </c:pt>
                <c:pt idx="119">
                  <c:v>4.5155000000000003</c:v>
                </c:pt>
                <c:pt idx="120">
                  <c:v>4.51424</c:v>
                </c:pt>
                <c:pt idx="121">
                  <c:v>4.5110799999999998</c:v>
                </c:pt>
                <c:pt idx="122">
                  <c:v>4.5072999999999999</c:v>
                </c:pt>
                <c:pt idx="123">
                  <c:v>4.5015999999999998</c:v>
                </c:pt>
                <c:pt idx="124">
                  <c:v>4.5008599999999994</c:v>
                </c:pt>
                <c:pt idx="125">
                  <c:v>4.5082800000000001</c:v>
                </c:pt>
                <c:pt idx="126">
                  <c:v>4.5118799999999997</c:v>
                </c:pt>
                <c:pt idx="127">
                  <c:v>4.5151700000000003</c:v>
                </c:pt>
                <c:pt idx="128">
                  <c:v>4.5175700000000001</c:v>
                </c:pt>
                <c:pt idx="129">
                  <c:v>4.5172699999999999</c:v>
                </c:pt>
                <c:pt idx="130">
                  <c:v>4.5151700000000003</c:v>
                </c:pt>
                <c:pt idx="131">
                  <c:v>4.5078300000000002</c:v>
                </c:pt>
                <c:pt idx="132">
                  <c:v>4.4965999999999999</c:v>
                </c:pt>
                <c:pt idx="133">
                  <c:v>4.48787</c:v>
                </c:pt>
                <c:pt idx="134">
                  <c:v>4.4798299999999998</c:v>
                </c:pt>
                <c:pt idx="135">
                  <c:v>4.4758199999999997</c:v>
                </c:pt>
                <c:pt idx="136">
                  <c:v>4.4695600000000004</c:v>
                </c:pt>
                <c:pt idx="137">
                  <c:v>4.45702</c:v>
                </c:pt>
                <c:pt idx="138">
                  <c:v>4.4390700000000001</c:v>
                </c:pt>
                <c:pt idx="139">
                  <c:v>4.4138599999999997</c:v>
                </c:pt>
                <c:pt idx="140">
                  <c:v>4.3818200000000003</c:v>
                </c:pt>
                <c:pt idx="141">
                  <c:v>4.3435000000000006</c:v>
                </c:pt>
                <c:pt idx="142">
                  <c:v>4.3006000000000002</c:v>
                </c:pt>
                <c:pt idx="143">
                  <c:v>4.26281</c:v>
                </c:pt>
                <c:pt idx="144">
                  <c:v>4.2204899999999999</c:v>
                </c:pt>
                <c:pt idx="145">
                  <c:v>4.1872799999999994</c:v>
                </c:pt>
                <c:pt idx="146">
                  <c:v>4.1639799999999996</c:v>
                </c:pt>
                <c:pt idx="147">
                  <c:v>4.1628600000000002</c:v>
                </c:pt>
                <c:pt idx="148">
                  <c:v>4.1673999999999998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30.0349</c:v>
                </c:pt>
                <c:pt idx="1">
                  <c:v>30.472100000000001</c:v>
                </c:pt>
                <c:pt idx="2">
                  <c:v>30.880700000000001</c:v>
                </c:pt>
                <c:pt idx="3">
                  <c:v>31.2879</c:v>
                </c:pt>
                <c:pt idx="4">
                  <c:v>31.694099999999999</c:v>
                </c:pt>
                <c:pt idx="5">
                  <c:v>32.101799999999997</c:v>
                </c:pt>
                <c:pt idx="6">
                  <c:v>32.505699999999997</c:v>
                </c:pt>
                <c:pt idx="7">
                  <c:v>32.910699999999999</c:v>
                </c:pt>
                <c:pt idx="8">
                  <c:v>33.318600000000004</c:v>
                </c:pt>
                <c:pt idx="9">
                  <c:v>33.723599999999998</c:v>
                </c:pt>
                <c:pt idx="10">
                  <c:v>34.133299999999998</c:v>
                </c:pt>
                <c:pt idx="11">
                  <c:v>34.534300000000002</c:v>
                </c:pt>
                <c:pt idx="12">
                  <c:v>34.944400000000002</c:v>
                </c:pt>
                <c:pt idx="13">
                  <c:v>35.348500000000001</c:v>
                </c:pt>
                <c:pt idx="14">
                  <c:v>35.753700000000002</c:v>
                </c:pt>
                <c:pt idx="15">
                  <c:v>36.1629</c:v>
                </c:pt>
                <c:pt idx="16">
                  <c:v>36.569800000000001</c:v>
                </c:pt>
                <c:pt idx="17">
                  <c:v>36.973700000000001</c:v>
                </c:pt>
                <c:pt idx="18">
                  <c:v>37.3797</c:v>
                </c:pt>
                <c:pt idx="19">
                  <c:v>37.785499999999999</c:v>
                </c:pt>
                <c:pt idx="20">
                  <c:v>38.192599999999999</c:v>
                </c:pt>
                <c:pt idx="21">
                  <c:v>38.6023</c:v>
                </c:pt>
                <c:pt idx="22">
                  <c:v>39.005600000000001</c:v>
                </c:pt>
                <c:pt idx="23">
                  <c:v>39.414200000000001</c:v>
                </c:pt>
                <c:pt idx="24">
                  <c:v>39.819299999999998</c:v>
                </c:pt>
                <c:pt idx="25">
                  <c:v>40.222099999999998</c:v>
                </c:pt>
                <c:pt idx="26">
                  <c:v>40.633899999999997</c:v>
                </c:pt>
                <c:pt idx="27">
                  <c:v>41.040900000000001</c:v>
                </c:pt>
                <c:pt idx="28">
                  <c:v>41.444699999999997</c:v>
                </c:pt>
                <c:pt idx="29">
                  <c:v>41.849800000000002</c:v>
                </c:pt>
                <c:pt idx="30">
                  <c:v>42.256799999999998</c:v>
                </c:pt>
                <c:pt idx="31">
                  <c:v>42.665500000000002</c:v>
                </c:pt>
                <c:pt idx="32">
                  <c:v>43.072400000000002</c:v>
                </c:pt>
                <c:pt idx="33">
                  <c:v>43.474400000000003</c:v>
                </c:pt>
                <c:pt idx="34">
                  <c:v>43.8812</c:v>
                </c:pt>
                <c:pt idx="35">
                  <c:v>44.287300000000002</c:v>
                </c:pt>
                <c:pt idx="36">
                  <c:v>44.692</c:v>
                </c:pt>
                <c:pt idx="37">
                  <c:v>45.1</c:v>
                </c:pt>
                <c:pt idx="38">
                  <c:v>45.505000000000003</c:v>
                </c:pt>
                <c:pt idx="39">
                  <c:v>45.913800000000002</c:v>
                </c:pt>
                <c:pt idx="40">
                  <c:v>46.318300000000001</c:v>
                </c:pt>
                <c:pt idx="41">
                  <c:v>46.723599999999998</c:v>
                </c:pt>
                <c:pt idx="42">
                  <c:v>47.128599999999999</c:v>
                </c:pt>
                <c:pt idx="43">
                  <c:v>47.537399999999998</c:v>
                </c:pt>
                <c:pt idx="44">
                  <c:v>47.940300000000001</c:v>
                </c:pt>
                <c:pt idx="45">
                  <c:v>48.353499999999997</c:v>
                </c:pt>
                <c:pt idx="46">
                  <c:v>48.758200000000002</c:v>
                </c:pt>
                <c:pt idx="47">
                  <c:v>49.162100000000002</c:v>
                </c:pt>
                <c:pt idx="48">
                  <c:v>49.569299999999998</c:v>
                </c:pt>
                <c:pt idx="49">
                  <c:v>49.976999999999997</c:v>
                </c:pt>
                <c:pt idx="50">
                  <c:v>50.382899999999999</c:v>
                </c:pt>
                <c:pt idx="51">
                  <c:v>50.788699999999999</c:v>
                </c:pt>
                <c:pt idx="52">
                  <c:v>51.191800000000001</c:v>
                </c:pt>
                <c:pt idx="53">
                  <c:v>51.597700000000003</c:v>
                </c:pt>
                <c:pt idx="54">
                  <c:v>52.003599999999999</c:v>
                </c:pt>
                <c:pt idx="55">
                  <c:v>52.410400000000003</c:v>
                </c:pt>
                <c:pt idx="56">
                  <c:v>52.819499999999998</c:v>
                </c:pt>
                <c:pt idx="57">
                  <c:v>53.225200000000001</c:v>
                </c:pt>
                <c:pt idx="58">
                  <c:v>53.6342</c:v>
                </c:pt>
                <c:pt idx="59">
                  <c:v>54.039099999999998</c:v>
                </c:pt>
                <c:pt idx="60">
                  <c:v>54.445</c:v>
                </c:pt>
                <c:pt idx="61">
                  <c:v>54.850999999999999</c:v>
                </c:pt>
                <c:pt idx="62">
                  <c:v>55.259900000000002</c:v>
                </c:pt>
                <c:pt idx="63">
                  <c:v>55.662700000000001</c:v>
                </c:pt>
                <c:pt idx="64">
                  <c:v>56.070799999999998</c:v>
                </c:pt>
                <c:pt idx="65">
                  <c:v>56.472700000000003</c:v>
                </c:pt>
                <c:pt idx="66">
                  <c:v>56.878599999999999</c:v>
                </c:pt>
                <c:pt idx="67">
                  <c:v>57.289400000000001</c:v>
                </c:pt>
                <c:pt idx="68">
                  <c:v>57.696399999999997</c:v>
                </c:pt>
                <c:pt idx="69">
                  <c:v>58.101100000000002</c:v>
                </c:pt>
                <c:pt idx="70">
                  <c:v>58.503399999999999</c:v>
                </c:pt>
                <c:pt idx="71">
                  <c:v>58.912999999999997</c:v>
                </c:pt>
                <c:pt idx="72">
                  <c:v>59.316000000000003</c:v>
                </c:pt>
                <c:pt idx="73">
                  <c:v>59.722900000000003</c:v>
                </c:pt>
                <c:pt idx="74">
                  <c:v>60.132800000000003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3.6437999999999997</c:v>
                </c:pt>
                <c:pt idx="1">
                  <c:v>3.6386200000000004</c:v>
                </c:pt>
                <c:pt idx="2">
                  <c:v>3.6326000000000001</c:v>
                </c:pt>
                <c:pt idx="3">
                  <c:v>3.62981</c:v>
                </c:pt>
                <c:pt idx="4">
                  <c:v>3.6257000000000001</c:v>
                </c:pt>
                <c:pt idx="5">
                  <c:v>3.62439</c:v>
                </c:pt>
                <c:pt idx="6">
                  <c:v>3.6238999999999999</c:v>
                </c:pt>
                <c:pt idx="7">
                  <c:v>3.6245599999999998</c:v>
                </c:pt>
                <c:pt idx="8">
                  <c:v>3.6286200000000002</c:v>
                </c:pt>
                <c:pt idx="9">
                  <c:v>3.6385800000000001</c:v>
                </c:pt>
                <c:pt idx="10">
                  <c:v>3.6516900000000003</c:v>
                </c:pt>
                <c:pt idx="11">
                  <c:v>3.6672799999999999</c:v>
                </c:pt>
                <c:pt idx="12">
                  <c:v>3.6817199999999999</c:v>
                </c:pt>
                <c:pt idx="13">
                  <c:v>3.69739</c:v>
                </c:pt>
                <c:pt idx="14">
                  <c:v>3.7171900000000004</c:v>
                </c:pt>
                <c:pt idx="15">
                  <c:v>3.7424900000000001</c:v>
                </c:pt>
                <c:pt idx="16">
                  <c:v>3.77311</c:v>
                </c:pt>
                <c:pt idx="17">
                  <c:v>3.8046000000000002</c:v>
                </c:pt>
                <c:pt idx="18">
                  <c:v>3.83657</c:v>
                </c:pt>
                <c:pt idx="19">
                  <c:v>3.86917</c:v>
                </c:pt>
                <c:pt idx="20">
                  <c:v>3.9027000000000003</c:v>
                </c:pt>
                <c:pt idx="21">
                  <c:v>3.93675</c:v>
                </c:pt>
                <c:pt idx="22">
                  <c:v>3.9657300000000002</c:v>
                </c:pt>
                <c:pt idx="23">
                  <c:v>3.98706</c:v>
                </c:pt>
                <c:pt idx="24">
                  <c:v>4.0104699999999998</c:v>
                </c:pt>
                <c:pt idx="25">
                  <c:v>4.0372200000000005</c:v>
                </c:pt>
                <c:pt idx="26">
                  <c:v>4.0619100000000001</c:v>
                </c:pt>
                <c:pt idx="27">
                  <c:v>4.0914299999999999</c:v>
                </c:pt>
                <c:pt idx="28">
                  <c:v>4.1197600000000003</c:v>
                </c:pt>
                <c:pt idx="29">
                  <c:v>4.1472999999999995</c:v>
                </c:pt>
                <c:pt idx="30">
                  <c:v>4.1760599999999997</c:v>
                </c:pt>
                <c:pt idx="31">
                  <c:v>4.2066400000000002</c:v>
                </c:pt>
                <c:pt idx="32">
                  <c:v>4.2405299999999997</c:v>
                </c:pt>
                <c:pt idx="33">
                  <c:v>4.2744499999999999</c:v>
                </c:pt>
                <c:pt idx="34">
                  <c:v>4.3024100000000001</c:v>
                </c:pt>
                <c:pt idx="35">
                  <c:v>4.3292799999999998</c:v>
                </c:pt>
                <c:pt idx="36">
                  <c:v>4.3519600000000001</c:v>
                </c:pt>
                <c:pt idx="37">
                  <c:v>4.3745899999999995</c:v>
                </c:pt>
                <c:pt idx="38">
                  <c:v>4.3993099999999998</c:v>
                </c:pt>
                <c:pt idx="39">
                  <c:v>4.4231300000000005</c:v>
                </c:pt>
                <c:pt idx="40">
                  <c:v>4.4459799999999996</c:v>
                </c:pt>
                <c:pt idx="41">
                  <c:v>4.4662800000000002</c:v>
                </c:pt>
                <c:pt idx="42">
                  <c:v>4.48529</c:v>
                </c:pt>
                <c:pt idx="43">
                  <c:v>4.5015000000000001</c:v>
                </c:pt>
                <c:pt idx="44">
                  <c:v>4.5109700000000004</c:v>
                </c:pt>
                <c:pt idx="45">
                  <c:v>4.5155000000000003</c:v>
                </c:pt>
                <c:pt idx="46">
                  <c:v>4.51424</c:v>
                </c:pt>
                <c:pt idx="47">
                  <c:v>4.5110799999999998</c:v>
                </c:pt>
                <c:pt idx="48">
                  <c:v>4.5072999999999999</c:v>
                </c:pt>
                <c:pt idx="49">
                  <c:v>4.5015999999999998</c:v>
                </c:pt>
                <c:pt idx="50">
                  <c:v>4.5008599999999994</c:v>
                </c:pt>
                <c:pt idx="51">
                  <c:v>4.5082800000000001</c:v>
                </c:pt>
                <c:pt idx="52">
                  <c:v>4.5118799999999997</c:v>
                </c:pt>
                <c:pt idx="53">
                  <c:v>4.5151700000000003</c:v>
                </c:pt>
                <c:pt idx="54">
                  <c:v>4.5175700000000001</c:v>
                </c:pt>
                <c:pt idx="55">
                  <c:v>4.5172699999999999</c:v>
                </c:pt>
                <c:pt idx="56">
                  <c:v>4.5151700000000003</c:v>
                </c:pt>
                <c:pt idx="57">
                  <c:v>4.5078300000000002</c:v>
                </c:pt>
                <c:pt idx="58">
                  <c:v>4.4965999999999999</c:v>
                </c:pt>
                <c:pt idx="59">
                  <c:v>4.48787</c:v>
                </c:pt>
                <c:pt idx="60">
                  <c:v>4.4798299999999998</c:v>
                </c:pt>
                <c:pt idx="61">
                  <c:v>4.4758199999999997</c:v>
                </c:pt>
                <c:pt idx="62">
                  <c:v>4.4695600000000004</c:v>
                </c:pt>
                <c:pt idx="63">
                  <c:v>4.45702</c:v>
                </c:pt>
                <c:pt idx="64">
                  <c:v>4.4390700000000001</c:v>
                </c:pt>
                <c:pt idx="65">
                  <c:v>4.4138599999999997</c:v>
                </c:pt>
                <c:pt idx="66">
                  <c:v>4.3818200000000003</c:v>
                </c:pt>
                <c:pt idx="67">
                  <c:v>4.3435000000000006</c:v>
                </c:pt>
                <c:pt idx="68">
                  <c:v>4.3006000000000002</c:v>
                </c:pt>
                <c:pt idx="69">
                  <c:v>4.26281</c:v>
                </c:pt>
                <c:pt idx="70">
                  <c:v>4.2204899999999999</c:v>
                </c:pt>
                <c:pt idx="71">
                  <c:v>4.1872799999999994</c:v>
                </c:pt>
                <c:pt idx="72">
                  <c:v>4.1639799999999996</c:v>
                </c:pt>
                <c:pt idx="73">
                  <c:v>4.1628600000000002</c:v>
                </c:pt>
                <c:pt idx="74">
                  <c:v>4.1673999999999998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15.033200000000001</c:v>
                </c:pt>
                <c:pt idx="1">
                  <c:v>45.099600000000002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3.6238551351351358</c:v>
                </c:pt>
                <c:pt idx="1">
                  <c:v>4.1606381081081096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  <c:pt idx="75">
                  <c:v>30.472100000000001</c:v>
                </c:pt>
                <c:pt idx="76">
                  <c:v>30.880700000000001</c:v>
                </c:pt>
                <c:pt idx="77">
                  <c:v>31.2879</c:v>
                </c:pt>
                <c:pt idx="78">
                  <c:v>31.694099999999999</c:v>
                </c:pt>
                <c:pt idx="79">
                  <c:v>32.101799999999997</c:v>
                </c:pt>
                <c:pt idx="80">
                  <c:v>32.505699999999997</c:v>
                </c:pt>
                <c:pt idx="81">
                  <c:v>32.910699999999999</c:v>
                </c:pt>
                <c:pt idx="82">
                  <c:v>33.318600000000004</c:v>
                </c:pt>
                <c:pt idx="83">
                  <c:v>33.723599999999998</c:v>
                </c:pt>
                <c:pt idx="84">
                  <c:v>34.133299999999998</c:v>
                </c:pt>
                <c:pt idx="85">
                  <c:v>34.534300000000002</c:v>
                </c:pt>
                <c:pt idx="86">
                  <c:v>34.944400000000002</c:v>
                </c:pt>
                <c:pt idx="87">
                  <c:v>35.348500000000001</c:v>
                </c:pt>
                <c:pt idx="88">
                  <c:v>35.753700000000002</c:v>
                </c:pt>
                <c:pt idx="89">
                  <c:v>36.1629</c:v>
                </c:pt>
                <c:pt idx="90">
                  <c:v>36.569800000000001</c:v>
                </c:pt>
                <c:pt idx="91">
                  <c:v>36.973700000000001</c:v>
                </c:pt>
                <c:pt idx="92">
                  <c:v>37.3797</c:v>
                </c:pt>
                <c:pt idx="93">
                  <c:v>37.785499999999999</c:v>
                </c:pt>
                <c:pt idx="94">
                  <c:v>38.192599999999999</c:v>
                </c:pt>
                <c:pt idx="95">
                  <c:v>38.6023</c:v>
                </c:pt>
                <c:pt idx="96">
                  <c:v>39.005600000000001</c:v>
                </c:pt>
                <c:pt idx="97">
                  <c:v>39.414200000000001</c:v>
                </c:pt>
                <c:pt idx="98">
                  <c:v>39.819299999999998</c:v>
                </c:pt>
                <c:pt idx="99">
                  <c:v>40.222099999999998</c:v>
                </c:pt>
                <c:pt idx="100">
                  <c:v>40.633899999999997</c:v>
                </c:pt>
                <c:pt idx="101">
                  <c:v>41.040900000000001</c:v>
                </c:pt>
                <c:pt idx="102">
                  <c:v>41.444699999999997</c:v>
                </c:pt>
                <c:pt idx="103">
                  <c:v>41.849800000000002</c:v>
                </c:pt>
                <c:pt idx="104">
                  <c:v>42.256799999999998</c:v>
                </c:pt>
                <c:pt idx="105">
                  <c:v>42.665500000000002</c:v>
                </c:pt>
                <c:pt idx="106">
                  <c:v>43.072400000000002</c:v>
                </c:pt>
                <c:pt idx="107">
                  <c:v>43.474400000000003</c:v>
                </c:pt>
                <c:pt idx="108">
                  <c:v>43.8812</c:v>
                </c:pt>
                <c:pt idx="109">
                  <c:v>44.287300000000002</c:v>
                </c:pt>
                <c:pt idx="110">
                  <c:v>44.692</c:v>
                </c:pt>
                <c:pt idx="111">
                  <c:v>45.1</c:v>
                </c:pt>
                <c:pt idx="112">
                  <c:v>45.505000000000003</c:v>
                </c:pt>
                <c:pt idx="113">
                  <c:v>45.913800000000002</c:v>
                </c:pt>
                <c:pt idx="114">
                  <c:v>46.318300000000001</c:v>
                </c:pt>
                <c:pt idx="115">
                  <c:v>46.723599999999998</c:v>
                </c:pt>
                <c:pt idx="116">
                  <c:v>47.128599999999999</c:v>
                </c:pt>
                <c:pt idx="117">
                  <c:v>47.537399999999998</c:v>
                </c:pt>
                <c:pt idx="118">
                  <c:v>47.940300000000001</c:v>
                </c:pt>
                <c:pt idx="119">
                  <c:v>48.353499999999997</c:v>
                </c:pt>
                <c:pt idx="120">
                  <c:v>48.758200000000002</c:v>
                </c:pt>
                <c:pt idx="121">
                  <c:v>49.162100000000002</c:v>
                </c:pt>
                <c:pt idx="122">
                  <c:v>49.569299999999998</c:v>
                </c:pt>
                <c:pt idx="123">
                  <c:v>49.976999999999997</c:v>
                </c:pt>
                <c:pt idx="124">
                  <c:v>50.382899999999999</c:v>
                </c:pt>
                <c:pt idx="125">
                  <c:v>50.788699999999999</c:v>
                </c:pt>
                <c:pt idx="126">
                  <c:v>51.191800000000001</c:v>
                </c:pt>
                <c:pt idx="127">
                  <c:v>51.597700000000003</c:v>
                </c:pt>
                <c:pt idx="128">
                  <c:v>52.003599999999999</c:v>
                </c:pt>
                <c:pt idx="129">
                  <c:v>52.410400000000003</c:v>
                </c:pt>
                <c:pt idx="130">
                  <c:v>52.819499999999998</c:v>
                </c:pt>
                <c:pt idx="131">
                  <c:v>53.225200000000001</c:v>
                </c:pt>
                <c:pt idx="132">
                  <c:v>53.6342</c:v>
                </c:pt>
                <c:pt idx="133">
                  <c:v>54.039099999999998</c:v>
                </c:pt>
                <c:pt idx="134">
                  <c:v>54.445</c:v>
                </c:pt>
                <c:pt idx="135">
                  <c:v>54.850999999999999</c:v>
                </c:pt>
                <c:pt idx="136">
                  <c:v>55.259900000000002</c:v>
                </c:pt>
                <c:pt idx="137">
                  <c:v>55.662700000000001</c:v>
                </c:pt>
                <c:pt idx="138">
                  <c:v>56.070799999999998</c:v>
                </c:pt>
                <c:pt idx="139">
                  <c:v>56.472700000000003</c:v>
                </c:pt>
                <c:pt idx="140">
                  <c:v>56.878599999999999</c:v>
                </c:pt>
                <c:pt idx="141">
                  <c:v>57.289400000000001</c:v>
                </c:pt>
                <c:pt idx="142">
                  <c:v>57.696399999999997</c:v>
                </c:pt>
                <c:pt idx="143">
                  <c:v>58.101100000000002</c:v>
                </c:pt>
                <c:pt idx="144">
                  <c:v>58.503399999999999</c:v>
                </c:pt>
                <c:pt idx="145">
                  <c:v>58.912999999999997</c:v>
                </c:pt>
                <c:pt idx="146">
                  <c:v>59.316000000000003</c:v>
                </c:pt>
                <c:pt idx="147">
                  <c:v>59.722900000000003</c:v>
                </c:pt>
                <c:pt idx="148">
                  <c:v>60.132800000000003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  <c:pt idx="75">
                  <c:v>32.027999999999999</c:v>
                </c:pt>
                <c:pt idx="76">
                  <c:v>32.298900000000003</c:v>
                </c:pt>
                <c:pt idx="77">
                  <c:v>32.562000000000005</c:v>
                </c:pt>
                <c:pt idx="78">
                  <c:v>32.763500000000001</c:v>
                </c:pt>
                <c:pt idx="79">
                  <c:v>32.896500000000003</c:v>
                </c:pt>
                <c:pt idx="80">
                  <c:v>32.975100000000005</c:v>
                </c:pt>
                <c:pt idx="81">
                  <c:v>32.980699999999999</c:v>
                </c:pt>
                <c:pt idx="82">
                  <c:v>32.853000000000002</c:v>
                </c:pt>
                <c:pt idx="83">
                  <c:v>32.540700000000001</c:v>
                </c:pt>
                <c:pt idx="84">
                  <c:v>32.159599999999998</c:v>
                </c:pt>
                <c:pt idx="85">
                  <c:v>31.739299999999997</c:v>
                </c:pt>
                <c:pt idx="86">
                  <c:v>31.324400000000001</c:v>
                </c:pt>
                <c:pt idx="87">
                  <c:v>30.822800000000001</c:v>
                </c:pt>
                <c:pt idx="88">
                  <c:v>30.213899999999999</c:v>
                </c:pt>
                <c:pt idx="89">
                  <c:v>29.520000000000003</c:v>
                </c:pt>
                <c:pt idx="90">
                  <c:v>28.749099999999999</c:v>
                </c:pt>
                <c:pt idx="91">
                  <c:v>28.053599999999999</c:v>
                </c:pt>
                <c:pt idx="92">
                  <c:v>27.391399999999997</c:v>
                </c:pt>
                <c:pt idx="93">
                  <c:v>26.664999999999999</c:v>
                </c:pt>
                <c:pt idx="94">
                  <c:v>25.854500000000002</c:v>
                </c:pt>
                <c:pt idx="95">
                  <c:v>25.022499999999997</c:v>
                </c:pt>
                <c:pt idx="96">
                  <c:v>24.230399999999999</c:v>
                </c:pt>
                <c:pt idx="97">
                  <c:v>23.655999999999999</c:v>
                </c:pt>
                <c:pt idx="98">
                  <c:v>23.271900000000002</c:v>
                </c:pt>
                <c:pt idx="99">
                  <c:v>22.881999999999998</c:v>
                </c:pt>
                <c:pt idx="100">
                  <c:v>22.510400000000001</c:v>
                </c:pt>
                <c:pt idx="101">
                  <c:v>22.046700000000001</c:v>
                </c:pt>
                <c:pt idx="102">
                  <c:v>21.581</c:v>
                </c:pt>
                <c:pt idx="103">
                  <c:v>21.167200000000001</c:v>
                </c:pt>
                <c:pt idx="104">
                  <c:v>20.6996</c:v>
                </c:pt>
                <c:pt idx="105">
                  <c:v>20.2438</c:v>
                </c:pt>
                <c:pt idx="106">
                  <c:v>19.7196</c:v>
                </c:pt>
                <c:pt idx="107">
                  <c:v>19.220699999999997</c:v>
                </c:pt>
                <c:pt idx="108">
                  <c:v>18.8475</c:v>
                </c:pt>
                <c:pt idx="109">
                  <c:v>18.540799999999997</c:v>
                </c:pt>
                <c:pt idx="110">
                  <c:v>18.3279</c:v>
                </c:pt>
                <c:pt idx="111">
                  <c:v>18.154400000000003</c:v>
                </c:pt>
                <c:pt idx="112">
                  <c:v>17.996599999999997</c:v>
                </c:pt>
                <c:pt idx="113">
                  <c:v>17.881700000000002</c:v>
                </c:pt>
                <c:pt idx="114">
                  <c:v>17.7529</c:v>
                </c:pt>
                <c:pt idx="115">
                  <c:v>17.6509</c:v>
                </c:pt>
                <c:pt idx="116">
                  <c:v>17.560100000000002</c:v>
                </c:pt>
                <c:pt idx="117">
                  <c:v>17.514099999999999</c:v>
                </c:pt>
                <c:pt idx="118">
                  <c:v>17.580399999999997</c:v>
                </c:pt>
                <c:pt idx="119">
                  <c:v>17.698399999999999</c:v>
                </c:pt>
                <c:pt idx="120">
                  <c:v>17.835000000000001</c:v>
                </c:pt>
                <c:pt idx="121">
                  <c:v>18.009399999999999</c:v>
                </c:pt>
                <c:pt idx="122">
                  <c:v>18.226600000000001</c:v>
                </c:pt>
                <c:pt idx="123">
                  <c:v>18.520500000000002</c:v>
                </c:pt>
                <c:pt idx="124">
                  <c:v>18.683900000000001</c:v>
                </c:pt>
                <c:pt idx="125">
                  <c:v>18.7239</c:v>
                </c:pt>
                <c:pt idx="126">
                  <c:v>18.793599999999998</c:v>
                </c:pt>
                <c:pt idx="127">
                  <c:v>18.8779</c:v>
                </c:pt>
                <c:pt idx="128">
                  <c:v>18.960599999999999</c:v>
                </c:pt>
                <c:pt idx="129">
                  <c:v>19.102800000000002</c:v>
                </c:pt>
                <c:pt idx="130">
                  <c:v>19.248899999999999</c:v>
                </c:pt>
                <c:pt idx="131">
                  <c:v>19.501200000000001</c:v>
                </c:pt>
                <c:pt idx="132">
                  <c:v>19.831499999999998</c:v>
                </c:pt>
                <c:pt idx="133">
                  <c:v>20.101800000000001</c:v>
                </c:pt>
                <c:pt idx="134">
                  <c:v>20.341100000000001</c:v>
                </c:pt>
                <c:pt idx="135">
                  <c:v>20.505399999999998</c:v>
                </c:pt>
                <c:pt idx="136">
                  <c:v>20.657700000000002</c:v>
                </c:pt>
                <c:pt idx="137">
                  <c:v>20.896600000000003</c:v>
                </c:pt>
                <c:pt idx="138">
                  <c:v>21.199000000000002</c:v>
                </c:pt>
                <c:pt idx="139">
                  <c:v>21.683499999999999</c:v>
                </c:pt>
                <c:pt idx="140">
                  <c:v>22.334200000000003</c:v>
                </c:pt>
                <c:pt idx="141">
                  <c:v>23.1023</c:v>
                </c:pt>
                <c:pt idx="142">
                  <c:v>23.9953</c:v>
                </c:pt>
                <c:pt idx="143">
                  <c:v>24.7667</c:v>
                </c:pt>
                <c:pt idx="144">
                  <c:v>25.735500000000002</c:v>
                </c:pt>
                <c:pt idx="145">
                  <c:v>26.8108</c:v>
                </c:pt>
                <c:pt idx="146">
                  <c:v>27.926400000000001</c:v>
                </c:pt>
                <c:pt idx="147">
                  <c:v>28.5246</c:v>
                </c:pt>
                <c:pt idx="148">
                  <c:v>28.520099999999999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0.38324900000000001</c:v>
                </c:pt>
                <c:pt idx="2">
                  <c:v>0.787999</c:v>
                </c:pt>
                <c:pt idx="3">
                  <c:v>1.19784</c:v>
                </c:pt>
                <c:pt idx="4">
                  <c:v>1.6207400000000001</c:v>
                </c:pt>
                <c:pt idx="5">
                  <c:v>2.0032100000000002</c:v>
                </c:pt>
                <c:pt idx="6">
                  <c:v>2.41561</c:v>
                </c:pt>
                <c:pt idx="7">
                  <c:v>2.8244600000000002</c:v>
                </c:pt>
                <c:pt idx="8">
                  <c:v>3.2214200000000002</c:v>
                </c:pt>
                <c:pt idx="9">
                  <c:v>3.6326900000000002</c:v>
                </c:pt>
                <c:pt idx="10">
                  <c:v>4.0392799999999998</c:v>
                </c:pt>
                <c:pt idx="11">
                  <c:v>4.4421299999999997</c:v>
                </c:pt>
                <c:pt idx="12">
                  <c:v>4.8510600000000004</c:v>
                </c:pt>
                <c:pt idx="13">
                  <c:v>5.2569999999999997</c:v>
                </c:pt>
                <c:pt idx="14">
                  <c:v>5.6646999999999998</c:v>
                </c:pt>
                <c:pt idx="15">
                  <c:v>6.0717800000000004</c:v>
                </c:pt>
                <c:pt idx="16">
                  <c:v>6.47682</c:v>
                </c:pt>
                <c:pt idx="17">
                  <c:v>6.88462</c:v>
                </c:pt>
                <c:pt idx="18">
                  <c:v>7.2875500000000004</c:v>
                </c:pt>
                <c:pt idx="19">
                  <c:v>7.6939000000000002</c:v>
                </c:pt>
                <c:pt idx="20">
                  <c:v>8.1024100000000008</c:v>
                </c:pt>
                <c:pt idx="21">
                  <c:v>8.5082799999999992</c:v>
                </c:pt>
                <c:pt idx="22">
                  <c:v>8.9118700000000004</c:v>
                </c:pt>
                <c:pt idx="23">
                  <c:v>9.3192000000000004</c:v>
                </c:pt>
                <c:pt idx="24">
                  <c:v>9.7241</c:v>
                </c:pt>
                <c:pt idx="25">
                  <c:v>10.129</c:v>
                </c:pt>
                <c:pt idx="26">
                  <c:v>10.535500000000001</c:v>
                </c:pt>
                <c:pt idx="27">
                  <c:v>10.9404</c:v>
                </c:pt>
                <c:pt idx="28">
                  <c:v>11.3528</c:v>
                </c:pt>
                <c:pt idx="29">
                  <c:v>11.759600000000001</c:v>
                </c:pt>
                <c:pt idx="30">
                  <c:v>12.166600000000001</c:v>
                </c:pt>
                <c:pt idx="31">
                  <c:v>12.5684</c:v>
                </c:pt>
                <c:pt idx="32">
                  <c:v>12.974399999999999</c:v>
                </c:pt>
                <c:pt idx="33">
                  <c:v>13.3833</c:v>
                </c:pt>
                <c:pt idx="34">
                  <c:v>13.7883</c:v>
                </c:pt>
                <c:pt idx="35">
                  <c:v>14.2119</c:v>
                </c:pt>
                <c:pt idx="36">
                  <c:v>14.605700000000001</c:v>
                </c:pt>
                <c:pt idx="37">
                  <c:v>15.009399999999999</c:v>
                </c:pt>
                <c:pt idx="38">
                  <c:v>15.408300000000001</c:v>
                </c:pt>
                <c:pt idx="39">
                  <c:v>15.8171</c:v>
                </c:pt>
                <c:pt idx="40">
                  <c:v>16.227900000000002</c:v>
                </c:pt>
                <c:pt idx="41">
                  <c:v>16.6328</c:v>
                </c:pt>
                <c:pt idx="42">
                  <c:v>17.0349</c:v>
                </c:pt>
                <c:pt idx="43">
                  <c:v>17.442699999999999</c:v>
                </c:pt>
                <c:pt idx="44">
                  <c:v>17.849599999999999</c:v>
                </c:pt>
                <c:pt idx="45">
                  <c:v>18.2805</c:v>
                </c:pt>
                <c:pt idx="46">
                  <c:v>18.6586</c:v>
                </c:pt>
                <c:pt idx="47">
                  <c:v>19.072299999999998</c:v>
                </c:pt>
                <c:pt idx="48">
                  <c:v>19.476299999999998</c:v>
                </c:pt>
                <c:pt idx="49">
                  <c:v>19.882200000000001</c:v>
                </c:pt>
                <c:pt idx="50">
                  <c:v>20.2851</c:v>
                </c:pt>
                <c:pt idx="51">
                  <c:v>20.694099999999999</c:v>
                </c:pt>
                <c:pt idx="52">
                  <c:v>21.100899999999999</c:v>
                </c:pt>
                <c:pt idx="53">
                  <c:v>21.5031</c:v>
                </c:pt>
                <c:pt idx="54">
                  <c:v>21.912700000000001</c:v>
                </c:pt>
                <c:pt idx="55">
                  <c:v>22.3186</c:v>
                </c:pt>
                <c:pt idx="56">
                  <c:v>22.720800000000001</c:v>
                </c:pt>
                <c:pt idx="57">
                  <c:v>23.1325</c:v>
                </c:pt>
                <c:pt idx="58">
                  <c:v>23.537500000000001</c:v>
                </c:pt>
                <c:pt idx="59">
                  <c:v>23.9453</c:v>
                </c:pt>
                <c:pt idx="60">
                  <c:v>24.349399999999999</c:v>
                </c:pt>
                <c:pt idx="61">
                  <c:v>24.755299999999998</c:v>
                </c:pt>
                <c:pt idx="62">
                  <c:v>25.162700000000001</c:v>
                </c:pt>
                <c:pt idx="63">
                  <c:v>25.5701</c:v>
                </c:pt>
                <c:pt idx="64">
                  <c:v>25.9756</c:v>
                </c:pt>
                <c:pt idx="65">
                  <c:v>26.380199999999999</c:v>
                </c:pt>
                <c:pt idx="66">
                  <c:v>26.788</c:v>
                </c:pt>
                <c:pt idx="67">
                  <c:v>27.189900000000002</c:v>
                </c:pt>
                <c:pt idx="68">
                  <c:v>27.6</c:v>
                </c:pt>
                <c:pt idx="69">
                  <c:v>28.004000000000001</c:v>
                </c:pt>
                <c:pt idx="70">
                  <c:v>28.4117</c:v>
                </c:pt>
                <c:pt idx="71">
                  <c:v>28.8185</c:v>
                </c:pt>
                <c:pt idx="72">
                  <c:v>29.221599999999999</c:v>
                </c:pt>
                <c:pt idx="73">
                  <c:v>29.631499999999999</c:v>
                </c:pt>
                <c:pt idx="74">
                  <c:v>30.0349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30.0349</c:v>
                </c:pt>
                <c:pt idx="1">
                  <c:v>30.472100000000001</c:v>
                </c:pt>
                <c:pt idx="2">
                  <c:v>30.880700000000001</c:v>
                </c:pt>
                <c:pt idx="3">
                  <c:v>31.2879</c:v>
                </c:pt>
                <c:pt idx="4">
                  <c:v>31.694099999999999</c:v>
                </c:pt>
                <c:pt idx="5">
                  <c:v>32.101799999999997</c:v>
                </c:pt>
                <c:pt idx="6">
                  <c:v>32.505699999999997</c:v>
                </c:pt>
                <c:pt idx="7">
                  <c:v>32.910699999999999</c:v>
                </c:pt>
                <c:pt idx="8">
                  <c:v>33.318600000000004</c:v>
                </c:pt>
                <c:pt idx="9">
                  <c:v>33.723599999999998</c:v>
                </c:pt>
                <c:pt idx="10">
                  <c:v>34.133299999999998</c:v>
                </c:pt>
                <c:pt idx="11">
                  <c:v>34.534300000000002</c:v>
                </c:pt>
                <c:pt idx="12">
                  <c:v>34.944400000000002</c:v>
                </c:pt>
                <c:pt idx="13">
                  <c:v>35.348500000000001</c:v>
                </c:pt>
                <c:pt idx="14">
                  <c:v>35.753700000000002</c:v>
                </c:pt>
                <c:pt idx="15">
                  <c:v>36.1629</c:v>
                </c:pt>
                <c:pt idx="16">
                  <c:v>36.569800000000001</c:v>
                </c:pt>
                <c:pt idx="17">
                  <c:v>36.973700000000001</c:v>
                </c:pt>
                <c:pt idx="18">
                  <c:v>37.3797</c:v>
                </c:pt>
                <c:pt idx="19">
                  <c:v>37.785499999999999</c:v>
                </c:pt>
                <c:pt idx="20">
                  <c:v>38.192599999999999</c:v>
                </c:pt>
                <c:pt idx="21">
                  <c:v>38.6023</c:v>
                </c:pt>
                <c:pt idx="22">
                  <c:v>39.005600000000001</c:v>
                </c:pt>
                <c:pt idx="23">
                  <c:v>39.414200000000001</c:v>
                </c:pt>
                <c:pt idx="24">
                  <c:v>39.819299999999998</c:v>
                </c:pt>
                <c:pt idx="25">
                  <c:v>40.222099999999998</c:v>
                </c:pt>
                <c:pt idx="26">
                  <c:v>40.633899999999997</c:v>
                </c:pt>
                <c:pt idx="27">
                  <c:v>41.040900000000001</c:v>
                </c:pt>
                <c:pt idx="28">
                  <c:v>41.444699999999997</c:v>
                </c:pt>
                <c:pt idx="29">
                  <c:v>41.849800000000002</c:v>
                </c:pt>
                <c:pt idx="30">
                  <c:v>42.256799999999998</c:v>
                </c:pt>
                <c:pt idx="31">
                  <c:v>42.665500000000002</c:v>
                </c:pt>
                <c:pt idx="32">
                  <c:v>43.072400000000002</c:v>
                </c:pt>
                <c:pt idx="33">
                  <c:v>43.474400000000003</c:v>
                </c:pt>
                <c:pt idx="34">
                  <c:v>43.8812</c:v>
                </c:pt>
                <c:pt idx="35">
                  <c:v>44.287300000000002</c:v>
                </c:pt>
                <c:pt idx="36">
                  <c:v>44.692</c:v>
                </c:pt>
                <c:pt idx="37">
                  <c:v>45.1</c:v>
                </c:pt>
                <c:pt idx="38">
                  <c:v>45.505000000000003</c:v>
                </c:pt>
                <c:pt idx="39">
                  <c:v>45.913800000000002</c:v>
                </c:pt>
                <c:pt idx="40">
                  <c:v>46.318300000000001</c:v>
                </c:pt>
                <c:pt idx="41">
                  <c:v>46.723599999999998</c:v>
                </c:pt>
                <c:pt idx="42">
                  <c:v>47.128599999999999</c:v>
                </c:pt>
                <c:pt idx="43">
                  <c:v>47.537399999999998</c:v>
                </c:pt>
                <c:pt idx="44">
                  <c:v>47.940300000000001</c:v>
                </c:pt>
                <c:pt idx="45">
                  <c:v>48.353499999999997</c:v>
                </c:pt>
                <c:pt idx="46">
                  <c:v>48.758200000000002</c:v>
                </c:pt>
                <c:pt idx="47">
                  <c:v>49.162100000000002</c:v>
                </c:pt>
                <c:pt idx="48">
                  <c:v>49.569299999999998</c:v>
                </c:pt>
                <c:pt idx="49">
                  <c:v>49.976999999999997</c:v>
                </c:pt>
                <c:pt idx="50">
                  <c:v>50.382899999999999</c:v>
                </c:pt>
                <c:pt idx="51">
                  <c:v>50.788699999999999</c:v>
                </c:pt>
                <c:pt idx="52">
                  <c:v>51.191800000000001</c:v>
                </c:pt>
                <c:pt idx="53">
                  <c:v>51.597700000000003</c:v>
                </c:pt>
                <c:pt idx="54">
                  <c:v>52.003599999999999</c:v>
                </c:pt>
                <c:pt idx="55">
                  <c:v>52.410400000000003</c:v>
                </c:pt>
                <c:pt idx="56">
                  <c:v>52.819499999999998</c:v>
                </c:pt>
                <c:pt idx="57">
                  <c:v>53.225200000000001</c:v>
                </c:pt>
                <c:pt idx="58">
                  <c:v>53.6342</c:v>
                </c:pt>
                <c:pt idx="59">
                  <c:v>54.039099999999998</c:v>
                </c:pt>
                <c:pt idx="60">
                  <c:v>54.445</c:v>
                </c:pt>
                <c:pt idx="61">
                  <c:v>54.850999999999999</c:v>
                </c:pt>
                <c:pt idx="62">
                  <c:v>55.259900000000002</c:v>
                </c:pt>
                <c:pt idx="63">
                  <c:v>55.662700000000001</c:v>
                </c:pt>
                <c:pt idx="64">
                  <c:v>56.070799999999998</c:v>
                </c:pt>
                <c:pt idx="65">
                  <c:v>56.472700000000003</c:v>
                </c:pt>
                <c:pt idx="66">
                  <c:v>56.878599999999999</c:v>
                </c:pt>
                <c:pt idx="67">
                  <c:v>57.289400000000001</c:v>
                </c:pt>
                <c:pt idx="68">
                  <c:v>57.696399999999997</c:v>
                </c:pt>
                <c:pt idx="69">
                  <c:v>58.101100000000002</c:v>
                </c:pt>
                <c:pt idx="70">
                  <c:v>58.503399999999999</c:v>
                </c:pt>
                <c:pt idx="71">
                  <c:v>58.912999999999997</c:v>
                </c:pt>
                <c:pt idx="72">
                  <c:v>59.316000000000003</c:v>
                </c:pt>
                <c:pt idx="73">
                  <c:v>59.722900000000003</c:v>
                </c:pt>
                <c:pt idx="74">
                  <c:v>60.132800000000003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31.781300000000002</c:v>
                </c:pt>
                <c:pt idx="1">
                  <c:v>32.027999999999999</c:v>
                </c:pt>
                <c:pt idx="2">
                  <c:v>32.298900000000003</c:v>
                </c:pt>
                <c:pt idx="3">
                  <c:v>32.562000000000005</c:v>
                </c:pt>
                <c:pt idx="4">
                  <c:v>32.763500000000001</c:v>
                </c:pt>
                <c:pt idx="5">
                  <c:v>32.896500000000003</c:v>
                </c:pt>
                <c:pt idx="6">
                  <c:v>32.975100000000005</c:v>
                </c:pt>
                <c:pt idx="7">
                  <c:v>32.980699999999999</c:v>
                </c:pt>
                <c:pt idx="8">
                  <c:v>32.853000000000002</c:v>
                </c:pt>
                <c:pt idx="9">
                  <c:v>32.540700000000001</c:v>
                </c:pt>
                <c:pt idx="10">
                  <c:v>32.159599999999998</c:v>
                </c:pt>
                <c:pt idx="11">
                  <c:v>31.739299999999997</c:v>
                </c:pt>
                <c:pt idx="12">
                  <c:v>31.324400000000001</c:v>
                </c:pt>
                <c:pt idx="13">
                  <c:v>30.822800000000001</c:v>
                </c:pt>
                <c:pt idx="14">
                  <c:v>30.213899999999999</c:v>
                </c:pt>
                <c:pt idx="15">
                  <c:v>29.520000000000003</c:v>
                </c:pt>
                <c:pt idx="16">
                  <c:v>28.749099999999999</c:v>
                </c:pt>
                <c:pt idx="17">
                  <c:v>28.053599999999999</c:v>
                </c:pt>
                <c:pt idx="18">
                  <c:v>27.391399999999997</c:v>
                </c:pt>
                <c:pt idx="19">
                  <c:v>26.664999999999999</c:v>
                </c:pt>
                <c:pt idx="20">
                  <c:v>25.854500000000002</c:v>
                </c:pt>
                <c:pt idx="21">
                  <c:v>25.022499999999997</c:v>
                </c:pt>
                <c:pt idx="22">
                  <c:v>24.230399999999999</c:v>
                </c:pt>
                <c:pt idx="23">
                  <c:v>23.655999999999999</c:v>
                </c:pt>
                <c:pt idx="24">
                  <c:v>23.271900000000002</c:v>
                </c:pt>
                <c:pt idx="25">
                  <c:v>22.881999999999998</c:v>
                </c:pt>
                <c:pt idx="26">
                  <c:v>22.510400000000001</c:v>
                </c:pt>
                <c:pt idx="27">
                  <c:v>22.046700000000001</c:v>
                </c:pt>
                <c:pt idx="28">
                  <c:v>21.581</c:v>
                </c:pt>
                <c:pt idx="29">
                  <c:v>21.167200000000001</c:v>
                </c:pt>
                <c:pt idx="30">
                  <c:v>20.6996</c:v>
                </c:pt>
                <c:pt idx="31">
                  <c:v>20.2438</c:v>
                </c:pt>
                <c:pt idx="32">
                  <c:v>19.7196</c:v>
                </c:pt>
                <c:pt idx="33">
                  <c:v>19.220699999999997</c:v>
                </c:pt>
                <c:pt idx="34">
                  <c:v>18.8475</c:v>
                </c:pt>
                <c:pt idx="35">
                  <c:v>18.540799999999997</c:v>
                </c:pt>
                <c:pt idx="36">
                  <c:v>18.3279</c:v>
                </c:pt>
                <c:pt idx="37">
                  <c:v>18.154400000000003</c:v>
                </c:pt>
                <c:pt idx="38">
                  <c:v>17.996599999999997</c:v>
                </c:pt>
                <c:pt idx="39">
                  <c:v>17.881700000000002</c:v>
                </c:pt>
                <c:pt idx="40">
                  <c:v>17.7529</c:v>
                </c:pt>
                <c:pt idx="41">
                  <c:v>17.6509</c:v>
                </c:pt>
                <c:pt idx="42">
                  <c:v>17.560100000000002</c:v>
                </c:pt>
                <c:pt idx="43">
                  <c:v>17.514099999999999</c:v>
                </c:pt>
                <c:pt idx="44">
                  <c:v>17.580399999999997</c:v>
                </c:pt>
                <c:pt idx="45">
                  <c:v>17.698399999999999</c:v>
                </c:pt>
                <c:pt idx="46">
                  <c:v>17.835000000000001</c:v>
                </c:pt>
                <c:pt idx="47">
                  <c:v>18.009399999999999</c:v>
                </c:pt>
                <c:pt idx="48">
                  <c:v>18.226600000000001</c:v>
                </c:pt>
                <c:pt idx="49">
                  <c:v>18.520500000000002</c:v>
                </c:pt>
                <c:pt idx="50">
                  <c:v>18.683900000000001</c:v>
                </c:pt>
                <c:pt idx="51">
                  <c:v>18.7239</c:v>
                </c:pt>
                <c:pt idx="52">
                  <c:v>18.793599999999998</c:v>
                </c:pt>
                <c:pt idx="53">
                  <c:v>18.8779</c:v>
                </c:pt>
                <c:pt idx="54">
                  <c:v>18.960599999999999</c:v>
                </c:pt>
                <c:pt idx="55">
                  <c:v>19.102800000000002</c:v>
                </c:pt>
                <c:pt idx="56">
                  <c:v>19.248899999999999</c:v>
                </c:pt>
                <c:pt idx="57">
                  <c:v>19.501200000000001</c:v>
                </c:pt>
                <c:pt idx="58">
                  <c:v>19.831499999999998</c:v>
                </c:pt>
                <c:pt idx="59">
                  <c:v>20.101800000000001</c:v>
                </c:pt>
                <c:pt idx="60">
                  <c:v>20.341100000000001</c:v>
                </c:pt>
                <c:pt idx="61">
                  <c:v>20.505399999999998</c:v>
                </c:pt>
                <c:pt idx="62">
                  <c:v>20.657700000000002</c:v>
                </c:pt>
                <c:pt idx="63">
                  <c:v>20.896600000000003</c:v>
                </c:pt>
                <c:pt idx="64">
                  <c:v>21.199000000000002</c:v>
                </c:pt>
                <c:pt idx="65">
                  <c:v>21.683499999999999</c:v>
                </c:pt>
                <c:pt idx="66">
                  <c:v>22.334200000000003</c:v>
                </c:pt>
                <c:pt idx="67">
                  <c:v>23.1023</c:v>
                </c:pt>
                <c:pt idx="68">
                  <c:v>23.9953</c:v>
                </c:pt>
                <c:pt idx="69">
                  <c:v>24.7667</c:v>
                </c:pt>
                <c:pt idx="70">
                  <c:v>25.735500000000002</c:v>
                </c:pt>
                <c:pt idx="71">
                  <c:v>26.8108</c:v>
                </c:pt>
                <c:pt idx="72">
                  <c:v>27.926400000000001</c:v>
                </c:pt>
                <c:pt idx="73">
                  <c:v>28.5246</c:v>
                </c:pt>
                <c:pt idx="74">
                  <c:v>28.520099999999999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15.033200000000001</c:v>
                </c:pt>
                <c:pt idx="1">
                  <c:v>45.099600000000002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26.071933783783781</c:v>
                </c:pt>
                <c:pt idx="1">
                  <c:v>23.551722972972982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  <c:pt idx="75">
                  <c:v>3.6386200000000004</c:v>
                </c:pt>
                <c:pt idx="76">
                  <c:v>3.6326000000000001</c:v>
                </c:pt>
                <c:pt idx="77">
                  <c:v>3.62981</c:v>
                </c:pt>
                <c:pt idx="78">
                  <c:v>3.6257000000000001</c:v>
                </c:pt>
                <c:pt idx="79">
                  <c:v>3.62439</c:v>
                </c:pt>
                <c:pt idx="80">
                  <c:v>3.6238999999999999</c:v>
                </c:pt>
                <c:pt idx="81">
                  <c:v>3.6245599999999998</c:v>
                </c:pt>
                <c:pt idx="82">
                  <c:v>3.6286200000000002</c:v>
                </c:pt>
                <c:pt idx="83">
                  <c:v>3.6385800000000001</c:v>
                </c:pt>
                <c:pt idx="84">
                  <c:v>3.6516900000000003</c:v>
                </c:pt>
                <c:pt idx="85">
                  <c:v>3.6672799999999999</c:v>
                </c:pt>
                <c:pt idx="86">
                  <c:v>3.6817199999999999</c:v>
                </c:pt>
                <c:pt idx="87">
                  <c:v>3.69739</c:v>
                </c:pt>
                <c:pt idx="88">
                  <c:v>3.7171900000000004</c:v>
                </c:pt>
                <c:pt idx="89">
                  <c:v>3.7424900000000001</c:v>
                </c:pt>
                <c:pt idx="90">
                  <c:v>3.77311</c:v>
                </c:pt>
                <c:pt idx="91">
                  <c:v>3.8046000000000002</c:v>
                </c:pt>
                <c:pt idx="92">
                  <c:v>3.83657</c:v>
                </c:pt>
                <c:pt idx="93">
                  <c:v>3.86917</c:v>
                </c:pt>
                <c:pt idx="94">
                  <c:v>3.9027000000000003</c:v>
                </c:pt>
                <c:pt idx="95">
                  <c:v>3.93675</c:v>
                </c:pt>
                <c:pt idx="96">
                  <c:v>3.9657300000000002</c:v>
                </c:pt>
                <c:pt idx="97">
                  <c:v>3.98706</c:v>
                </c:pt>
                <c:pt idx="98">
                  <c:v>4.0104699999999998</c:v>
                </c:pt>
                <c:pt idx="99">
                  <c:v>4.0372200000000005</c:v>
                </c:pt>
                <c:pt idx="100">
                  <c:v>4.0619100000000001</c:v>
                </c:pt>
                <c:pt idx="101">
                  <c:v>4.0914299999999999</c:v>
                </c:pt>
                <c:pt idx="102">
                  <c:v>4.1197600000000003</c:v>
                </c:pt>
                <c:pt idx="103">
                  <c:v>4.1472999999999995</c:v>
                </c:pt>
                <c:pt idx="104">
                  <c:v>4.1760599999999997</c:v>
                </c:pt>
                <c:pt idx="105">
                  <c:v>4.2066400000000002</c:v>
                </c:pt>
                <c:pt idx="106">
                  <c:v>4.2405299999999997</c:v>
                </c:pt>
                <c:pt idx="107">
                  <c:v>4.2744499999999999</c:v>
                </c:pt>
                <c:pt idx="108">
                  <c:v>4.3024100000000001</c:v>
                </c:pt>
                <c:pt idx="109">
                  <c:v>4.3292799999999998</c:v>
                </c:pt>
                <c:pt idx="110">
                  <c:v>4.3519600000000001</c:v>
                </c:pt>
                <c:pt idx="111">
                  <c:v>4.3745899999999995</c:v>
                </c:pt>
                <c:pt idx="112">
                  <c:v>4.3993099999999998</c:v>
                </c:pt>
                <c:pt idx="113">
                  <c:v>4.4231300000000005</c:v>
                </c:pt>
                <c:pt idx="114">
                  <c:v>4.4459799999999996</c:v>
                </c:pt>
                <c:pt idx="115">
                  <c:v>4.4662800000000002</c:v>
                </c:pt>
                <c:pt idx="116">
                  <c:v>4.48529</c:v>
                </c:pt>
                <c:pt idx="117">
                  <c:v>4.5015000000000001</c:v>
                </c:pt>
                <c:pt idx="118">
                  <c:v>4.5109700000000004</c:v>
                </c:pt>
                <c:pt idx="119">
                  <c:v>4.5155000000000003</c:v>
                </c:pt>
                <c:pt idx="120">
                  <c:v>4.51424</c:v>
                </c:pt>
                <c:pt idx="121">
                  <c:v>4.5110799999999998</c:v>
                </c:pt>
                <c:pt idx="122">
                  <c:v>4.5072999999999999</c:v>
                </c:pt>
                <c:pt idx="123">
                  <c:v>4.5015999999999998</c:v>
                </c:pt>
                <c:pt idx="124">
                  <c:v>4.5008599999999994</c:v>
                </c:pt>
                <c:pt idx="125">
                  <c:v>4.5082800000000001</c:v>
                </c:pt>
                <c:pt idx="126">
                  <c:v>4.5118799999999997</c:v>
                </c:pt>
                <c:pt idx="127">
                  <c:v>4.5151700000000003</c:v>
                </c:pt>
                <c:pt idx="128">
                  <c:v>4.5175700000000001</c:v>
                </c:pt>
                <c:pt idx="129">
                  <c:v>4.5172699999999999</c:v>
                </c:pt>
                <c:pt idx="130">
                  <c:v>4.5151700000000003</c:v>
                </c:pt>
                <c:pt idx="131">
                  <c:v>4.5078300000000002</c:v>
                </c:pt>
                <c:pt idx="132">
                  <c:v>4.4965999999999999</c:v>
                </c:pt>
                <c:pt idx="133">
                  <c:v>4.48787</c:v>
                </c:pt>
                <c:pt idx="134">
                  <c:v>4.4798299999999998</c:v>
                </c:pt>
                <c:pt idx="135">
                  <c:v>4.4758199999999997</c:v>
                </c:pt>
                <c:pt idx="136">
                  <c:v>4.4695600000000004</c:v>
                </c:pt>
                <c:pt idx="137">
                  <c:v>4.45702</c:v>
                </c:pt>
                <c:pt idx="138">
                  <c:v>4.4390700000000001</c:v>
                </c:pt>
                <c:pt idx="139">
                  <c:v>4.4138599999999997</c:v>
                </c:pt>
                <c:pt idx="140">
                  <c:v>4.3818200000000003</c:v>
                </c:pt>
                <c:pt idx="141">
                  <c:v>4.3435000000000006</c:v>
                </c:pt>
                <c:pt idx="142">
                  <c:v>4.3006000000000002</c:v>
                </c:pt>
                <c:pt idx="143">
                  <c:v>4.26281</c:v>
                </c:pt>
                <c:pt idx="144">
                  <c:v>4.2204899999999999</c:v>
                </c:pt>
                <c:pt idx="145">
                  <c:v>4.1872799999999994</c:v>
                </c:pt>
                <c:pt idx="146">
                  <c:v>4.1639799999999996</c:v>
                </c:pt>
                <c:pt idx="147">
                  <c:v>4.1628600000000002</c:v>
                </c:pt>
                <c:pt idx="148">
                  <c:v>4.1673999999999998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  <c:pt idx="75">
                  <c:v>32.027999999999999</c:v>
                </c:pt>
                <c:pt idx="76">
                  <c:v>32.298900000000003</c:v>
                </c:pt>
                <c:pt idx="77">
                  <c:v>32.562000000000005</c:v>
                </c:pt>
                <c:pt idx="78">
                  <c:v>32.763500000000001</c:v>
                </c:pt>
                <c:pt idx="79">
                  <c:v>32.896500000000003</c:v>
                </c:pt>
                <c:pt idx="80">
                  <c:v>32.975100000000005</c:v>
                </c:pt>
                <c:pt idx="81">
                  <c:v>32.980699999999999</c:v>
                </c:pt>
                <c:pt idx="82">
                  <c:v>32.853000000000002</c:v>
                </c:pt>
                <c:pt idx="83">
                  <c:v>32.540700000000001</c:v>
                </c:pt>
                <c:pt idx="84">
                  <c:v>32.159599999999998</c:v>
                </c:pt>
                <c:pt idx="85">
                  <c:v>31.739299999999997</c:v>
                </c:pt>
                <c:pt idx="86">
                  <c:v>31.324400000000001</c:v>
                </c:pt>
                <c:pt idx="87">
                  <c:v>30.822800000000001</c:v>
                </c:pt>
                <c:pt idx="88">
                  <c:v>30.213899999999999</c:v>
                </c:pt>
                <c:pt idx="89">
                  <c:v>29.520000000000003</c:v>
                </c:pt>
                <c:pt idx="90">
                  <c:v>28.749099999999999</c:v>
                </c:pt>
                <c:pt idx="91">
                  <c:v>28.053599999999999</c:v>
                </c:pt>
                <c:pt idx="92">
                  <c:v>27.391399999999997</c:v>
                </c:pt>
                <c:pt idx="93">
                  <c:v>26.664999999999999</c:v>
                </c:pt>
                <c:pt idx="94">
                  <c:v>25.854500000000002</c:v>
                </c:pt>
                <c:pt idx="95">
                  <c:v>25.022499999999997</c:v>
                </c:pt>
                <c:pt idx="96">
                  <c:v>24.230399999999999</c:v>
                </c:pt>
                <c:pt idx="97">
                  <c:v>23.655999999999999</c:v>
                </c:pt>
                <c:pt idx="98">
                  <c:v>23.271900000000002</c:v>
                </c:pt>
                <c:pt idx="99">
                  <c:v>22.881999999999998</c:v>
                </c:pt>
                <c:pt idx="100">
                  <c:v>22.510400000000001</c:v>
                </c:pt>
                <c:pt idx="101">
                  <c:v>22.046700000000001</c:v>
                </c:pt>
                <c:pt idx="102">
                  <c:v>21.581</c:v>
                </c:pt>
                <c:pt idx="103">
                  <c:v>21.167200000000001</c:v>
                </c:pt>
                <c:pt idx="104">
                  <c:v>20.6996</c:v>
                </c:pt>
                <c:pt idx="105">
                  <c:v>20.2438</c:v>
                </c:pt>
                <c:pt idx="106">
                  <c:v>19.7196</c:v>
                </c:pt>
                <c:pt idx="107">
                  <c:v>19.220699999999997</c:v>
                </c:pt>
                <c:pt idx="108">
                  <c:v>18.8475</c:v>
                </c:pt>
                <c:pt idx="109">
                  <c:v>18.540799999999997</c:v>
                </c:pt>
                <c:pt idx="110">
                  <c:v>18.3279</c:v>
                </c:pt>
                <c:pt idx="111">
                  <c:v>18.154400000000003</c:v>
                </c:pt>
                <c:pt idx="112">
                  <c:v>17.996599999999997</c:v>
                </c:pt>
                <c:pt idx="113">
                  <c:v>17.881700000000002</c:v>
                </c:pt>
                <c:pt idx="114">
                  <c:v>17.7529</c:v>
                </c:pt>
                <c:pt idx="115">
                  <c:v>17.6509</c:v>
                </c:pt>
                <c:pt idx="116">
                  <c:v>17.560100000000002</c:v>
                </c:pt>
                <c:pt idx="117">
                  <c:v>17.514099999999999</c:v>
                </c:pt>
                <c:pt idx="118">
                  <c:v>17.580399999999997</c:v>
                </c:pt>
                <c:pt idx="119">
                  <c:v>17.698399999999999</c:v>
                </c:pt>
                <c:pt idx="120">
                  <c:v>17.835000000000001</c:v>
                </c:pt>
                <c:pt idx="121">
                  <c:v>18.009399999999999</c:v>
                </c:pt>
                <c:pt idx="122">
                  <c:v>18.226600000000001</c:v>
                </c:pt>
                <c:pt idx="123">
                  <c:v>18.520500000000002</c:v>
                </c:pt>
                <c:pt idx="124">
                  <c:v>18.683900000000001</c:v>
                </c:pt>
                <c:pt idx="125">
                  <c:v>18.7239</c:v>
                </c:pt>
                <c:pt idx="126">
                  <c:v>18.793599999999998</c:v>
                </c:pt>
                <c:pt idx="127">
                  <c:v>18.8779</c:v>
                </c:pt>
                <c:pt idx="128">
                  <c:v>18.960599999999999</c:v>
                </c:pt>
                <c:pt idx="129">
                  <c:v>19.102800000000002</c:v>
                </c:pt>
                <c:pt idx="130">
                  <c:v>19.248899999999999</c:v>
                </c:pt>
                <c:pt idx="131">
                  <c:v>19.501200000000001</c:v>
                </c:pt>
                <c:pt idx="132">
                  <c:v>19.831499999999998</c:v>
                </c:pt>
                <c:pt idx="133">
                  <c:v>20.101800000000001</c:v>
                </c:pt>
                <c:pt idx="134">
                  <c:v>20.341100000000001</c:v>
                </c:pt>
                <c:pt idx="135">
                  <c:v>20.505399999999998</c:v>
                </c:pt>
                <c:pt idx="136">
                  <c:v>20.657700000000002</c:v>
                </c:pt>
                <c:pt idx="137">
                  <c:v>20.896600000000003</c:v>
                </c:pt>
                <c:pt idx="138">
                  <c:v>21.199000000000002</c:v>
                </c:pt>
                <c:pt idx="139">
                  <c:v>21.683499999999999</c:v>
                </c:pt>
                <c:pt idx="140">
                  <c:v>22.334200000000003</c:v>
                </c:pt>
                <c:pt idx="141">
                  <c:v>23.1023</c:v>
                </c:pt>
                <c:pt idx="142">
                  <c:v>23.9953</c:v>
                </c:pt>
                <c:pt idx="143">
                  <c:v>24.7667</c:v>
                </c:pt>
                <c:pt idx="144">
                  <c:v>25.735500000000002</c:v>
                </c:pt>
                <c:pt idx="145">
                  <c:v>26.8108</c:v>
                </c:pt>
                <c:pt idx="146">
                  <c:v>27.926400000000001</c:v>
                </c:pt>
                <c:pt idx="147">
                  <c:v>28.5246</c:v>
                </c:pt>
                <c:pt idx="148">
                  <c:v>28.520099999999999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2.0922499999999999</c:v>
                </c:pt>
                <c:pt idx="1">
                  <c:v>2.1761499999999998</c:v>
                </c:pt>
                <c:pt idx="2">
                  <c:v>2.2597300000000002</c:v>
                </c:pt>
                <c:pt idx="3">
                  <c:v>2.3418900000000002</c:v>
                </c:pt>
                <c:pt idx="4">
                  <c:v>2.42191</c:v>
                </c:pt>
                <c:pt idx="5">
                  <c:v>2.5070399999999999</c:v>
                </c:pt>
                <c:pt idx="6">
                  <c:v>2.5958999999999999</c:v>
                </c:pt>
                <c:pt idx="7">
                  <c:v>2.6812200000000002</c:v>
                </c:pt>
                <c:pt idx="8">
                  <c:v>2.7672999999999996</c:v>
                </c:pt>
                <c:pt idx="9">
                  <c:v>2.8568500000000001</c:v>
                </c:pt>
                <c:pt idx="10">
                  <c:v>2.9491699999999996</c:v>
                </c:pt>
                <c:pt idx="11">
                  <c:v>3.0385600000000004</c:v>
                </c:pt>
                <c:pt idx="12">
                  <c:v>3.12371</c:v>
                </c:pt>
                <c:pt idx="13">
                  <c:v>3.2063599999999997</c:v>
                </c:pt>
                <c:pt idx="14">
                  <c:v>3.29156</c:v>
                </c:pt>
                <c:pt idx="15">
                  <c:v>3.3766400000000001</c:v>
                </c:pt>
                <c:pt idx="16">
                  <c:v>3.4588799999999997</c:v>
                </c:pt>
                <c:pt idx="17">
                  <c:v>3.5395700000000003</c:v>
                </c:pt>
                <c:pt idx="18">
                  <c:v>3.61558</c:v>
                </c:pt>
                <c:pt idx="19">
                  <c:v>3.68371</c:v>
                </c:pt>
                <c:pt idx="20">
                  <c:v>3.7474800000000004</c:v>
                </c:pt>
                <c:pt idx="21">
                  <c:v>3.8051200000000001</c:v>
                </c:pt>
                <c:pt idx="22">
                  <c:v>3.8549899999999999</c:v>
                </c:pt>
                <c:pt idx="23">
                  <c:v>3.8994900000000001</c:v>
                </c:pt>
                <c:pt idx="24">
                  <c:v>3.9393099999999999</c:v>
                </c:pt>
                <c:pt idx="25">
                  <c:v>3.9738499999999997</c:v>
                </c:pt>
                <c:pt idx="26">
                  <c:v>4.0028300000000003</c:v>
                </c:pt>
                <c:pt idx="27">
                  <c:v>4.0265300000000002</c:v>
                </c:pt>
                <c:pt idx="28">
                  <c:v>4.0485699999999998</c:v>
                </c:pt>
                <c:pt idx="29">
                  <c:v>4.0666000000000002</c:v>
                </c:pt>
                <c:pt idx="30">
                  <c:v>4.0808</c:v>
                </c:pt>
                <c:pt idx="31">
                  <c:v>4.0921900000000004</c:v>
                </c:pt>
                <c:pt idx="32">
                  <c:v>4.1027400000000007</c:v>
                </c:pt>
                <c:pt idx="33">
                  <c:v>4.1095500000000005</c:v>
                </c:pt>
                <c:pt idx="34">
                  <c:v>4.1112500000000001</c:v>
                </c:pt>
                <c:pt idx="35">
                  <c:v>4.1070000000000002</c:v>
                </c:pt>
                <c:pt idx="36">
                  <c:v>4.1026199999999999</c:v>
                </c:pt>
                <c:pt idx="37">
                  <c:v>4.0969499999999996</c:v>
                </c:pt>
                <c:pt idx="38">
                  <c:v>4.0886399999999998</c:v>
                </c:pt>
                <c:pt idx="39">
                  <c:v>4.0726899999999997</c:v>
                </c:pt>
                <c:pt idx="40">
                  <c:v>4.0527100000000003</c:v>
                </c:pt>
                <c:pt idx="41">
                  <c:v>4.0314299999999994</c:v>
                </c:pt>
                <c:pt idx="42">
                  <c:v>4.0077499999999997</c:v>
                </c:pt>
                <c:pt idx="43">
                  <c:v>3.98298</c:v>
                </c:pt>
                <c:pt idx="44">
                  <c:v>3.96034</c:v>
                </c:pt>
                <c:pt idx="45">
                  <c:v>3.9387699999999999</c:v>
                </c:pt>
                <c:pt idx="46">
                  <c:v>3.9201999999999999</c:v>
                </c:pt>
                <c:pt idx="47">
                  <c:v>3.9060899999999998</c:v>
                </c:pt>
                <c:pt idx="48">
                  <c:v>3.89276</c:v>
                </c:pt>
                <c:pt idx="49">
                  <c:v>3.8788</c:v>
                </c:pt>
                <c:pt idx="50">
                  <c:v>3.8668900000000002</c:v>
                </c:pt>
                <c:pt idx="51">
                  <c:v>3.8583099999999999</c:v>
                </c:pt>
                <c:pt idx="52">
                  <c:v>3.8514399999999998</c:v>
                </c:pt>
                <c:pt idx="53">
                  <c:v>3.8480799999999999</c:v>
                </c:pt>
                <c:pt idx="54">
                  <c:v>3.8458900000000003</c:v>
                </c:pt>
                <c:pt idx="55">
                  <c:v>3.8406800000000003</c:v>
                </c:pt>
                <c:pt idx="56">
                  <c:v>3.8323099999999997</c:v>
                </c:pt>
                <c:pt idx="57">
                  <c:v>3.8228600000000004</c:v>
                </c:pt>
                <c:pt idx="58">
                  <c:v>3.8126300000000004</c:v>
                </c:pt>
                <c:pt idx="59">
                  <c:v>3.8002000000000002</c:v>
                </c:pt>
                <c:pt idx="60">
                  <c:v>3.7884699999999998</c:v>
                </c:pt>
                <c:pt idx="61">
                  <c:v>3.7774799999999997</c:v>
                </c:pt>
                <c:pt idx="62">
                  <c:v>3.7658300000000002</c:v>
                </c:pt>
                <c:pt idx="63">
                  <c:v>3.7525900000000001</c:v>
                </c:pt>
                <c:pt idx="64">
                  <c:v>3.7393199999999998</c:v>
                </c:pt>
                <c:pt idx="65">
                  <c:v>3.7239699999999996</c:v>
                </c:pt>
                <c:pt idx="66">
                  <c:v>3.7072599999999998</c:v>
                </c:pt>
                <c:pt idx="67">
                  <c:v>3.6910500000000002</c:v>
                </c:pt>
                <c:pt idx="68">
                  <c:v>3.6774</c:v>
                </c:pt>
                <c:pt idx="69">
                  <c:v>3.6670599999999998</c:v>
                </c:pt>
                <c:pt idx="70">
                  <c:v>3.6585200000000002</c:v>
                </c:pt>
                <c:pt idx="71">
                  <c:v>3.6530800000000001</c:v>
                </c:pt>
                <c:pt idx="72">
                  <c:v>3.6512899999999999</c:v>
                </c:pt>
                <c:pt idx="73">
                  <c:v>3.6476599999999997</c:v>
                </c:pt>
                <c:pt idx="74">
                  <c:v>3.6437999999999997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50.450799999999994</c:v>
                </c:pt>
                <c:pt idx="1">
                  <c:v>48.8508</c:v>
                </c:pt>
                <c:pt idx="2">
                  <c:v>47.206499999999998</c:v>
                </c:pt>
                <c:pt idx="3">
                  <c:v>45.677199999999999</c:v>
                </c:pt>
                <c:pt idx="4">
                  <c:v>44.195799999999998</c:v>
                </c:pt>
                <c:pt idx="5">
                  <c:v>42.465000000000003</c:v>
                </c:pt>
                <c:pt idx="6">
                  <c:v>40.6982</c:v>
                </c:pt>
                <c:pt idx="7">
                  <c:v>39.152700000000003</c:v>
                </c:pt>
                <c:pt idx="8">
                  <c:v>37.660199999999996</c:v>
                </c:pt>
                <c:pt idx="9">
                  <c:v>36.095699999999994</c:v>
                </c:pt>
                <c:pt idx="10">
                  <c:v>34.4557</c:v>
                </c:pt>
                <c:pt idx="11">
                  <c:v>33.020300000000006</c:v>
                </c:pt>
                <c:pt idx="12">
                  <c:v>31.767299999999999</c:v>
                </c:pt>
                <c:pt idx="13">
                  <c:v>30.571199999999997</c:v>
                </c:pt>
                <c:pt idx="14">
                  <c:v>29.201100000000004</c:v>
                </c:pt>
                <c:pt idx="15">
                  <c:v>27.7515</c:v>
                </c:pt>
                <c:pt idx="16">
                  <c:v>26.356600000000004</c:v>
                </c:pt>
                <c:pt idx="17">
                  <c:v>25.019799999999996</c:v>
                </c:pt>
                <c:pt idx="18">
                  <c:v>23.830000000000002</c:v>
                </c:pt>
                <c:pt idx="19">
                  <c:v>22.947699999999998</c:v>
                </c:pt>
                <c:pt idx="20">
                  <c:v>22.305199999999999</c:v>
                </c:pt>
                <c:pt idx="21">
                  <c:v>21.810099999999998</c:v>
                </c:pt>
                <c:pt idx="22">
                  <c:v>21.428900000000002</c:v>
                </c:pt>
                <c:pt idx="23">
                  <c:v>21.102899999999998</c:v>
                </c:pt>
                <c:pt idx="24">
                  <c:v>20.8081</c:v>
                </c:pt>
                <c:pt idx="25">
                  <c:v>20.5032</c:v>
                </c:pt>
                <c:pt idx="26">
                  <c:v>20.251799999999999</c:v>
                </c:pt>
                <c:pt idx="27">
                  <c:v>20.037800000000001</c:v>
                </c:pt>
                <c:pt idx="28">
                  <c:v>19.826899999999998</c:v>
                </c:pt>
                <c:pt idx="29">
                  <c:v>19.679099999999998</c:v>
                </c:pt>
                <c:pt idx="30">
                  <c:v>19.433800000000002</c:v>
                </c:pt>
                <c:pt idx="31">
                  <c:v>19.078600000000002</c:v>
                </c:pt>
                <c:pt idx="32">
                  <c:v>18.783100000000001</c:v>
                </c:pt>
                <c:pt idx="33">
                  <c:v>18.5334</c:v>
                </c:pt>
                <c:pt idx="34">
                  <c:v>18.334600000000002</c:v>
                </c:pt>
                <c:pt idx="35">
                  <c:v>18.217500000000001</c:v>
                </c:pt>
                <c:pt idx="36">
                  <c:v>18.1038</c:v>
                </c:pt>
                <c:pt idx="37">
                  <c:v>18.0274</c:v>
                </c:pt>
                <c:pt idx="38">
                  <c:v>17.9787</c:v>
                </c:pt>
                <c:pt idx="39">
                  <c:v>18.082500000000003</c:v>
                </c:pt>
                <c:pt idx="40">
                  <c:v>18.291799999999999</c:v>
                </c:pt>
                <c:pt idx="41">
                  <c:v>18.5932</c:v>
                </c:pt>
                <c:pt idx="42">
                  <c:v>19.0185</c:v>
                </c:pt>
                <c:pt idx="43">
                  <c:v>19.509899999999998</c:v>
                </c:pt>
                <c:pt idx="44">
                  <c:v>19.915299999999998</c:v>
                </c:pt>
                <c:pt idx="45">
                  <c:v>20.257400000000001</c:v>
                </c:pt>
                <c:pt idx="46">
                  <c:v>20.522199999999998</c:v>
                </c:pt>
                <c:pt idx="47">
                  <c:v>20.7439</c:v>
                </c:pt>
                <c:pt idx="48">
                  <c:v>20.971299999999999</c:v>
                </c:pt>
                <c:pt idx="49">
                  <c:v>21.1754</c:v>
                </c:pt>
                <c:pt idx="50">
                  <c:v>21.383700000000001</c:v>
                </c:pt>
                <c:pt idx="51">
                  <c:v>21.581600000000002</c:v>
                </c:pt>
                <c:pt idx="52">
                  <c:v>21.741399999999999</c:v>
                </c:pt>
                <c:pt idx="53">
                  <c:v>21.917300000000001</c:v>
                </c:pt>
                <c:pt idx="54">
                  <c:v>22.033000000000001</c:v>
                </c:pt>
                <c:pt idx="55">
                  <c:v>22.291</c:v>
                </c:pt>
                <c:pt idx="56">
                  <c:v>22.763500000000001</c:v>
                </c:pt>
                <c:pt idx="57">
                  <c:v>23.214499999999997</c:v>
                </c:pt>
                <c:pt idx="58">
                  <c:v>23.6753</c:v>
                </c:pt>
                <c:pt idx="59">
                  <c:v>24.178000000000001</c:v>
                </c:pt>
                <c:pt idx="60">
                  <c:v>24.642800000000001</c:v>
                </c:pt>
                <c:pt idx="61">
                  <c:v>25.1511</c:v>
                </c:pt>
                <c:pt idx="62">
                  <c:v>25.7042</c:v>
                </c:pt>
                <c:pt idx="63">
                  <c:v>26.295200000000001</c:v>
                </c:pt>
                <c:pt idx="64">
                  <c:v>26.862000000000002</c:v>
                </c:pt>
                <c:pt idx="65">
                  <c:v>27.458199999999998</c:v>
                </c:pt>
                <c:pt idx="66">
                  <c:v>28.069199999999999</c:v>
                </c:pt>
                <c:pt idx="67">
                  <c:v>28.659099999999999</c:v>
                </c:pt>
                <c:pt idx="68">
                  <c:v>29.2117</c:v>
                </c:pt>
                <c:pt idx="69">
                  <c:v>29.742699999999999</c:v>
                </c:pt>
                <c:pt idx="70">
                  <c:v>30.2927</c:v>
                </c:pt>
                <c:pt idx="71">
                  <c:v>30.882399999999997</c:v>
                </c:pt>
                <c:pt idx="72">
                  <c:v>31.318899999999999</c:v>
                </c:pt>
                <c:pt idx="73">
                  <c:v>31.553199999999997</c:v>
                </c:pt>
                <c:pt idx="74">
                  <c:v>31.781300000000002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3.6437999999999997</c:v>
                </c:pt>
                <c:pt idx="1">
                  <c:v>3.6386200000000004</c:v>
                </c:pt>
                <c:pt idx="2">
                  <c:v>3.6326000000000001</c:v>
                </c:pt>
                <c:pt idx="3">
                  <c:v>3.62981</c:v>
                </c:pt>
                <c:pt idx="4">
                  <c:v>3.6257000000000001</c:v>
                </c:pt>
                <c:pt idx="5">
                  <c:v>3.62439</c:v>
                </c:pt>
                <c:pt idx="6">
                  <c:v>3.6238999999999999</c:v>
                </c:pt>
                <c:pt idx="7">
                  <c:v>3.6245599999999998</c:v>
                </c:pt>
                <c:pt idx="8">
                  <c:v>3.6286200000000002</c:v>
                </c:pt>
                <c:pt idx="9">
                  <c:v>3.6385800000000001</c:v>
                </c:pt>
                <c:pt idx="10">
                  <c:v>3.6516900000000003</c:v>
                </c:pt>
                <c:pt idx="11">
                  <c:v>3.6672799999999999</c:v>
                </c:pt>
                <c:pt idx="12">
                  <c:v>3.6817199999999999</c:v>
                </c:pt>
                <c:pt idx="13">
                  <c:v>3.69739</c:v>
                </c:pt>
                <c:pt idx="14">
                  <c:v>3.7171900000000004</c:v>
                </c:pt>
                <c:pt idx="15">
                  <c:v>3.7424900000000001</c:v>
                </c:pt>
                <c:pt idx="16">
                  <c:v>3.77311</c:v>
                </c:pt>
                <c:pt idx="17">
                  <c:v>3.8046000000000002</c:v>
                </c:pt>
                <c:pt idx="18">
                  <c:v>3.83657</c:v>
                </c:pt>
                <c:pt idx="19">
                  <c:v>3.86917</c:v>
                </c:pt>
                <c:pt idx="20">
                  <c:v>3.9027000000000003</c:v>
                </c:pt>
                <c:pt idx="21">
                  <c:v>3.93675</c:v>
                </c:pt>
                <c:pt idx="22">
                  <c:v>3.9657300000000002</c:v>
                </c:pt>
                <c:pt idx="23">
                  <c:v>3.98706</c:v>
                </c:pt>
                <c:pt idx="24">
                  <c:v>4.0104699999999998</c:v>
                </c:pt>
                <c:pt idx="25">
                  <c:v>4.0372200000000005</c:v>
                </c:pt>
                <c:pt idx="26">
                  <c:v>4.0619100000000001</c:v>
                </c:pt>
                <c:pt idx="27">
                  <c:v>4.0914299999999999</c:v>
                </c:pt>
                <c:pt idx="28">
                  <c:v>4.1197600000000003</c:v>
                </c:pt>
                <c:pt idx="29">
                  <c:v>4.1472999999999995</c:v>
                </c:pt>
                <c:pt idx="30">
                  <c:v>4.1760599999999997</c:v>
                </c:pt>
                <c:pt idx="31">
                  <c:v>4.2066400000000002</c:v>
                </c:pt>
                <c:pt idx="32">
                  <c:v>4.2405299999999997</c:v>
                </c:pt>
                <c:pt idx="33">
                  <c:v>4.2744499999999999</c:v>
                </c:pt>
                <c:pt idx="34">
                  <c:v>4.3024100000000001</c:v>
                </c:pt>
                <c:pt idx="35">
                  <c:v>4.3292799999999998</c:v>
                </c:pt>
                <c:pt idx="36">
                  <c:v>4.3519600000000001</c:v>
                </c:pt>
                <c:pt idx="37">
                  <c:v>4.3745899999999995</c:v>
                </c:pt>
                <c:pt idx="38">
                  <c:v>4.3993099999999998</c:v>
                </c:pt>
                <c:pt idx="39">
                  <c:v>4.4231300000000005</c:v>
                </c:pt>
                <c:pt idx="40">
                  <c:v>4.4459799999999996</c:v>
                </c:pt>
                <c:pt idx="41">
                  <c:v>4.4662800000000002</c:v>
                </c:pt>
                <c:pt idx="42">
                  <c:v>4.48529</c:v>
                </c:pt>
                <c:pt idx="43">
                  <c:v>4.5015000000000001</c:v>
                </c:pt>
                <c:pt idx="44">
                  <c:v>4.5109700000000004</c:v>
                </c:pt>
                <c:pt idx="45">
                  <c:v>4.5155000000000003</c:v>
                </c:pt>
                <c:pt idx="46">
                  <c:v>4.51424</c:v>
                </c:pt>
                <c:pt idx="47">
                  <c:v>4.5110799999999998</c:v>
                </c:pt>
                <c:pt idx="48">
                  <c:v>4.5072999999999999</c:v>
                </c:pt>
                <c:pt idx="49">
                  <c:v>4.5015999999999998</c:v>
                </c:pt>
                <c:pt idx="50">
                  <c:v>4.5008599999999994</c:v>
                </c:pt>
                <c:pt idx="51">
                  <c:v>4.5082800000000001</c:v>
                </c:pt>
                <c:pt idx="52">
                  <c:v>4.5118799999999997</c:v>
                </c:pt>
                <c:pt idx="53">
                  <c:v>4.5151700000000003</c:v>
                </c:pt>
                <c:pt idx="54">
                  <c:v>4.5175700000000001</c:v>
                </c:pt>
                <c:pt idx="55">
                  <c:v>4.5172699999999999</c:v>
                </c:pt>
                <c:pt idx="56">
                  <c:v>4.5151700000000003</c:v>
                </c:pt>
                <c:pt idx="57">
                  <c:v>4.5078300000000002</c:v>
                </c:pt>
                <c:pt idx="58">
                  <c:v>4.4965999999999999</c:v>
                </c:pt>
                <c:pt idx="59">
                  <c:v>4.48787</c:v>
                </c:pt>
                <c:pt idx="60">
                  <c:v>4.4798299999999998</c:v>
                </c:pt>
                <c:pt idx="61">
                  <c:v>4.4758199999999997</c:v>
                </c:pt>
                <c:pt idx="62">
                  <c:v>4.4695600000000004</c:v>
                </c:pt>
                <c:pt idx="63">
                  <c:v>4.45702</c:v>
                </c:pt>
                <c:pt idx="64">
                  <c:v>4.4390700000000001</c:v>
                </c:pt>
                <c:pt idx="65">
                  <c:v>4.4138599999999997</c:v>
                </c:pt>
                <c:pt idx="66">
                  <c:v>4.3818200000000003</c:v>
                </c:pt>
                <c:pt idx="67">
                  <c:v>4.3435000000000006</c:v>
                </c:pt>
                <c:pt idx="68">
                  <c:v>4.3006000000000002</c:v>
                </c:pt>
                <c:pt idx="69">
                  <c:v>4.26281</c:v>
                </c:pt>
                <c:pt idx="70">
                  <c:v>4.2204899999999999</c:v>
                </c:pt>
                <c:pt idx="71">
                  <c:v>4.1872799999999994</c:v>
                </c:pt>
                <c:pt idx="72">
                  <c:v>4.1639799999999996</c:v>
                </c:pt>
                <c:pt idx="73">
                  <c:v>4.1628600000000002</c:v>
                </c:pt>
                <c:pt idx="74">
                  <c:v>4.1673999999999998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31.781300000000002</c:v>
                </c:pt>
                <c:pt idx="1">
                  <c:v>32.027999999999999</c:v>
                </c:pt>
                <c:pt idx="2">
                  <c:v>32.298900000000003</c:v>
                </c:pt>
                <c:pt idx="3">
                  <c:v>32.562000000000005</c:v>
                </c:pt>
                <c:pt idx="4">
                  <c:v>32.763500000000001</c:v>
                </c:pt>
                <c:pt idx="5">
                  <c:v>32.896500000000003</c:v>
                </c:pt>
                <c:pt idx="6">
                  <c:v>32.975100000000005</c:v>
                </c:pt>
                <c:pt idx="7">
                  <c:v>32.980699999999999</c:v>
                </c:pt>
                <c:pt idx="8">
                  <c:v>32.853000000000002</c:v>
                </c:pt>
                <c:pt idx="9">
                  <c:v>32.540700000000001</c:v>
                </c:pt>
                <c:pt idx="10">
                  <c:v>32.159599999999998</c:v>
                </c:pt>
                <c:pt idx="11">
                  <c:v>31.739299999999997</c:v>
                </c:pt>
                <c:pt idx="12">
                  <c:v>31.324400000000001</c:v>
                </c:pt>
                <c:pt idx="13">
                  <c:v>30.822800000000001</c:v>
                </c:pt>
                <c:pt idx="14">
                  <c:v>30.213899999999999</c:v>
                </c:pt>
                <c:pt idx="15">
                  <c:v>29.520000000000003</c:v>
                </c:pt>
                <c:pt idx="16">
                  <c:v>28.749099999999999</c:v>
                </c:pt>
                <c:pt idx="17">
                  <c:v>28.053599999999999</c:v>
                </c:pt>
                <c:pt idx="18">
                  <c:v>27.391399999999997</c:v>
                </c:pt>
                <c:pt idx="19">
                  <c:v>26.664999999999999</c:v>
                </c:pt>
                <c:pt idx="20">
                  <c:v>25.854500000000002</c:v>
                </c:pt>
                <c:pt idx="21">
                  <c:v>25.022499999999997</c:v>
                </c:pt>
                <c:pt idx="22">
                  <c:v>24.230399999999999</c:v>
                </c:pt>
                <c:pt idx="23">
                  <c:v>23.655999999999999</c:v>
                </c:pt>
                <c:pt idx="24">
                  <c:v>23.271900000000002</c:v>
                </c:pt>
                <c:pt idx="25">
                  <c:v>22.881999999999998</c:v>
                </c:pt>
                <c:pt idx="26">
                  <c:v>22.510400000000001</c:v>
                </c:pt>
                <c:pt idx="27">
                  <c:v>22.046700000000001</c:v>
                </c:pt>
                <c:pt idx="28">
                  <c:v>21.581</c:v>
                </c:pt>
                <c:pt idx="29">
                  <c:v>21.167200000000001</c:v>
                </c:pt>
                <c:pt idx="30">
                  <c:v>20.6996</c:v>
                </c:pt>
                <c:pt idx="31">
                  <c:v>20.2438</c:v>
                </c:pt>
                <c:pt idx="32">
                  <c:v>19.7196</c:v>
                </c:pt>
                <c:pt idx="33">
                  <c:v>19.220699999999997</c:v>
                </c:pt>
                <c:pt idx="34">
                  <c:v>18.8475</c:v>
                </c:pt>
                <c:pt idx="35">
                  <c:v>18.540799999999997</c:v>
                </c:pt>
                <c:pt idx="36">
                  <c:v>18.3279</c:v>
                </c:pt>
                <c:pt idx="37">
                  <c:v>18.154400000000003</c:v>
                </c:pt>
                <c:pt idx="38">
                  <c:v>17.996599999999997</c:v>
                </c:pt>
                <c:pt idx="39">
                  <c:v>17.881700000000002</c:v>
                </c:pt>
                <c:pt idx="40">
                  <c:v>17.7529</c:v>
                </c:pt>
                <c:pt idx="41">
                  <c:v>17.6509</c:v>
                </c:pt>
                <c:pt idx="42">
                  <c:v>17.560100000000002</c:v>
                </c:pt>
                <c:pt idx="43">
                  <c:v>17.514099999999999</c:v>
                </c:pt>
                <c:pt idx="44">
                  <c:v>17.580399999999997</c:v>
                </c:pt>
                <c:pt idx="45">
                  <c:v>17.698399999999999</c:v>
                </c:pt>
                <c:pt idx="46">
                  <c:v>17.835000000000001</c:v>
                </c:pt>
                <c:pt idx="47">
                  <c:v>18.009399999999999</c:v>
                </c:pt>
                <c:pt idx="48">
                  <c:v>18.226600000000001</c:v>
                </c:pt>
                <c:pt idx="49">
                  <c:v>18.520500000000002</c:v>
                </c:pt>
                <c:pt idx="50">
                  <c:v>18.683900000000001</c:v>
                </c:pt>
                <c:pt idx="51">
                  <c:v>18.7239</c:v>
                </c:pt>
                <c:pt idx="52">
                  <c:v>18.793599999999998</c:v>
                </c:pt>
                <c:pt idx="53">
                  <c:v>18.8779</c:v>
                </c:pt>
                <c:pt idx="54">
                  <c:v>18.960599999999999</c:v>
                </c:pt>
                <c:pt idx="55">
                  <c:v>19.102800000000002</c:v>
                </c:pt>
                <c:pt idx="56">
                  <c:v>19.248899999999999</c:v>
                </c:pt>
                <c:pt idx="57">
                  <c:v>19.501200000000001</c:v>
                </c:pt>
                <c:pt idx="58">
                  <c:v>19.831499999999998</c:v>
                </c:pt>
                <c:pt idx="59">
                  <c:v>20.101800000000001</c:v>
                </c:pt>
                <c:pt idx="60">
                  <c:v>20.341100000000001</c:v>
                </c:pt>
                <c:pt idx="61">
                  <c:v>20.505399999999998</c:v>
                </c:pt>
                <c:pt idx="62">
                  <c:v>20.657700000000002</c:v>
                </c:pt>
                <c:pt idx="63">
                  <c:v>20.896600000000003</c:v>
                </c:pt>
                <c:pt idx="64">
                  <c:v>21.199000000000002</c:v>
                </c:pt>
                <c:pt idx="65">
                  <c:v>21.683499999999999</c:v>
                </c:pt>
                <c:pt idx="66">
                  <c:v>22.334200000000003</c:v>
                </c:pt>
                <c:pt idx="67">
                  <c:v>23.1023</c:v>
                </c:pt>
                <c:pt idx="68">
                  <c:v>23.9953</c:v>
                </c:pt>
                <c:pt idx="69">
                  <c:v>24.7667</c:v>
                </c:pt>
                <c:pt idx="70">
                  <c:v>25.735500000000002</c:v>
                </c:pt>
                <c:pt idx="71">
                  <c:v>26.8108</c:v>
                </c:pt>
                <c:pt idx="72">
                  <c:v>27.926400000000001</c:v>
                </c:pt>
                <c:pt idx="73">
                  <c:v>28.5246</c:v>
                </c:pt>
                <c:pt idx="74">
                  <c:v>28.520099999999999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2.0922499999999999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50.450799999999994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3.6238551351351358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26.071933783783781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4.1606381081081096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23.551722972972982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4.1606381081081096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23.551722972972982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576</v>
      </c>
      <c r="D5" s="151"/>
      <c r="E5" s="151"/>
      <c r="F5" s="152"/>
      <c r="G5" s="48" t="str">
        <f>lang!B27</f>
        <v>编号</v>
      </c>
      <c r="H5" s="150">
        <v>52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575</v>
      </c>
      <c r="D6" s="188"/>
      <c r="E6" s="188"/>
      <c r="F6" s="189"/>
      <c r="G6" s="49" t="str">
        <f>lang!B28</f>
        <v xml:space="preserve"> 日期</v>
      </c>
      <c r="H6" s="172">
        <f>FH_info!A2</f>
        <v>43607.67695601852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30</v>
      </c>
      <c r="D7" s="191"/>
      <c r="E7" s="191"/>
      <c r="F7" s="192"/>
      <c r="G7" s="50" t="str">
        <f>lang!B29</f>
        <v>误差率（%）</v>
      </c>
      <c r="H7" s="175">
        <f>M!B17*1</f>
        <v>17.5425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51.902000000000001</v>
      </c>
      <c r="O8" s="59">
        <f>M!C5*1</f>
        <v>12.001099999999999</v>
      </c>
      <c r="P8" s="59">
        <f>M!D5*1</f>
        <v>23.122599999999998</v>
      </c>
      <c r="Q8" s="59">
        <f>M!E5*1</f>
        <v>20</v>
      </c>
      <c r="R8" s="59">
        <f>M!F5*1</f>
        <v>10.3949</v>
      </c>
      <c r="S8" s="59">
        <f>M!G5*1</f>
        <v>50</v>
      </c>
      <c r="T8" s="59">
        <f>M!H5*1</f>
        <v>64.566199999999995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35.081099999999999</v>
      </c>
      <c r="O9" s="59">
        <f>M!C6*1</f>
        <v>3.96611</v>
      </c>
      <c r="P9" s="59">
        <f>M!D6*1</f>
        <v>11.3056</v>
      </c>
      <c r="Q9" s="59">
        <f>M!E6*1</f>
        <v>20</v>
      </c>
      <c r="R9" s="59">
        <f>M!F6*1</f>
        <v>23.7499</v>
      </c>
      <c r="S9" s="59">
        <f>M!G6*1</f>
        <v>40</v>
      </c>
      <c r="T9" s="59">
        <f>M!H6*1</f>
        <v>47.619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10.3949</v>
      </c>
      <c r="D10" s="99">
        <f>N8</f>
        <v>51.902000000000001</v>
      </c>
      <c r="E10" s="100">
        <f>T8</f>
        <v>64.566199999999995</v>
      </c>
      <c r="F10" s="91">
        <f>P8</f>
        <v>23.122599999999998</v>
      </c>
      <c r="G10" s="81" t="str">
        <f>CONCATENATE(M9,"
(20 ~ 40)")</f>
        <v>压力
(20 ~ 40)</v>
      </c>
      <c r="H10" s="98">
        <f>R9</f>
        <v>23.7499</v>
      </c>
      <c r="I10" s="108">
        <f>N9</f>
        <v>35.081099999999999</v>
      </c>
      <c r="J10" s="98">
        <f>T9</f>
        <v>47.619</v>
      </c>
      <c r="K10" s="92">
        <f>P9</f>
        <v>11.3056</v>
      </c>
      <c r="L10" s="6"/>
      <c r="M10" s="27" t="str">
        <f>lang!B16</f>
        <v>焦虑</v>
      </c>
      <c r="N10" s="59">
        <f>M!B7*1</f>
        <v>29.772300000000001</v>
      </c>
      <c r="O10" s="59">
        <f>M!C7*1</f>
        <v>10.3339</v>
      </c>
      <c r="P10" s="59">
        <f>M!D7*1</f>
        <v>34.709899999999998</v>
      </c>
      <c r="Q10" s="59">
        <f>M!E7*1</f>
        <v>15</v>
      </c>
      <c r="R10" s="59">
        <f>M!F7*1</f>
        <v>6.2787199999999999</v>
      </c>
      <c r="S10" s="59">
        <f>M!G7*1</f>
        <v>40</v>
      </c>
      <c r="T10" s="59">
        <f>M!H7*1</f>
        <v>52.6188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6.2787199999999999</v>
      </c>
      <c r="D11" s="102">
        <f>N10</f>
        <v>29.772300000000001</v>
      </c>
      <c r="E11" s="103">
        <f>T10</f>
        <v>52.6188</v>
      </c>
      <c r="F11" s="94">
        <f>P10</f>
        <v>34.709899999999998</v>
      </c>
      <c r="G11" s="52" t="str">
        <f>CONCATENATE(M11,"
(20 ~ 50)")</f>
        <v>可疑
(20 ~ 50)</v>
      </c>
      <c r="H11" s="101">
        <f>R11</f>
        <v>16.574000000000002</v>
      </c>
      <c r="I11" s="104">
        <f>N11</f>
        <v>38.8673</v>
      </c>
      <c r="J11" s="101">
        <f>T11</f>
        <v>46.516500000000001</v>
      </c>
      <c r="K11" s="95">
        <f>P11</f>
        <v>15.0375</v>
      </c>
      <c r="L11" s="4"/>
      <c r="M11" s="27" t="str">
        <f>lang!B17</f>
        <v>可疑</v>
      </c>
      <c r="N11" s="59">
        <f>M!B8*1</f>
        <v>38.8673</v>
      </c>
      <c r="O11" s="59">
        <f>M!C8*1</f>
        <v>5.8446800000000003</v>
      </c>
      <c r="P11" s="59">
        <f>M!D8*1</f>
        <v>15.0375</v>
      </c>
      <c r="Q11" s="59">
        <f>M!E8*1</f>
        <v>20</v>
      </c>
      <c r="R11" s="59">
        <f>M!F8*1</f>
        <v>16.574000000000002</v>
      </c>
      <c r="S11" s="59">
        <f>M!G8*1</f>
        <v>50</v>
      </c>
      <c r="T11" s="59">
        <f>M!H8*1</f>
        <v>46.516500000000001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40.547800000000002</v>
      </c>
      <c r="D12" s="104">
        <f>N12</f>
        <v>55.824399999999997</v>
      </c>
      <c r="E12" s="101">
        <f>T12</f>
        <v>71.909800000000004</v>
      </c>
      <c r="F12" s="93">
        <f>P12</f>
        <v>12.0678</v>
      </c>
      <c r="G12" s="52" t="str">
        <f>CONCATENATE(M13,"
(40 ~ 100)")</f>
        <v>自信
(40 ~ 100)</v>
      </c>
      <c r="H12" s="101">
        <f>R13</f>
        <v>46.231499999999997</v>
      </c>
      <c r="I12" s="104">
        <f>N13</f>
        <v>64.285200000000003</v>
      </c>
      <c r="J12" s="101">
        <f>T13</f>
        <v>71.975099999999998</v>
      </c>
      <c r="K12" s="95">
        <f>P13</f>
        <v>9.46617</v>
      </c>
      <c r="L12" s="4"/>
      <c r="M12" s="27" t="str">
        <f>lang!B18</f>
        <v>平衡</v>
      </c>
      <c r="N12" s="59">
        <f>M!B9*1</f>
        <v>55.824399999999997</v>
      </c>
      <c r="O12" s="59">
        <f>M!C9*1</f>
        <v>6.7367900000000001</v>
      </c>
      <c r="P12" s="59">
        <f>M!D9*1</f>
        <v>12.0678</v>
      </c>
      <c r="Q12" s="59">
        <f>M!E9*1</f>
        <v>50</v>
      </c>
      <c r="R12" s="59">
        <f>M!F9*1</f>
        <v>40.547800000000002</v>
      </c>
      <c r="S12" s="59">
        <f>M!G9*1</f>
        <v>100</v>
      </c>
      <c r="T12" s="59">
        <f>M!H9*1</f>
        <v>71.909800000000004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6.7202799999999998</v>
      </c>
      <c r="D13" s="102">
        <f>N14</f>
        <v>23.216899999999999</v>
      </c>
      <c r="E13" s="103">
        <f>T14</f>
        <v>30.249400000000001</v>
      </c>
      <c r="F13" s="94">
        <f>P14</f>
        <v>22.372599999999998</v>
      </c>
      <c r="G13" s="52" t="str">
        <f>CONCATENATE(M15,"
(50 ~ 100)")</f>
        <v>自我调节
(50 ~ 100)</v>
      </c>
      <c r="H13" s="101">
        <f>R15</f>
        <v>47.694499999999998</v>
      </c>
      <c r="I13" s="104">
        <f>N15</f>
        <v>59.455399999999997</v>
      </c>
      <c r="J13" s="101">
        <f>T15</f>
        <v>70.925799999999995</v>
      </c>
      <c r="K13" s="95">
        <f>P15</f>
        <v>6.8926499999999997</v>
      </c>
      <c r="L13" s="4"/>
      <c r="M13" s="27" t="str">
        <f>lang!B19</f>
        <v>自信</v>
      </c>
      <c r="N13" s="59">
        <f>M!B10*1</f>
        <v>64.285200000000003</v>
      </c>
      <c r="O13" s="59">
        <f>M!C10*1</f>
        <v>6.08535</v>
      </c>
      <c r="P13" s="59">
        <f>M!D10*1</f>
        <v>9.46617</v>
      </c>
      <c r="Q13" s="59">
        <f>M!E10*1</f>
        <v>40</v>
      </c>
      <c r="R13" s="59">
        <f>M!F10*1</f>
        <v>46.231499999999997</v>
      </c>
      <c r="S13" s="59">
        <f>M!G10*1</f>
        <v>100</v>
      </c>
      <c r="T13" s="59">
        <f>M!H10*1</f>
        <v>71.975099999999998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15.506500000000001</v>
      </c>
      <c r="D14" s="106">
        <f>N16</f>
        <v>20.901</v>
      </c>
      <c r="E14" s="107">
        <f>T16</f>
        <v>26.981999999999999</v>
      </c>
      <c r="F14" s="96">
        <f>P16</f>
        <v>12.298</v>
      </c>
      <c r="G14" s="112" t="str">
        <f>CONCATENATE(M17,"
(10 ~ 50)")</f>
        <v>神经质
(10 ~ 50)</v>
      </c>
      <c r="H14" s="105">
        <f>R17</f>
        <v>2.1425000000000001</v>
      </c>
      <c r="I14" s="106">
        <f>N17</f>
        <v>25.704000000000001</v>
      </c>
      <c r="J14" s="107">
        <f>T17</f>
        <v>26.599799999999998</v>
      </c>
      <c r="K14" s="97">
        <f>P17</f>
        <v>28.151900000000001</v>
      </c>
      <c r="M14" s="27" t="str">
        <f>lang!B20</f>
        <v>活力</v>
      </c>
      <c r="N14" s="59">
        <f>M!B11*1</f>
        <v>23.216899999999999</v>
      </c>
      <c r="O14" s="59">
        <f>M!C11*1</f>
        <v>5.1942199999999996</v>
      </c>
      <c r="P14" s="59">
        <f>M!D11*1</f>
        <v>22.372599999999998</v>
      </c>
      <c r="Q14" s="59">
        <f>M!E11*1</f>
        <v>10</v>
      </c>
      <c r="R14" s="59">
        <f>M!F11*1</f>
        <v>6.7202799999999998</v>
      </c>
      <c r="S14" s="59">
        <f>M!G11*1</f>
        <v>50</v>
      </c>
      <c r="T14" s="59">
        <f>M!H11*1</f>
        <v>30.249400000000001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59.455399999999997</v>
      </c>
      <c r="O15" s="59">
        <f>M!C12*1</f>
        <v>4.0980499999999997</v>
      </c>
      <c r="P15" s="59">
        <f>M!D12*1</f>
        <v>6.8926499999999997</v>
      </c>
      <c r="Q15" s="59">
        <f>M!E12*1</f>
        <v>50</v>
      </c>
      <c r="R15" s="59">
        <f>M!F12*1</f>
        <v>47.694499999999998</v>
      </c>
      <c r="S15" s="59">
        <f>M!G12*1</f>
        <v>100</v>
      </c>
      <c r="T15" s="59">
        <f>M!H12*1</f>
        <v>70.925799999999995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20.901</v>
      </c>
      <c r="O16" s="59">
        <f>M!C13*1</f>
        <v>2.5703999999999998</v>
      </c>
      <c r="P16" s="59">
        <f>M!D13*1</f>
        <v>12.298</v>
      </c>
      <c r="Q16" s="59">
        <f>M!E13*1</f>
        <v>10</v>
      </c>
      <c r="R16" s="59">
        <f>M!F13*1</f>
        <v>15.506500000000001</v>
      </c>
      <c r="S16" s="59">
        <f>M!G13*1</f>
        <v>25</v>
      </c>
      <c r="T16" s="59">
        <f>M!H13*1</f>
        <v>26.981999999999999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25.704000000000001</v>
      </c>
      <c r="O17" s="59">
        <f>M!C14*1</f>
        <v>7.2361700000000004</v>
      </c>
      <c r="P17" s="59">
        <f>M!D14*1</f>
        <v>28.151900000000001</v>
      </c>
      <c r="Q17" s="59">
        <f>M!E14*1</f>
        <v>10</v>
      </c>
      <c r="R17" s="59">
        <f>M!F14*1</f>
        <v>2.1425000000000001</v>
      </c>
      <c r="S17" s="59">
        <f>M!G14*1</f>
        <v>50</v>
      </c>
      <c r="T17" s="59">
        <f>M!H14*1</f>
        <v>26.599799999999998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50.695475000000002</v>
      </c>
      <c r="O18" s="22">
        <f>N18/(N18+N19+N20)</f>
        <v>0.44901537727079682</v>
      </c>
      <c r="P18" s="65">
        <f>SUM(P12:P15)/4</f>
        <v>12.699805000000001</v>
      </c>
      <c r="Q18" s="22">
        <f>P18/(P18+P19+P20)</f>
        <v>0.23531816755485202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38.905675000000002</v>
      </c>
      <c r="O19" s="22">
        <f>N19/(N18+N19+N20)</f>
        <v>0.34459182674785094</v>
      </c>
      <c r="P19" s="18">
        <f>SUM(P8:P11)/4</f>
        <v>21.043899999999997</v>
      </c>
      <c r="Q19" s="22">
        <f>P19/(P18+P19+P20)</f>
        <v>0.38992819072478269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23.302500000000002</v>
      </c>
      <c r="O20" s="22">
        <f>N20/(N18+N19+N20)</f>
        <v>0.20639279598135227</v>
      </c>
      <c r="P20" s="18">
        <f>(P16+P17)/2</f>
        <v>20.22495</v>
      </c>
      <c r="Q20" s="22">
        <f>P20/(P18+P19+P20)</f>
        <v>0.37475364172036529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-7.8880405405405363E-2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1.8725997893099582</v>
      </c>
      <c r="D25" s="44" t="str">
        <f>lang!B11</f>
        <v>频率方差</v>
      </c>
      <c r="E25" s="142">
        <f ca="1">FH!L3</f>
        <v>0.80111414610653109</v>
      </c>
      <c r="F25" s="143"/>
      <c r="G25" s="134" t="str">
        <f>lang!B12</f>
        <v>生理变化率</v>
      </c>
      <c r="H25" s="135"/>
      <c r="I25" s="62" t="str">
        <f ca="1">CONCATENATE(info!M7,"-",info!M8)</f>
        <v>17.5-50.5</v>
      </c>
      <c r="J25" s="42" t="str">
        <f>lang!B13</f>
        <v>千卡l/分钟</v>
      </c>
      <c r="K25" s="41" t="str">
        <f ca="1">CONCATENATE(info!M5,"-",info!M6)</f>
        <v>2.1-4.5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26.318599999999996</v>
      </c>
      <c r="F28" s="164"/>
      <c r="G28" s="178" t="str">
        <f>lang!B33</f>
        <v>稳定性</v>
      </c>
      <c r="H28" s="179"/>
      <c r="I28" s="180"/>
      <c r="J28" s="181">
        <f>M!B19*100</f>
        <v>55.660600000000002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43607.67695601852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6.3447999999999993</v>
      </c>
      <c r="O7" s="59">
        <f t="shared" ref="O7:T7" si="2">AG7-X7</f>
        <v>-8.3704800000000006</v>
      </c>
      <c r="P7" s="59">
        <f t="shared" si="2"/>
        <v>-18.651400000000002</v>
      </c>
      <c r="Q7" s="59">
        <f t="shared" si="2"/>
        <v>0</v>
      </c>
      <c r="R7" s="59">
        <f t="shared" si="2"/>
        <v>28.8476</v>
      </c>
      <c r="S7" s="59">
        <f t="shared" si="2"/>
        <v>0</v>
      </c>
      <c r="T7" s="59">
        <f t="shared" si="2"/>
        <v>0.57609999999999673</v>
      </c>
      <c r="U7" s="14"/>
      <c r="V7" s="27" t="str">
        <f>M7</f>
        <v>攻击性</v>
      </c>
      <c r="W7" s="59">
        <f>'M1'!B5*1</f>
        <v>48.518900000000002</v>
      </c>
      <c r="X7" s="59">
        <f>'M1'!C5*1</f>
        <v>14.2417</v>
      </c>
      <c r="Y7" s="59">
        <f>'M1'!D5*1</f>
        <v>29.352900000000002</v>
      </c>
      <c r="Z7" s="59">
        <f>'M1'!E5*1</f>
        <v>20</v>
      </c>
      <c r="AA7" s="59">
        <f>'M1'!F5*1</f>
        <v>10.3949</v>
      </c>
      <c r="AB7" s="59">
        <f>'M1'!G5*1</f>
        <v>50</v>
      </c>
      <c r="AC7" s="59">
        <f>'M1'!H5*1</f>
        <v>63.990099999999998</v>
      </c>
      <c r="AE7" s="27" t="str">
        <f>V7</f>
        <v>攻击性</v>
      </c>
      <c r="AF7" s="59">
        <f>'M2'!B5*1</f>
        <v>54.863700000000001</v>
      </c>
      <c r="AG7" s="59">
        <f>'M2'!C5*1</f>
        <v>5.8712200000000001</v>
      </c>
      <c r="AH7" s="59">
        <f>'M2'!D5*1</f>
        <v>10.701499999999999</v>
      </c>
      <c r="AI7" s="59">
        <f>'M2'!E5*1</f>
        <v>20</v>
      </c>
      <c r="AJ7" s="59">
        <f>'M2'!F5*1</f>
        <v>39.2425</v>
      </c>
      <c r="AK7" s="59">
        <f>'M2'!G5*1</f>
        <v>50</v>
      </c>
      <c r="AL7" s="59">
        <f>'M2'!H5*1</f>
        <v>64.566199999999995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0.84039999999999537</v>
      </c>
      <c r="O8" s="59">
        <f t="shared" ref="O8:O16" si="5">AG8-X8</f>
        <v>1.0136400000000001</v>
      </c>
      <c r="P8" s="59">
        <f t="shared" ref="P8:P16" si="6">AH8-Y8</f>
        <v>2.6472099999999994</v>
      </c>
      <c r="Q8" s="59">
        <f t="shared" ref="Q8:Q16" si="7">AI8-Z8</f>
        <v>0</v>
      </c>
      <c r="R8" s="59">
        <f t="shared" ref="R8:R16" si="8">AJ8-AA8</f>
        <v>8.1733000000000011</v>
      </c>
      <c r="S8" s="59">
        <f t="shared" ref="S8:S16" si="9">AK8-AB8</f>
        <v>0</v>
      </c>
      <c r="T8" s="59">
        <f t="shared" ref="T8:T16" si="10">AL8-AC8</f>
        <v>9.4260000000000019</v>
      </c>
      <c r="U8" s="15"/>
      <c r="V8" s="27" t="str">
        <f t="shared" ref="V8:V16" si="11">M8</f>
        <v>压力</v>
      </c>
      <c r="W8" s="59">
        <f>'M1'!B6*1</f>
        <v>34.705800000000004</v>
      </c>
      <c r="X8" s="59">
        <f>'M1'!C6*1</f>
        <v>3.0009700000000001</v>
      </c>
      <c r="Y8" s="59">
        <f>'M1'!D6*1</f>
        <v>8.6468900000000009</v>
      </c>
      <c r="Z8" s="59">
        <f>'M1'!E6*1</f>
        <v>20</v>
      </c>
      <c r="AA8" s="59">
        <f>'M1'!F6*1</f>
        <v>23.7499</v>
      </c>
      <c r="AB8" s="59">
        <f>'M1'!G6*1</f>
        <v>40</v>
      </c>
      <c r="AC8" s="59">
        <f>'M1'!H6*1</f>
        <v>38.192999999999998</v>
      </c>
      <c r="AE8" s="27" t="str">
        <f t="shared" ref="AE8:AE16" si="12">V8</f>
        <v>压力</v>
      </c>
      <c r="AF8" s="59">
        <f>'M2'!B6*1</f>
        <v>35.546199999999999</v>
      </c>
      <c r="AG8" s="59">
        <f>'M2'!C6*1</f>
        <v>4.0146100000000002</v>
      </c>
      <c r="AH8" s="59">
        <f>'M2'!D6*1</f>
        <v>11.2941</v>
      </c>
      <c r="AI8" s="59">
        <f>'M2'!E6*1</f>
        <v>20</v>
      </c>
      <c r="AJ8" s="59">
        <f>'M2'!F6*1</f>
        <v>31.923200000000001</v>
      </c>
      <c r="AK8" s="59">
        <f>'M2'!G6*1</f>
        <v>40</v>
      </c>
      <c r="AL8" s="59">
        <f>'M2'!H6*1</f>
        <v>47.619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28.8476</v>
      </c>
      <c r="D9" s="78">
        <f>N7</f>
        <v>6.3447999999999993</v>
      </c>
      <c r="E9" s="79">
        <f>T7</f>
        <v>0.57609999999999673</v>
      </c>
      <c r="F9" s="79">
        <f>P7</f>
        <v>-18.651400000000002</v>
      </c>
      <c r="G9" s="80" t="str">
        <f>CONCATENATE(M8,"
(20 ~ 40)")</f>
        <v>压力
(20 ~ 40)</v>
      </c>
      <c r="H9" s="77">
        <f>R8</f>
        <v>8.1733000000000011</v>
      </c>
      <c r="I9" s="81">
        <f>N8</f>
        <v>0.84039999999999537</v>
      </c>
      <c r="J9" s="77">
        <f>T8</f>
        <v>9.4260000000000019</v>
      </c>
      <c r="K9" s="82">
        <f>P8</f>
        <v>2.6472099999999994</v>
      </c>
      <c r="L9" s="6"/>
      <c r="M9" s="27" t="str">
        <f>lang!B16</f>
        <v>焦虑</v>
      </c>
      <c r="N9" s="59">
        <f t="shared" si="4"/>
        <v>-5.948599999999999</v>
      </c>
      <c r="O9" s="59">
        <f t="shared" si="5"/>
        <v>0.58741000000000021</v>
      </c>
      <c r="P9" s="59">
        <f t="shared" si="6"/>
        <v>8.7481000000000009</v>
      </c>
      <c r="Q9" s="59">
        <f t="shared" si="7"/>
        <v>0</v>
      </c>
      <c r="R9" s="59">
        <f t="shared" si="8"/>
        <v>-11.311879999999999</v>
      </c>
      <c r="S9" s="59">
        <f t="shared" si="9"/>
        <v>0</v>
      </c>
      <c r="T9" s="59">
        <f t="shared" si="10"/>
        <v>-1.1174999999999997</v>
      </c>
      <c r="U9" s="14"/>
      <c r="V9" s="27" t="str">
        <f t="shared" si="11"/>
        <v>焦虑</v>
      </c>
      <c r="W9" s="59">
        <f>'M1'!B7*1</f>
        <v>32.342700000000001</v>
      </c>
      <c r="X9" s="59">
        <f>'M1'!C7*1</f>
        <v>9.3602100000000004</v>
      </c>
      <c r="Y9" s="59">
        <f>'M1'!D7*1</f>
        <v>28.9407</v>
      </c>
      <c r="Z9" s="59">
        <f>'M1'!E7*1</f>
        <v>15</v>
      </c>
      <c r="AA9" s="59">
        <f>'M1'!F7*1</f>
        <v>17.590599999999998</v>
      </c>
      <c r="AB9" s="59">
        <f>'M1'!G7*1</f>
        <v>40</v>
      </c>
      <c r="AC9" s="59">
        <f>'M1'!H7*1</f>
        <v>52.6188</v>
      </c>
      <c r="AE9" s="27" t="str">
        <f t="shared" si="12"/>
        <v>焦虑</v>
      </c>
      <c r="AF9" s="59">
        <f>'M2'!B7*1</f>
        <v>26.394100000000002</v>
      </c>
      <c r="AG9" s="59">
        <f>'M2'!C7*1</f>
        <v>9.9476200000000006</v>
      </c>
      <c r="AH9" s="59">
        <f>'M2'!D7*1</f>
        <v>37.688800000000001</v>
      </c>
      <c r="AI9" s="59">
        <f>'M2'!E7*1</f>
        <v>15</v>
      </c>
      <c r="AJ9" s="59">
        <f>'M2'!F7*1</f>
        <v>6.2787199999999999</v>
      </c>
      <c r="AK9" s="59">
        <f>'M2'!G7*1</f>
        <v>40</v>
      </c>
      <c r="AL9" s="59">
        <f>'M2'!H7*1</f>
        <v>51.501300000000001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-11.311879999999999</v>
      </c>
      <c r="D10" s="51">
        <f>N9</f>
        <v>-5.948599999999999</v>
      </c>
      <c r="E10" s="53">
        <f>T9</f>
        <v>-1.1174999999999997</v>
      </c>
      <c r="F10" s="53">
        <f>P9</f>
        <v>8.7481000000000009</v>
      </c>
      <c r="G10" s="73" t="str">
        <f>CONCATENATE(M10,"
(20 ~ 50)")</f>
        <v>可疑
(20 ~ 50)</v>
      </c>
      <c r="H10" s="24">
        <f>R10</f>
        <v>15.055399999999999</v>
      </c>
      <c r="I10" s="52">
        <f>N10</f>
        <v>1.4808999999999983</v>
      </c>
      <c r="J10" s="24">
        <f>T10</f>
        <v>0.32849999999999824</v>
      </c>
      <c r="K10" s="25">
        <f>P10</f>
        <v>-10.33137</v>
      </c>
      <c r="L10" s="4"/>
      <c r="M10" s="27" t="str">
        <f>lang!B17</f>
        <v>可疑</v>
      </c>
      <c r="N10" s="59">
        <f t="shared" si="4"/>
        <v>1.4808999999999983</v>
      </c>
      <c r="O10" s="59">
        <f t="shared" si="5"/>
        <v>-3.8287999999999998</v>
      </c>
      <c r="P10" s="59">
        <f t="shared" si="6"/>
        <v>-10.33137</v>
      </c>
      <c r="Q10" s="59">
        <f t="shared" si="7"/>
        <v>0</v>
      </c>
      <c r="R10" s="59">
        <f t="shared" si="8"/>
        <v>15.055399999999999</v>
      </c>
      <c r="S10" s="59">
        <f t="shared" si="9"/>
        <v>0</v>
      </c>
      <c r="T10" s="59">
        <f t="shared" si="10"/>
        <v>0.32849999999999824</v>
      </c>
      <c r="U10" s="14"/>
      <c r="V10" s="27" t="str">
        <f t="shared" si="11"/>
        <v>可疑</v>
      </c>
      <c r="W10" s="59">
        <f>'M1'!B8*1</f>
        <v>38.296199999999999</v>
      </c>
      <c r="X10" s="59">
        <f>'M1'!C8*1</f>
        <v>7.2594599999999998</v>
      </c>
      <c r="Y10" s="59">
        <f>'M1'!D8*1</f>
        <v>18.956099999999999</v>
      </c>
      <c r="Z10" s="59">
        <f>'M1'!E8*1</f>
        <v>20</v>
      </c>
      <c r="AA10" s="59">
        <f>'M1'!F8*1</f>
        <v>16.574000000000002</v>
      </c>
      <c r="AB10" s="59">
        <f>'M1'!G8*1</f>
        <v>50</v>
      </c>
      <c r="AC10" s="59">
        <f>'M1'!H8*1</f>
        <v>46.188000000000002</v>
      </c>
      <c r="AE10" s="27" t="str">
        <f t="shared" si="12"/>
        <v>可疑</v>
      </c>
      <c r="AF10" s="59">
        <f>'M2'!B8*1</f>
        <v>39.777099999999997</v>
      </c>
      <c r="AG10" s="59">
        <f>'M2'!C8*1</f>
        <v>3.43066</v>
      </c>
      <c r="AH10" s="59">
        <f>'M2'!D8*1</f>
        <v>8.6247299999999996</v>
      </c>
      <c r="AI10" s="59">
        <f>'M2'!E8*1</f>
        <v>20</v>
      </c>
      <c r="AJ10" s="59">
        <f>'M2'!F8*1</f>
        <v>31.6294</v>
      </c>
      <c r="AK10" s="59">
        <f>'M2'!G8*1</f>
        <v>50</v>
      </c>
      <c r="AL10" s="59">
        <f>'M2'!H8*1</f>
        <v>46.516500000000001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4.6552000000000007</v>
      </c>
      <c r="D11" s="52">
        <f>N11</f>
        <v>-5.4901999999999944</v>
      </c>
      <c r="E11" s="24">
        <f>T11</f>
        <v>-4.9577000000000027</v>
      </c>
      <c r="F11" s="24">
        <f>P11</f>
        <v>-3.9829500000000007</v>
      </c>
      <c r="G11" s="73" t="str">
        <f>CONCATENATE(M12,"
(40 ~ 100)")</f>
        <v>自信
(40 ~ 100)</v>
      </c>
      <c r="H11" s="24">
        <f>R12</f>
        <v>-9.5079000000000065</v>
      </c>
      <c r="I11" s="52">
        <f>N12</f>
        <v>-4.2082999999999942</v>
      </c>
      <c r="J11" s="24">
        <f>T12</f>
        <v>-7.0994999999999919</v>
      </c>
      <c r="K11" s="25">
        <f>P12</f>
        <v>3.33833</v>
      </c>
      <c r="L11" s="4"/>
      <c r="M11" s="27" t="str">
        <f>lang!B18</f>
        <v>平衡</v>
      </c>
      <c r="N11" s="59">
        <f t="shared" si="4"/>
        <v>-5.4901999999999944</v>
      </c>
      <c r="O11" s="59">
        <f t="shared" si="5"/>
        <v>-2.8738900000000003</v>
      </c>
      <c r="P11" s="59">
        <f t="shared" si="6"/>
        <v>-3.9829500000000007</v>
      </c>
      <c r="Q11" s="59">
        <f t="shared" si="7"/>
        <v>0</v>
      </c>
      <c r="R11" s="59">
        <f t="shared" si="8"/>
        <v>4.6552000000000007</v>
      </c>
      <c r="S11" s="59">
        <f t="shared" si="9"/>
        <v>0</v>
      </c>
      <c r="T11" s="59">
        <f t="shared" si="10"/>
        <v>-4.9577000000000027</v>
      </c>
      <c r="U11" s="14"/>
      <c r="V11" s="27" t="str">
        <f t="shared" si="11"/>
        <v>平衡</v>
      </c>
      <c r="W11" s="59">
        <f>'M1'!B9*1</f>
        <v>59.731699999999996</v>
      </c>
      <c r="X11" s="59">
        <f>'M1'!C9*1</f>
        <v>7.76227</v>
      </c>
      <c r="Y11" s="59">
        <f>'M1'!D9*1</f>
        <v>12.995200000000001</v>
      </c>
      <c r="Z11" s="59">
        <f>'M1'!E9*1</f>
        <v>50</v>
      </c>
      <c r="AA11" s="59">
        <f>'M1'!F9*1</f>
        <v>40.547800000000002</v>
      </c>
      <c r="AB11" s="59">
        <f>'M1'!G9*1</f>
        <v>100</v>
      </c>
      <c r="AC11" s="59">
        <f>'M1'!H9*1</f>
        <v>71.909800000000004</v>
      </c>
      <c r="AE11" s="27" t="str">
        <f t="shared" si="12"/>
        <v>平衡</v>
      </c>
      <c r="AF11" s="59">
        <f>'M2'!B9*1</f>
        <v>54.241500000000002</v>
      </c>
      <c r="AG11" s="59">
        <f>'M2'!C9*1</f>
        <v>4.8883799999999997</v>
      </c>
      <c r="AH11" s="59">
        <f>'M2'!D9*1</f>
        <v>9.0122499999999999</v>
      </c>
      <c r="AI11" s="59">
        <f>'M2'!E9*1</f>
        <v>50</v>
      </c>
      <c r="AJ11" s="59">
        <f>'M2'!F9*1</f>
        <v>45.203000000000003</v>
      </c>
      <c r="AK11" s="59">
        <f>'M2'!G9*1</f>
        <v>100</v>
      </c>
      <c r="AL11" s="59">
        <f>'M2'!H9*1</f>
        <v>66.952100000000002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14.97392</v>
      </c>
      <c r="D12" s="51">
        <f>N13</f>
        <v>2.1529999999999987</v>
      </c>
      <c r="E12" s="53">
        <f>T13</f>
        <v>3.4861000000000004</v>
      </c>
      <c r="F12" s="53">
        <f>P13</f>
        <v>-13.949200000000001</v>
      </c>
      <c r="G12" s="73" t="str">
        <f>CONCATENATE(M14,"
(50 ~ 100)")</f>
        <v>自我调节
(50 ~ 100)</v>
      </c>
      <c r="H12" s="24">
        <f>R14</f>
        <v>-6.3532000000000011</v>
      </c>
      <c r="I12" s="52">
        <f>N14</f>
        <v>-4.2150999999999996</v>
      </c>
      <c r="J12" s="24">
        <f>T14</f>
        <v>-9.7275999999999954</v>
      </c>
      <c r="K12" s="25">
        <f>P14</f>
        <v>-0.4542799999999998</v>
      </c>
      <c r="L12" s="4"/>
      <c r="M12" s="27" t="str">
        <f>lang!B19</f>
        <v>自信</v>
      </c>
      <c r="N12" s="59">
        <f t="shared" si="4"/>
        <v>-4.2082999999999942</v>
      </c>
      <c r="O12" s="59">
        <f t="shared" si="5"/>
        <v>1.8041900000000002</v>
      </c>
      <c r="P12" s="59">
        <f t="shared" si="6"/>
        <v>3.33833</v>
      </c>
      <c r="Q12" s="59">
        <f t="shared" si="7"/>
        <v>0</v>
      </c>
      <c r="R12" s="59">
        <f t="shared" si="8"/>
        <v>-9.5079000000000065</v>
      </c>
      <c r="S12" s="59">
        <f t="shared" si="9"/>
        <v>0</v>
      </c>
      <c r="T12" s="59">
        <f t="shared" si="10"/>
        <v>-7.0994999999999919</v>
      </c>
      <c r="U12" s="15"/>
      <c r="V12" s="27" t="str">
        <f t="shared" si="11"/>
        <v>自信</v>
      </c>
      <c r="W12" s="59">
        <f>'M1'!B10*1</f>
        <v>66.624499999999998</v>
      </c>
      <c r="X12" s="59">
        <f>'M1'!C10*1</f>
        <v>4.4243699999999997</v>
      </c>
      <c r="Y12" s="59">
        <f>'M1'!D10*1</f>
        <v>6.6407499999999997</v>
      </c>
      <c r="Z12" s="59">
        <f>'M1'!E10*1</f>
        <v>40</v>
      </c>
      <c r="AA12" s="59">
        <f>'M1'!F10*1</f>
        <v>55.739400000000003</v>
      </c>
      <c r="AB12" s="59">
        <f>'M1'!G10*1</f>
        <v>100</v>
      </c>
      <c r="AC12" s="59">
        <f>'M1'!H10*1</f>
        <v>71.975099999999998</v>
      </c>
      <c r="AE12" s="27" t="str">
        <f t="shared" si="12"/>
        <v>自信</v>
      </c>
      <c r="AF12" s="59">
        <f>'M2'!B10*1</f>
        <v>62.416200000000003</v>
      </c>
      <c r="AG12" s="59">
        <f>'M2'!C10*1</f>
        <v>6.2285599999999999</v>
      </c>
      <c r="AH12" s="59">
        <f>'M2'!D10*1</f>
        <v>9.9790799999999997</v>
      </c>
      <c r="AI12" s="59">
        <f>'M2'!E10*1</f>
        <v>40</v>
      </c>
      <c r="AJ12" s="59">
        <f>'M2'!F10*1</f>
        <v>46.231499999999997</v>
      </c>
      <c r="AK12" s="59">
        <f>'M2'!G10*1</f>
        <v>100</v>
      </c>
      <c r="AL12" s="59">
        <f>'M2'!H10*1</f>
        <v>64.875600000000006</v>
      </c>
    </row>
    <row r="13" spans="2:38" ht="25.5" customHeight="1" thickBot="1">
      <c r="B13" s="72" t="str">
        <f>CONCATENATE(M15,"
(10 ~ 25)")</f>
        <v>抑郁
(10 ~ 25)</v>
      </c>
      <c r="C13" s="54">
        <f>R15</f>
        <v>2.5322999999999976</v>
      </c>
      <c r="D13" s="55">
        <f>N15</f>
        <v>2.9646000000000008</v>
      </c>
      <c r="E13" s="56">
        <f>T15</f>
        <v>2.5029000000000003</v>
      </c>
      <c r="F13" s="56">
        <f>P15</f>
        <v>-1.1421700000000001</v>
      </c>
      <c r="G13" s="74" t="str">
        <f>CONCATENATE(M16,"
(10 ~ 50)")</f>
        <v>神经质
(10 ~ 50)</v>
      </c>
      <c r="H13" s="54">
        <f>R16</f>
        <v>1.3931399999999998</v>
      </c>
      <c r="I13" s="55">
        <f>N16</f>
        <v>0.50709999999999766</v>
      </c>
      <c r="J13" s="56">
        <f>T16</f>
        <v>2.418099999999999</v>
      </c>
      <c r="K13" s="57">
        <f>P16</f>
        <v>2.2140000000000057</v>
      </c>
      <c r="M13" s="27" t="str">
        <f>lang!B20</f>
        <v>活力</v>
      </c>
      <c r="N13" s="59">
        <f t="shared" si="4"/>
        <v>2.1529999999999987</v>
      </c>
      <c r="O13" s="59">
        <f t="shared" si="5"/>
        <v>-2.9094800000000003</v>
      </c>
      <c r="P13" s="59">
        <f t="shared" si="6"/>
        <v>-13.949200000000001</v>
      </c>
      <c r="Q13" s="59">
        <f t="shared" si="7"/>
        <v>0</v>
      </c>
      <c r="R13" s="59">
        <f t="shared" si="8"/>
        <v>14.97392</v>
      </c>
      <c r="S13" s="59">
        <f t="shared" si="9"/>
        <v>0</v>
      </c>
      <c r="T13" s="59">
        <f t="shared" si="10"/>
        <v>3.4861000000000004</v>
      </c>
      <c r="U13" s="14"/>
      <c r="V13" s="27" t="str">
        <f t="shared" si="11"/>
        <v>活力</v>
      </c>
      <c r="W13" s="59">
        <f>'M1'!B11*1</f>
        <v>22.541</v>
      </c>
      <c r="X13" s="59">
        <f>'M1'!C11*1</f>
        <v>5.6028200000000004</v>
      </c>
      <c r="Y13" s="59">
        <f>'M1'!D11*1</f>
        <v>24.856100000000001</v>
      </c>
      <c r="Z13" s="59">
        <f>'M1'!E11*1</f>
        <v>10</v>
      </c>
      <c r="AA13" s="59">
        <f>'M1'!F11*1</f>
        <v>6.7202799999999998</v>
      </c>
      <c r="AB13" s="59">
        <f>'M1'!G11*1</f>
        <v>50</v>
      </c>
      <c r="AC13" s="59">
        <f>'M1'!H11*1</f>
        <v>26.763300000000001</v>
      </c>
      <c r="AE13" s="27" t="str">
        <f t="shared" si="12"/>
        <v>活力</v>
      </c>
      <c r="AF13" s="59">
        <f>'M2'!B11*1</f>
        <v>24.693999999999999</v>
      </c>
      <c r="AG13" s="59">
        <f>'M2'!C11*1</f>
        <v>2.6933400000000001</v>
      </c>
      <c r="AH13" s="59">
        <f>'M2'!D11*1</f>
        <v>10.9069</v>
      </c>
      <c r="AI13" s="59">
        <f>'M2'!E11*1</f>
        <v>10</v>
      </c>
      <c r="AJ13" s="59">
        <f>'M2'!F11*1</f>
        <v>21.694199999999999</v>
      </c>
      <c r="AK13" s="59">
        <f>'M2'!G11*1</f>
        <v>50</v>
      </c>
      <c r="AL13" s="59">
        <f>'M2'!H11*1</f>
        <v>30.249400000000001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-4.2150999999999996</v>
      </c>
      <c r="O14" s="59">
        <f t="shared" si="5"/>
        <v>-0.50831000000000026</v>
      </c>
      <c r="P14" s="59">
        <f t="shared" si="6"/>
        <v>-0.4542799999999998</v>
      </c>
      <c r="Q14" s="59">
        <f t="shared" si="7"/>
        <v>0</v>
      </c>
      <c r="R14" s="59">
        <f t="shared" si="8"/>
        <v>-6.3532000000000011</v>
      </c>
      <c r="S14" s="59">
        <f t="shared" si="9"/>
        <v>0</v>
      </c>
      <c r="T14" s="59">
        <f t="shared" si="10"/>
        <v>-9.7275999999999954</v>
      </c>
      <c r="U14" s="14"/>
      <c r="V14" s="27" t="str">
        <f t="shared" si="11"/>
        <v>自我调节</v>
      </c>
      <c r="W14" s="59">
        <f>'M1'!B12*1</f>
        <v>61.8733</v>
      </c>
      <c r="X14" s="59">
        <f>'M1'!C12*1</f>
        <v>3.6166100000000001</v>
      </c>
      <c r="Y14" s="59">
        <f>'M1'!D12*1</f>
        <v>5.84518</v>
      </c>
      <c r="Z14" s="59">
        <f>'M1'!E12*1</f>
        <v>50</v>
      </c>
      <c r="AA14" s="59">
        <f>'M1'!F12*1</f>
        <v>54.047699999999999</v>
      </c>
      <c r="AB14" s="59">
        <f>'M1'!G12*1</f>
        <v>100</v>
      </c>
      <c r="AC14" s="59">
        <f>'M1'!H12*1</f>
        <v>70.925799999999995</v>
      </c>
      <c r="AE14" s="27" t="str">
        <f t="shared" si="12"/>
        <v>自我调节</v>
      </c>
      <c r="AF14" s="59">
        <f>'M2'!B12*1</f>
        <v>57.658200000000001</v>
      </c>
      <c r="AG14" s="59">
        <f>'M2'!C12*1</f>
        <v>3.1082999999999998</v>
      </c>
      <c r="AH14" s="59">
        <f>'M2'!D12*1</f>
        <v>5.3909000000000002</v>
      </c>
      <c r="AI14" s="59">
        <f>'M2'!E12*1</f>
        <v>50</v>
      </c>
      <c r="AJ14" s="59">
        <f>'M2'!F12*1</f>
        <v>47.694499999999998</v>
      </c>
      <c r="AK14" s="59">
        <f>'M2'!G12*1</f>
        <v>100</v>
      </c>
      <c r="AL14" s="59">
        <f>'M2'!H12*1</f>
        <v>61.1982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2.9646000000000008</v>
      </c>
      <c r="O15" s="59">
        <f t="shared" si="5"/>
        <v>5.0710000000000033E-2</v>
      </c>
      <c r="P15" s="59">
        <f t="shared" si="6"/>
        <v>-1.1421700000000001</v>
      </c>
      <c r="Q15" s="59">
        <f t="shared" si="7"/>
        <v>0</v>
      </c>
      <c r="R15" s="59">
        <f t="shared" si="8"/>
        <v>2.5322999999999976</v>
      </c>
      <c r="S15" s="59">
        <f t="shared" si="9"/>
        <v>0</v>
      </c>
      <c r="T15" s="59">
        <f t="shared" si="10"/>
        <v>2.5029000000000003</v>
      </c>
      <c r="U15" s="14"/>
      <c r="V15" s="27" t="str">
        <f t="shared" si="11"/>
        <v>抑郁</v>
      </c>
      <c r="W15" s="59">
        <f>'M1'!B13*1</f>
        <v>19.5688</v>
      </c>
      <c r="X15" s="59">
        <f>'M1'!C13*1</f>
        <v>2.0336400000000001</v>
      </c>
      <c r="Y15" s="59">
        <f>'M1'!D13*1</f>
        <v>10.392200000000001</v>
      </c>
      <c r="Z15" s="59">
        <f>'M1'!E13*1</f>
        <v>10</v>
      </c>
      <c r="AA15" s="59">
        <f>'M1'!F13*1</f>
        <v>15.506500000000001</v>
      </c>
      <c r="AB15" s="59">
        <f>'M1'!G13*1</f>
        <v>25</v>
      </c>
      <c r="AC15" s="59">
        <f>'M1'!H13*1</f>
        <v>24.479099999999999</v>
      </c>
      <c r="AE15" s="27" t="str">
        <f t="shared" si="12"/>
        <v>抑郁</v>
      </c>
      <c r="AF15" s="59">
        <f>'M2'!B13*1</f>
        <v>22.5334</v>
      </c>
      <c r="AG15" s="59">
        <f>'M2'!C13*1</f>
        <v>2.0843500000000001</v>
      </c>
      <c r="AH15" s="59">
        <f>'M2'!D13*1</f>
        <v>9.2500300000000006</v>
      </c>
      <c r="AI15" s="59">
        <f>'M2'!E13*1</f>
        <v>10</v>
      </c>
      <c r="AJ15" s="59">
        <f>'M2'!F13*1</f>
        <v>18.038799999999998</v>
      </c>
      <c r="AK15" s="59">
        <f>'M2'!G13*1</f>
        <v>25</v>
      </c>
      <c r="AL15" s="59">
        <f>'M2'!H13*1</f>
        <v>26.981999999999999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0.50709999999999766</v>
      </c>
      <c r="O16" s="59">
        <f t="shared" si="5"/>
        <v>0.62951000000000068</v>
      </c>
      <c r="P16" s="59">
        <f t="shared" si="6"/>
        <v>2.2140000000000057</v>
      </c>
      <c r="Q16" s="59">
        <f t="shared" si="7"/>
        <v>0</v>
      </c>
      <c r="R16" s="59">
        <f t="shared" si="8"/>
        <v>1.3931399999999998</v>
      </c>
      <c r="S16" s="59">
        <f t="shared" si="9"/>
        <v>0</v>
      </c>
      <c r="T16" s="59">
        <f t="shared" si="10"/>
        <v>2.418099999999999</v>
      </c>
      <c r="U16" s="15"/>
      <c r="V16" s="27" t="str">
        <f t="shared" si="11"/>
        <v>神经质</v>
      </c>
      <c r="W16" s="59">
        <f>'M1'!B14*1</f>
        <v>20.336400000000001</v>
      </c>
      <c r="X16" s="59">
        <f>'M1'!C14*1</f>
        <v>6.7388399999999997</v>
      </c>
      <c r="Y16" s="59">
        <f>'M1'!D14*1</f>
        <v>33.136899999999997</v>
      </c>
      <c r="Z16" s="59">
        <f>'M1'!E14*1</f>
        <v>10</v>
      </c>
      <c r="AA16" s="59">
        <f>'M1'!F14*1</f>
        <v>2.1425000000000001</v>
      </c>
      <c r="AB16" s="59">
        <f>'M1'!G14*1</f>
        <v>50</v>
      </c>
      <c r="AC16" s="59">
        <f>'M1'!H14*1</f>
        <v>24.181699999999999</v>
      </c>
      <c r="AE16" s="27" t="str">
        <f t="shared" si="12"/>
        <v>神经质</v>
      </c>
      <c r="AF16" s="59">
        <f>'M2'!B14*1</f>
        <v>20.843499999999999</v>
      </c>
      <c r="AG16" s="59">
        <f>'M2'!C14*1</f>
        <v>7.3683500000000004</v>
      </c>
      <c r="AH16" s="59">
        <f>'M2'!D14*1</f>
        <v>35.350900000000003</v>
      </c>
      <c r="AI16" s="59">
        <f>'M2'!E14*1</f>
        <v>10</v>
      </c>
      <c r="AJ16" s="59">
        <f>'M2'!F14*1</f>
        <v>3.5356399999999999</v>
      </c>
      <c r="AK16" s="59">
        <f>'M2'!G14*1</f>
        <v>50</v>
      </c>
      <c r="AL16" s="59">
        <f>'M2'!H14*1</f>
        <v>26.599799999999998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-2.9401499999999974</v>
      </c>
      <c r="O17" s="22">
        <f>N17/(N17+N18+N19)</f>
        <v>5.6010858694099142</v>
      </c>
      <c r="P17" s="65">
        <f>SUM(P11:P14)/4</f>
        <v>-3.7620250000000004</v>
      </c>
      <c r="Q17" s="22">
        <f>P17/(P17+P18+P19)</f>
        <v>0.49351139154988727</v>
      </c>
      <c r="R17" s="14"/>
      <c r="S17" s="14"/>
      <c r="T17" s="14"/>
      <c r="U17" s="14"/>
      <c r="V17" s="21" t="str">
        <f>M17</f>
        <v>Positive</v>
      </c>
      <c r="W17" s="65">
        <f>SUM(W11:W14)/4</f>
        <v>52.692625</v>
      </c>
      <c r="X17" s="22">
        <f>W17/(W17+W18+W19)</f>
        <v>0.47423356572080427</v>
      </c>
      <c r="Y17" s="65">
        <f>SUM(Y11:Y14)/4</f>
        <v>12.584307500000001</v>
      </c>
      <c r="Z17" s="22">
        <f>Y17/(Y17+Y18+Y19)</f>
        <v>0.22543228369737531</v>
      </c>
      <c r="AA17" s="14"/>
      <c r="AB17" s="14"/>
      <c r="AC17" s="14"/>
      <c r="AE17" s="21" t="str">
        <f>V17</f>
        <v>Positive</v>
      </c>
      <c r="AF17" s="65">
        <f>SUM(AF11:AF14)/4</f>
        <v>49.752474999999997</v>
      </c>
      <c r="AG17" s="22">
        <f>AF17/(AF17+AF18+AF19)</f>
        <v>0.44989768162754479</v>
      </c>
      <c r="AH17" s="65">
        <f>SUM(AH11:AH14)/4</f>
        <v>8.8222825</v>
      </c>
      <c r="AI17" s="22">
        <f>AH17/(AH17+AH18+AH19)</f>
        <v>0.18303479271693401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0.67937499999999851</v>
      </c>
      <c r="O18" s="22">
        <f>N18/(N17+N18+N19)</f>
        <v>-1.2942325094061036</v>
      </c>
      <c r="P18" s="18">
        <f>SUM(P7:P10)/4</f>
        <v>-4.396865</v>
      </c>
      <c r="Q18" s="22">
        <f>P18/(P17+P18+P19)</f>
        <v>0.5767912134042158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38.465900000000005</v>
      </c>
      <c r="X18" s="22">
        <f>W18/(W17+W18+W19)</f>
        <v>0.34619305672586798</v>
      </c>
      <c r="Y18" s="18">
        <f>SUM(Y7:Y10)/4</f>
        <v>21.474147500000001</v>
      </c>
      <c r="Z18" s="22">
        <f>Y18/(Y17+Y18+Y19)</f>
        <v>0.38468275758354464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39.145274999999998</v>
      </c>
      <c r="AG18" s="22">
        <f>AF18/(AF17+AF18+AF19)</f>
        <v>0.35397974611660404</v>
      </c>
      <c r="AH18" s="18">
        <f>SUM(AH7:AH10)/4</f>
        <v>17.077282499999999</v>
      </c>
      <c r="AI18" s="22">
        <f>AH18/(AH17+AH18+AH19)</f>
        <v>0.35430024628615375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1.7358499999999992</v>
      </c>
      <c r="O19" s="22">
        <f>N19/(N17+N18+N19)</f>
        <v>-3.306853360003811</v>
      </c>
      <c r="P19" s="18">
        <f>(P15+P16)/2</f>
        <v>0.53591500000000281</v>
      </c>
      <c r="Q19" s="22">
        <f>P19/(P17+P18+P19)</f>
        <v>-7.0302604954102968E-2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19.9526</v>
      </c>
      <c r="X19" s="22">
        <f>W19/(W17+W18+W19)</f>
        <v>0.17957337755332781</v>
      </c>
      <c r="Y19" s="18">
        <f>(Y15+Y16)/2</f>
        <v>21.76455</v>
      </c>
      <c r="Z19" s="22">
        <f>Y19/(Y17+Y18+Y19)</f>
        <v>0.38988495871908002</v>
      </c>
      <c r="AA19" s="14"/>
      <c r="AB19" s="14"/>
      <c r="AC19" s="14"/>
      <c r="AE19" s="21" t="str">
        <f t="shared" si="14"/>
        <v>Physiological</v>
      </c>
      <c r="AF19" s="18">
        <f>(AF15+AF16)/2</f>
        <v>21.68845</v>
      </c>
      <c r="AG19" s="22">
        <f>AF19/(AF17+AF18+AF19)</f>
        <v>0.19612257225585109</v>
      </c>
      <c r="AH19" s="18">
        <f>(AH15+AH16)/2</f>
        <v>22.300465000000003</v>
      </c>
      <c r="AI19" s="22">
        <f>AH19/(AH17+AH18+AH19)</f>
        <v>0.46266496099691229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1.71/2.01</v>
      </c>
      <c r="D24" s="44" t="str">
        <f>lang!B11</f>
        <v>频率方差</v>
      </c>
      <c r="E24" s="142" t="str">
        <f ca="1">CONCATENATE(ROUND('FH1'!L3,2),"/",ROUND('FH2'!L3,2))</f>
        <v>0.81/0.76</v>
      </c>
      <c r="F24" s="143"/>
      <c r="G24" s="134" t="str">
        <f>lang!B12</f>
        <v>生理变化率</v>
      </c>
      <c r="H24" s="135"/>
      <c r="I24" s="62" t="str">
        <f ca="1">CONCATENATE(info!M7,"-",info!M8)</f>
        <v>17.5-50.5</v>
      </c>
      <c r="J24" s="42" t="str">
        <f>lang!B13</f>
        <v>千卡l/分钟</v>
      </c>
      <c r="K24" s="41" t="str">
        <f ca="1">CONCATENATE(info!M5,"-",info!M6)</f>
        <v>2.1-4.5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-3.2366000000000006</v>
      </c>
      <c r="F27" s="164"/>
      <c r="G27" s="178" t="str">
        <f>lang!B33</f>
        <v>稳定性</v>
      </c>
      <c r="H27" s="179"/>
      <c r="I27" s="180"/>
      <c r="J27" s="181">
        <f>dM!B19*100</f>
        <v>7.6255000000000077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-0.96722028850621078</v>
      </c>
      <c r="C2">
        <f t="array" aca="1" ref="C2" ca="1">CORREL(FT_E02,FT_PH02)</f>
        <v>-0.93063600129997925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2.0922499999999999</v>
      </c>
      <c r="G2" s="61">
        <f>IF(FT!B2&lt;&gt;"",FT!B2*100,"")</f>
        <v>50.450799999999994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2.1761499999999998</v>
      </c>
      <c r="G3" s="61">
        <f>IF(FT!B3&lt;&gt;"",FT!B3*100,"")</f>
        <v>48.8508</v>
      </c>
      <c r="H3" s="61">
        <f t="shared" ref="H3:H66" si="1">(IF(F3&lt;&gt;"",1,""))</f>
        <v>1</v>
      </c>
      <c r="I3" t="str">
        <f>IF(FT!B3&lt;&gt;"",FT!E3,"")</f>
        <v>1 [0.383249]</v>
      </c>
      <c r="J3">
        <f>IF(FT!B3&lt;&gt;"",FT!C3,"")</f>
        <v>0.38324900000000001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0.26071933783783779</v>
      </c>
      <c r="V3">
        <f ca="1">AVERAGE(OFFSET(FT!B2,info!$L$3/2,0,info!$L$3/2,1))</f>
        <v>0.23551722972972983</v>
      </c>
      <c r="W3">
        <f ca="1">AVERAGE(OFFSET(FT!A2,0,0,info!$L$3/2,1))</f>
        <v>0.36238551351351356</v>
      </c>
      <c r="X3">
        <f ca="1">AVERAGE(OFFSET(FT!A2,info!$L$3/2,0,info!$L$3/2,1))</f>
        <v>0.41606381081081095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2.2597300000000002</v>
      </c>
      <c r="G4" s="61">
        <f>IF(FT!B4&lt;&gt;"",FT!B4*100,"")</f>
        <v>47.206499999999998</v>
      </c>
      <c r="H4" s="61">
        <f t="shared" si="1"/>
        <v>1</v>
      </c>
      <c r="I4" t="str">
        <f>IF(FT!B4&lt;&gt;"",FT!E4,"")</f>
        <v>1 [0.787999]</v>
      </c>
      <c r="J4">
        <f>IF(FT!B4&lt;&gt;"",FT!C4,"")</f>
        <v>0.787999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15.033200000000001</v>
      </c>
      <c r="V4">
        <f>U4*3</f>
        <v>45.099600000000002</v>
      </c>
      <c r="W4">
        <f>U4</f>
        <v>15.033200000000001</v>
      </c>
      <c r="X4">
        <f>V4</f>
        <v>45.099600000000002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2.3418900000000002</v>
      </c>
      <c r="G5" s="61">
        <f>IF(FT!B5&lt;&gt;"",FT!B5*100,"")</f>
        <v>45.677199999999999</v>
      </c>
      <c r="H5" s="61">
        <f t="shared" si="1"/>
        <v>1</v>
      </c>
      <c r="I5" t="str">
        <f>IF(FT!B5&lt;&gt;"",FT!E5,"")</f>
        <v>1 [1.197840]</v>
      </c>
      <c r="J5">
        <f>IF(FT!B5&lt;&gt;"",FT!C5,"")</f>
        <v>1.19784</v>
      </c>
      <c r="K5" t="s">
        <v>53</v>
      </c>
      <c r="L5" s="63">
        <f ca="1">MIN(FT_E)</f>
        <v>2.0922499999999999</v>
      </c>
      <c r="M5" s="63">
        <f ca="1">ROUND(L5,1)</f>
        <v>2.1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26.071933783783781</v>
      </c>
      <c r="V5">
        <f ca="1">V3*100</f>
        <v>23.551722972972982</v>
      </c>
      <c r="W5">
        <f ca="1">W3*10</f>
        <v>3.6238551351351358</v>
      </c>
      <c r="X5">
        <f ca="1">X3*10</f>
        <v>4.1606381081081096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2.42191</v>
      </c>
      <c r="G6" s="61">
        <f>IF(FT!B6&lt;&gt;"",FT!B6*100,"")</f>
        <v>44.195799999999998</v>
      </c>
      <c r="H6" s="61">
        <f t="shared" si="1"/>
        <v>1</v>
      </c>
      <c r="I6" t="str">
        <f>IF(FT!B6&lt;&gt;"",FT!E6,"")</f>
        <v>1 [1.620741]</v>
      </c>
      <c r="J6">
        <f>IF(FT!B6&lt;&gt;"",FT!C6,"")</f>
        <v>1.6207400000000001</v>
      </c>
      <c r="K6" t="s">
        <v>54</v>
      </c>
      <c r="L6" s="63">
        <f ca="1">MAX(FT_E)</f>
        <v>4.5175700000000001</v>
      </c>
      <c r="M6" s="63">
        <f ca="1">ROUND(L6,1)</f>
        <v>4.5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2.5070399999999999</v>
      </c>
      <c r="G7" s="61">
        <f>IF(FT!B7&lt;&gt;"",FT!B7*100,"")</f>
        <v>42.465000000000003</v>
      </c>
      <c r="H7" s="61">
        <f t="shared" si="1"/>
        <v>1</v>
      </c>
      <c r="I7" t="str">
        <f>IF(FT!B7&lt;&gt;"",FT!E7,"")</f>
        <v>1 [2.003213]</v>
      </c>
      <c r="J7">
        <f>IF(FT!B7&lt;&gt;"",FT!C7,"")</f>
        <v>2.0032100000000002</v>
      </c>
      <c r="K7" t="s">
        <v>55</v>
      </c>
      <c r="L7" s="63">
        <f ca="1">MIN(FT_PH)</f>
        <v>17.514099999999999</v>
      </c>
      <c r="M7" s="63">
        <f ca="1">ROUND(L7,1)</f>
        <v>17.5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24763</v>
      </c>
      <c r="D8" s="61">
        <f>FH!B8*1</f>
        <v>24763</v>
      </c>
      <c r="E8">
        <f t="shared" si="3"/>
        <v>6</v>
      </c>
      <c r="F8" s="61">
        <f>IF(FT!A8&lt;&gt;"",FT!A8*10,"")</f>
        <v>2.5958999999999999</v>
      </c>
      <c r="G8" s="61">
        <f>IF(FT!B8&lt;&gt;"",FT!B8*100,"")</f>
        <v>40.6982</v>
      </c>
      <c r="H8" s="61">
        <f t="shared" si="1"/>
        <v>1</v>
      </c>
      <c r="I8" t="str">
        <f>IF(FT!B8&lt;&gt;"",FT!E8,"")</f>
        <v>1 [2.415606]</v>
      </c>
      <c r="J8">
        <f>IF(FT!B8&lt;&gt;"",FT!C8,"")</f>
        <v>2.41561</v>
      </c>
      <c r="K8" t="s">
        <v>56</v>
      </c>
      <c r="L8" s="63">
        <f ca="1">MAX(FT_PH)</f>
        <v>50.450799999999994</v>
      </c>
      <c r="M8" s="63">
        <f ca="1">ROUND(L8,1)</f>
        <v>50.5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2.6812200000000002</v>
      </c>
      <c r="G9" s="61">
        <f>IF(FT!B9&lt;&gt;"",FT!B9*100,"")</f>
        <v>39.152700000000003</v>
      </c>
      <c r="H9" s="61">
        <f t="shared" si="1"/>
        <v>1</v>
      </c>
      <c r="I9" t="str">
        <f>IF(FT!B9&lt;&gt;"",FT!E9,"")</f>
        <v>1 [2.824460]</v>
      </c>
      <c r="J9">
        <f>IF(FT!B9&lt;&gt;"",FT!C9,"")</f>
        <v>2.8244600000000002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27251</v>
      </c>
      <c r="D10" s="61">
        <f>FH!B10*1</f>
        <v>27251</v>
      </c>
      <c r="E10">
        <f t="shared" si="3"/>
        <v>8</v>
      </c>
      <c r="F10" s="61">
        <f>IF(FT!A10&lt;&gt;"",FT!A10*10,"")</f>
        <v>2.7672999999999996</v>
      </c>
      <c r="G10" s="61">
        <f>IF(FT!B10&lt;&gt;"",FT!B10*100,"")</f>
        <v>37.660199999999996</v>
      </c>
      <c r="H10" s="61">
        <f t="shared" si="1"/>
        <v>1</v>
      </c>
      <c r="I10" t="str">
        <f>IF(FT!B10&lt;&gt;"",FT!E10,"")</f>
        <v>1 [3.221425]</v>
      </c>
      <c r="J10">
        <f>IF(FT!B10&lt;&gt;"",FT!C10,"")</f>
        <v>3.2214200000000002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2.8568500000000001</v>
      </c>
      <c r="G11" s="61">
        <f>IF(FT!B11&lt;&gt;"",FT!B11*100,"")</f>
        <v>36.095699999999994</v>
      </c>
      <c r="H11" s="61">
        <f t="shared" si="1"/>
        <v>1</v>
      </c>
      <c r="I11" t="str">
        <f>IF(FT!B11&lt;&gt;"",FT!E11,"")</f>
        <v>1 [3.632694]</v>
      </c>
      <c r="J11">
        <f>IF(FT!B11&lt;&gt;"",FT!C11,"")</f>
        <v>3.6326900000000002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2.9491699999999996</v>
      </c>
      <c r="G12" s="61">
        <f>IF(FT!B12&lt;&gt;"",FT!B12*100,"")</f>
        <v>34.4557</v>
      </c>
      <c r="H12" s="61">
        <f t="shared" si="1"/>
        <v>1</v>
      </c>
      <c r="I12" t="str">
        <f>IF(FT!B12&lt;&gt;"",FT!E12,"")</f>
        <v>1 [4.039284]</v>
      </c>
      <c r="J12">
        <f>IF(FT!B12&lt;&gt;"",FT!C12,"")</f>
        <v>4.0392799999999998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27215</v>
      </c>
      <c r="D13" s="61">
        <f>FH!B13*1</f>
        <v>27215</v>
      </c>
      <c r="E13">
        <f t="shared" si="3"/>
        <v>11</v>
      </c>
      <c r="F13" s="61">
        <f>IF(FT!A13&lt;&gt;"",FT!A13*10,"")</f>
        <v>3.0385600000000004</v>
      </c>
      <c r="G13" s="61">
        <f>IF(FT!B13&lt;&gt;"",FT!B13*100,"")</f>
        <v>33.020300000000006</v>
      </c>
      <c r="H13" s="61">
        <f t="shared" si="1"/>
        <v>1</v>
      </c>
      <c r="I13" t="str">
        <f>IF(FT!B13&lt;&gt;"",FT!E13,"")</f>
        <v>1 [4.442126]</v>
      </c>
      <c r="J13">
        <f>IF(FT!B13&lt;&gt;"",FT!C13,"")</f>
        <v>4.4421299999999997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3.12371</v>
      </c>
      <c r="G14" s="61">
        <f>IF(FT!B14&lt;&gt;"",FT!B14*100,"")</f>
        <v>31.767299999999999</v>
      </c>
      <c r="H14" s="61">
        <f t="shared" si="1"/>
        <v>1</v>
      </c>
      <c r="I14" t="str">
        <f>IF(FT!B14&lt;&gt;"",FT!E14,"")</f>
        <v>1 [4.851064]</v>
      </c>
      <c r="J14">
        <f>IF(FT!B14&lt;&gt;"",FT!C14,"")</f>
        <v>4.8510600000000004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35092</v>
      </c>
      <c r="D15" s="61">
        <f>FH!B15*1</f>
        <v>35092</v>
      </c>
      <c r="E15">
        <f t="shared" si="3"/>
        <v>13</v>
      </c>
      <c r="F15" s="61">
        <f>IF(FT!A15&lt;&gt;"",FT!A15*10,"")</f>
        <v>3.2063599999999997</v>
      </c>
      <c r="G15" s="61">
        <f>IF(FT!B15&lt;&gt;"",FT!B15*100,"")</f>
        <v>30.571199999999997</v>
      </c>
      <c r="H15" s="61">
        <f t="shared" si="1"/>
        <v>1</v>
      </c>
      <c r="I15" t="str">
        <f>IF(FT!B15&lt;&gt;"",FT!E15,"")</f>
        <v>1 [5.256997]</v>
      </c>
      <c r="J15">
        <f>IF(FT!B15&lt;&gt;"",FT!C15,"")</f>
        <v>5.2569999999999997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3.29156</v>
      </c>
      <c r="G16" s="61">
        <f>IF(FT!B16&lt;&gt;"",FT!B16*100,"")</f>
        <v>29.201100000000004</v>
      </c>
      <c r="H16" s="61">
        <f t="shared" si="1"/>
        <v>1</v>
      </c>
      <c r="I16" t="str">
        <f>IF(FT!B16&lt;&gt;"",FT!E16,"")</f>
        <v>1 [5.664700]</v>
      </c>
      <c r="J16">
        <f>IF(FT!B16&lt;&gt;"",FT!C16,"")</f>
        <v>5.6646999999999998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3.3766400000000001</v>
      </c>
      <c r="G17" s="61">
        <f>IF(FT!B17&lt;&gt;"",FT!B17*100,"")</f>
        <v>27.7515</v>
      </c>
      <c r="H17" s="61">
        <f t="shared" si="1"/>
        <v>1</v>
      </c>
      <c r="I17" t="str">
        <f>IF(FT!B17&lt;&gt;"",FT!E17,"")</f>
        <v>1 [6.071784]</v>
      </c>
      <c r="J17">
        <f>IF(FT!B17&lt;&gt;"",FT!C17,"")</f>
        <v>6.0717800000000004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37437</v>
      </c>
      <c r="D18" s="61">
        <f>FH!B18*1</f>
        <v>37437</v>
      </c>
      <c r="E18">
        <f t="shared" si="3"/>
        <v>16</v>
      </c>
      <c r="F18" s="61">
        <f>IF(FT!A18&lt;&gt;"",FT!A18*10,"")</f>
        <v>3.4588799999999997</v>
      </c>
      <c r="G18" s="61">
        <f>IF(FT!B18&lt;&gt;"",FT!B18*100,"")</f>
        <v>26.356600000000004</v>
      </c>
      <c r="H18" s="61">
        <f t="shared" si="1"/>
        <v>1</v>
      </c>
      <c r="I18" t="str">
        <f>IF(FT!B18&lt;&gt;"",FT!E18,"")</f>
        <v>1 [6.476815]</v>
      </c>
      <c r="J18">
        <f>IF(FT!B18&lt;&gt;"",FT!C18,"")</f>
        <v>6.47682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3.5395700000000003</v>
      </c>
      <c r="G19" s="61">
        <f>IF(FT!B19&lt;&gt;"",FT!B19*100,"")</f>
        <v>25.019799999999996</v>
      </c>
      <c r="H19" s="61">
        <f t="shared" si="1"/>
        <v>1</v>
      </c>
      <c r="I19" t="str">
        <f>IF(FT!B19&lt;&gt;"",FT!E19,"")</f>
        <v>1 [6.884616]</v>
      </c>
      <c r="J19">
        <f>IF(FT!B19&lt;&gt;"",FT!C19,"")</f>
        <v>6.88462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3.61558</v>
      </c>
      <c r="G20" s="61">
        <f>IF(FT!B20&lt;&gt;"",FT!B20*100,"")</f>
        <v>23.830000000000002</v>
      </c>
      <c r="H20" s="61">
        <f t="shared" si="1"/>
        <v>1</v>
      </c>
      <c r="I20" t="str">
        <f>IF(FT!B20&lt;&gt;"",FT!E20,"")</f>
        <v>1 [7.287551]</v>
      </c>
      <c r="J20">
        <f>IF(FT!B20&lt;&gt;"",FT!C20,"")</f>
        <v>7.2875500000000004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42710</v>
      </c>
      <c r="D21" s="61">
        <f>FH!B21*1</f>
        <v>42710</v>
      </c>
      <c r="E21">
        <f t="shared" si="3"/>
        <v>19</v>
      </c>
      <c r="F21" s="61">
        <f>IF(FT!A21&lt;&gt;"",FT!A21*10,"")</f>
        <v>3.68371</v>
      </c>
      <c r="G21" s="61">
        <f>IF(FT!B21&lt;&gt;"",FT!B21*100,"")</f>
        <v>22.947699999999998</v>
      </c>
      <c r="H21" s="61">
        <f t="shared" si="1"/>
        <v>1</v>
      </c>
      <c r="I21" t="str">
        <f>IF(FT!B21&lt;&gt;"",FT!E21,"")</f>
        <v>1 [7.693901]</v>
      </c>
      <c r="J21">
        <f>IF(FT!B21&lt;&gt;"",FT!C21,"")</f>
        <v>7.6939000000000002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3.7474800000000004</v>
      </c>
      <c r="G22" s="61">
        <f>IF(FT!B22&lt;&gt;"",FT!B22*100,"")</f>
        <v>22.305199999999999</v>
      </c>
      <c r="H22" s="61">
        <f t="shared" si="1"/>
        <v>1</v>
      </c>
      <c r="I22" t="str">
        <f>IF(FT!B22&lt;&gt;"",FT!E22,"")</f>
        <v>1 [8.102412]</v>
      </c>
      <c r="J22">
        <f>IF(FT!B22&lt;&gt;"",FT!C22,"")</f>
        <v>8.1024100000000008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47443</v>
      </c>
      <c r="D23" s="61">
        <f>FH!B23*1</f>
        <v>47443</v>
      </c>
      <c r="E23">
        <f t="shared" si="3"/>
        <v>21</v>
      </c>
      <c r="F23" s="61">
        <f>IF(FT!A23&lt;&gt;"",FT!A23*10,"")</f>
        <v>3.8051200000000001</v>
      </c>
      <c r="G23" s="61">
        <f>IF(FT!B23&lt;&gt;"",FT!B23*100,"")</f>
        <v>21.810099999999998</v>
      </c>
      <c r="H23" s="61">
        <f t="shared" si="1"/>
        <v>1</v>
      </c>
      <c r="I23" t="str">
        <f>IF(FT!B23&lt;&gt;"",FT!E23,"")</f>
        <v>1 [8.508283]</v>
      </c>
      <c r="J23">
        <f>IF(FT!B23&lt;&gt;"",FT!C23,"")</f>
        <v>8.5082799999999992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3.8549899999999999</v>
      </c>
      <c r="G24" s="61">
        <f>IF(FT!B24&lt;&gt;"",FT!B24*100,"")</f>
        <v>21.428900000000002</v>
      </c>
      <c r="H24" s="61">
        <f t="shared" si="1"/>
        <v>1</v>
      </c>
      <c r="I24" t="str">
        <f>IF(FT!B24&lt;&gt;"",FT!E24,"")</f>
        <v>1 [8.911874]</v>
      </c>
      <c r="J24">
        <f>IF(FT!B24&lt;&gt;"",FT!C24,"")</f>
        <v>8.9118700000000004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3.8994900000000001</v>
      </c>
      <c r="G25" s="61">
        <f>IF(FT!B25&lt;&gt;"",FT!B25*100,"")</f>
        <v>21.102899999999998</v>
      </c>
      <c r="H25" s="61">
        <f t="shared" si="1"/>
        <v>1</v>
      </c>
      <c r="I25" t="str">
        <f>IF(FT!B25&lt;&gt;"",FT!E25,"")</f>
        <v>1 [9.319201]</v>
      </c>
      <c r="J25">
        <f>IF(FT!B25&lt;&gt;"",FT!C25,"")</f>
        <v>9.3192000000000004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49056</v>
      </c>
      <c r="D26" s="61">
        <f>FH!B26*1</f>
        <v>49056</v>
      </c>
      <c r="E26">
        <f t="shared" si="3"/>
        <v>24</v>
      </c>
      <c r="F26" s="61">
        <f>IF(FT!A26&lt;&gt;"",FT!A26*10,"")</f>
        <v>3.9393099999999999</v>
      </c>
      <c r="G26" s="61">
        <f>IF(FT!B26&lt;&gt;"",FT!B26*100,"")</f>
        <v>20.8081</v>
      </c>
      <c r="H26" s="61">
        <f t="shared" si="1"/>
        <v>1</v>
      </c>
      <c r="I26" t="str">
        <f>IF(FT!B26&lt;&gt;"",FT!E26,"")</f>
        <v>1 [9.724098]</v>
      </c>
      <c r="J26">
        <f>IF(FT!B26&lt;&gt;"",FT!C26,"")</f>
        <v>9.7241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3.9738499999999997</v>
      </c>
      <c r="G27" s="61">
        <f>IF(FT!B27&lt;&gt;"",FT!B27*100,"")</f>
        <v>20.5032</v>
      </c>
      <c r="H27" s="61">
        <f t="shared" si="1"/>
        <v>1</v>
      </c>
      <c r="I27" t="str">
        <f>IF(FT!B27&lt;&gt;"",FT!E27,"")</f>
        <v>1 [10.129011]</v>
      </c>
      <c r="J27">
        <f>IF(FT!B27&lt;&gt;"",FT!C27,"")</f>
        <v>10.129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52285</v>
      </c>
      <c r="D28" s="61">
        <f>FH!B28*1</f>
        <v>52285</v>
      </c>
      <c r="E28">
        <f t="shared" si="3"/>
        <v>26</v>
      </c>
      <c r="F28" s="61">
        <f>IF(FT!A28&lt;&gt;"",FT!A28*10,"")</f>
        <v>4.0028300000000003</v>
      </c>
      <c r="G28" s="61">
        <f>IF(FT!B28&lt;&gt;"",FT!B28*100,"")</f>
        <v>20.251799999999999</v>
      </c>
      <c r="H28" s="61">
        <f t="shared" si="1"/>
        <v>1</v>
      </c>
      <c r="I28" t="str">
        <f>IF(FT!B28&lt;&gt;"",FT!E28,"")</f>
        <v>1 [10.535485]</v>
      </c>
      <c r="J28">
        <f>IF(FT!B28&lt;&gt;"",FT!C28,"")</f>
        <v>10.535500000000001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4.0265300000000002</v>
      </c>
      <c r="G29" s="61">
        <f>IF(FT!B29&lt;&gt;"",FT!B29*100,"")</f>
        <v>20.037800000000001</v>
      </c>
      <c r="H29" s="61">
        <f t="shared" si="1"/>
        <v>1</v>
      </c>
      <c r="I29" t="str">
        <f>IF(FT!B29&lt;&gt;"",FT!E29,"")</f>
        <v>1 [10.940356]</v>
      </c>
      <c r="J29">
        <f>IF(FT!B29&lt;&gt;"",FT!C29,"")</f>
        <v>10.9404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4.0485699999999998</v>
      </c>
      <c r="G30" s="61">
        <f>IF(FT!B30&lt;&gt;"",FT!B30*100,"")</f>
        <v>19.826899999999998</v>
      </c>
      <c r="H30" s="61">
        <f t="shared" si="1"/>
        <v>1</v>
      </c>
      <c r="I30" t="str">
        <f>IF(FT!B30&lt;&gt;"",FT!E30,"")</f>
        <v>1 [11.352814]</v>
      </c>
      <c r="J30">
        <f>IF(FT!B30&lt;&gt;"",FT!C30,"")</f>
        <v>11.3528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55521</v>
      </c>
      <c r="D31" s="61">
        <f>FH!B31*1</f>
        <v>55521</v>
      </c>
      <c r="E31">
        <f t="shared" si="3"/>
        <v>29</v>
      </c>
      <c r="F31" s="61">
        <f>IF(FT!A31&lt;&gt;"",FT!A31*10,"")</f>
        <v>4.0666000000000002</v>
      </c>
      <c r="G31" s="61">
        <f>IF(FT!B31&lt;&gt;"",FT!B31*100,"")</f>
        <v>19.679099999999998</v>
      </c>
      <c r="H31" s="61">
        <f t="shared" si="1"/>
        <v>1</v>
      </c>
      <c r="I31" t="str">
        <f>IF(FT!B31&lt;&gt;"",FT!E31,"")</f>
        <v>1 [11.759569]</v>
      </c>
      <c r="J31">
        <f>IF(FT!B31&lt;&gt;"",FT!C31,"")</f>
        <v>11.759600000000001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4.0808</v>
      </c>
      <c r="G32" s="61">
        <f>IF(FT!B32&lt;&gt;"",FT!B32*100,"")</f>
        <v>19.433800000000002</v>
      </c>
      <c r="H32" s="61">
        <f t="shared" si="1"/>
        <v>1</v>
      </c>
      <c r="I32" t="str">
        <f>IF(FT!B32&lt;&gt;"",FT!E32,"")</f>
        <v>1 [12.166595]</v>
      </c>
      <c r="J32">
        <f>IF(FT!B32&lt;&gt;"",FT!C32,"")</f>
        <v>12.166600000000001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59413</v>
      </c>
      <c r="D33" s="61">
        <f>FH!B33*1</f>
        <v>59413</v>
      </c>
      <c r="E33">
        <f t="shared" si="3"/>
        <v>31</v>
      </c>
      <c r="F33" s="61">
        <f>IF(FT!A33&lt;&gt;"",FT!A33*10,"")</f>
        <v>4.0921900000000004</v>
      </c>
      <c r="G33" s="61">
        <f>IF(FT!B33&lt;&gt;"",FT!B33*100,"")</f>
        <v>19.078600000000002</v>
      </c>
      <c r="H33" s="61">
        <f t="shared" si="1"/>
        <v>1</v>
      </c>
      <c r="I33" t="str">
        <f>IF(FT!B33&lt;&gt;"",FT!E33,"")</f>
        <v>1 [12.568440]</v>
      </c>
      <c r="J33">
        <f>IF(FT!B33&lt;&gt;"",FT!C33,"")</f>
        <v>12.5684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4.1027400000000007</v>
      </c>
      <c r="G34" s="61">
        <f>IF(FT!B34&lt;&gt;"",FT!B34*100,"")</f>
        <v>18.783100000000001</v>
      </c>
      <c r="H34" s="61">
        <f t="shared" si="1"/>
        <v>1</v>
      </c>
      <c r="I34" t="str">
        <f>IF(FT!B34&lt;&gt;"",FT!E34,"")</f>
        <v>1 [12.974369]</v>
      </c>
      <c r="J34">
        <f>IF(FT!B34&lt;&gt;"",FT!C34,"")</f>
        <v>12.974399999999999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4.1095500000000005</v>
      </c>
      <c r="G35" s="61">
        <f>IF(FT!B35&lt;&gt;"",FT!B35*100,"")</f>
        <v>18.5334</v>
      </c>
      <c r="H35" s="61">
        <f t="shared" si="1"/>
        <v>1</v>
      </c>
      <c r="I35" t="str">
        <f>IF(FT!B35&lt;&gt;"",FT!E35,"")</f>
        <v>1 [13.383262]</v>
      </c>
      <c r="J35">
        <f>IF(FT!B35&lt;&gt;"",FT!C35,"")</f>
        <v>13.3833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63536</v>
      </c>
      <c r="D36" s="61">
        <f>FH!B36*1</f>
        <v>63536</v>
      </c>
      <c r="E36">
        <f t="shared" si="3"/>
        <v>34</v>
      </c>
      <c r="F36" s="61">
        <f>IF(FT!A36&lt;&gt;"",FT!A36*10,"")</f>
        <v>4.1112500000000001</v>
      </c>
      <c r="G36" s="61">
        <f>IF(FT!B36&lt;&gt;"",FT!B36*100,"")</f>
        <v>18.334600000000002</v>
      </c>
      <c r="H36" s="61">
        <f t="shared" si="1"/>
        <v>1</v>
      </c>
      <c r="I36" t="str">
        <f>IF(FT!B36&lt;&gt;"",FT!E36,"")</f>
        <v>1 [13.788257]</v>
      </c>
      <c r="J36">
        <f>IF(FT!B36&lt;&gt;"",FT!C36,"")</f>
        <v>13.7883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4.1070000000000002</v>
      </c>
      <c r="G37" s="61">
        <f>IF(FT!B37&lt;&gt;"",FT!B37*100,"")</f>
        <v>18.217500000000001</v>
      </c>
      <c r="H37" s="61">
        <f t="shared" si="1"/>
        <v>1</v>
      </c>
      <c r="I37" t="str">
        <f>IF(FT!B37&lt;&gt;"",FT!E37,"")</f>
        <v>1 [14.211883]</v>
      </c>
      <c r="J37">
        <f>IF(FT!B37&lt;&gt;"",FT!C37,"")</f>
        <v>14.2119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4.1026199999999999</v>
      </c>
      <c r="G38" s="61">
        <f>IF(FT!B38&lt;&gt;"",FT!B38*100,"")</f>
        <v>18.1038</v>
      </c>
      <c r="H38" s="61">
        <f t="shared" si="1"/>
        <v>1</v>
      </c>
      <c r="I38" t="str">
        <f>IF(FT!B38&lt;&gt;"",FT!E38,"")</f>
        <v>1 [14.605651]</v>
      </c>
      <c r="J38">
        <f>IF(FT!B38&lt;&gt;"",FT!C38,"")</f>
        <v>14.605700000000001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63919</v>
      </c>
      <c r="D39" s="61">
        <f>FH!B39*1</f>
        <v>63919</v>
      </c>
      <c r="E39">
        <f t="shared" si="3"/>
        <v>37</v>
      </c>
      <c r="F39" s="61">
        <f>IF(FT!A39&lt;&gt;"",FT!A39*10,"")</f>
        <v>4.0969499999999996</v>
      </c>
      <c r="G39" s="61">
        <f>IF(FT!B39&lt;&gt;"",FT!B39*100,"")</f>
        <v>18.0274</v>
      </c>
      <c r="H39" s="61">
        <f t="shared" si="1"/>
        <v>1</v>
      </c>
      <c r="I39" t="str">
        <f>IF(FT!B39&lt;&gt;"",FT!E39,"")</f>
        <v>1 [15.009376]</v>
      </c>
      <c r="J39">
        <f>IF(FT!B39&lt;&gt;"",FT!C39,"")</f>
        <v>15.009399999999999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4.0886399999999998</v>
      </c>
      <c r="G40" s="61">
        <f>IF(FT!B40&lt;&gt;"",FT!B40*100,"")</f>
        <v>17.9787</v>
      </c>
      <c r="H40" s="61">
        <f t="shared" si="1"/>
        <v>1</v>
      </c>
      <c r="I40" t="str">
        <f>IF(FT!B40&lt;&gt;"",FT!E40,"")</f>
        <v>1 [15.408276]</v>
      </c>
      <c r="J40">
        <f>IF(FT!B40&lt;&gt;"",FT!C40,"")</f>
        <v>15.408300000000001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63352</v>
      </c>
      <c r="D41" s="61">
        <f>FH!B41*1</f>
        <v>63352</v>
      </c>
      <c r="E41">
        <f t="shared" si="3"/>
        <v>39</v>
      </c>
      <c r="F41" s="61">
        <f>IF(FT!A41&lt;&gt;"",FT!A41*10,"")</f>
        <v>4.0726899999999997</v>
      </c>
      <c r="G41" s="61">
        <f>IF(FT!B41&lt;&gt;"",FT!B41*100,"")</f>
        <v>18.082500000000003</v>
      </c>
      <c r="H41" s="61">
        <f t="shared" si="1"/>
        <v>1</v>
      </c>
      <c r="I41" t="str">
        <f>IF(FT!B41&lt;&gt;"",FT!E41,"")</f>
        <v>1 [15.817093]</v>
      </c>
      <c r="J41">
        <f>IF(FT!B41&lt;&gt;"",FT!C41,"")</f>
        <v>15.8171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4.0527100000000003</v>
      </c>
      <c r="G42" s="61">
        <f>IF(FT!B42&lt;&gt;"",FT!B42*100,"")</f>
        <v>18.291799999999999</v>
      </c>
      <c r="H42" s="61">
        <f t="shared" si="1"/>
        <v>1</v>
      </c>
      <c r="I42" t="str">
        <f>IF(FT!B42&lt;&gt;"",FT!E42,"")</f>
        <v>1 [16.227851]</v>
      </c>
      <c r="J42">
        <f>IF(FT!B42&lt;&gt;"",FT!C42,"")</f>
        <v>16.227900000000002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4.0314299999999994</v>
      </c>
      <c r="G43" s="61">
        <f>IF(FT!B43&lt;&gt;"",FT!B43*100,"")</f>
        <v>18.5932</v>
      </c>
      <c r="H43" s="61">
        <f t="shared" si="1"/>
        <v>1</v>
      </c>
      <c r="I43" t="str">
        <f>IF(FT!B43&lt;&gt;"",FT!E43,"")</f>
        <v>1 [16.632832]</v>
      </c>
      <c r="J43">
        <f>IF(FT!B43&lt;&gt;"",FT!C43,"")</f>
        <v>16.6328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70699</v>
      </c>
      <c r="D44" s="61">
        <f>FH!B44*1</f>
        <v>70699</v>
      </c>
      <c r="E44">
        <f t="shared" si="3"/>
        <v>42</v>
      </c>
      <c r="F44" s="61">
        <f>IF(FT!A44&lt;&gt;"",FT!A44*10,"")</f>
        <v>4.0077499999999997</v>
      </c>
      <c r="G44" s="61">
        <f>IF(FT!B44&lt;&gt;"",FT!B44*100,"")</f>
        <v>19.0185</v>
      </c>
      <c r="H44" s="61">
        <f t="shared" si="1"/>
        <v>1</v>
      </c>
      <c r="I44" t="str">
        <f>IF(FT!B44&lt;&gt;"",FT!E44,"")</f>
        <v>1 [17.034892]</v>
      </c>
      <c r="J44">
        <f>IF(FT!B44&lt;&gt;"",FT!C44,"")</f>
        <v>17.0349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3.98298</v>
      </c>
      <c r="G45" s="61">
        <f>IF(FT!B45&lt;&gt;"",FT!B45*100,"")</f>
        <v>19.509899999999998</v>
      </c>
      <c r="H45" s="61">
        <f t="shared" si="1"/>
        <v>1</v>
      </c>
      <c r="I45" t="str">
        <f>IF(FT!B45&lt;&gt;"",FT!E45,"")</f>
        <v>1 [17.442665]</v>
      </c>
      <c r="J45">
        <f>IF(FT!B45&lt;&gt;"",FT!C45,"")</f>
        <v>17.442699999999999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67614</v>
      </c>
      <c r="D46" s="61">
        <f>FH!B46*1</f>
        <v>67614</v>
      </c>
      <c r="E46">
        <f t="shared" si="3"/>
        <v>44</v>
      </c>
      <c r="F46" s="61">
        <f>IF(FT!A46&lt;&gt;"",FT!A46*10,"")</f>
        <v>3.96034</v>
      </c>
      <c r="G46" s="61">
        <f>IF(FT!B46&lt;&gt;"",FT!B46*100,"")</f>
        <v>19.915299999999998</v>
      </c>
      <c r="H46" s="61">
        <f t="shared" si="1"/>
        <v>1</v>
      </c>
      <c r="I46" t="str">
        <f>IF(FT!B46&lt;&gt;"",FT!E46,"")</f>
        <v>1 [17.849624]</v>
      </c>
      <c r="J46">
        <f>IF(FT!B46&lt;&gt;"",FT!C46,"")</f>
        <v>17.849599999999999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3.9387699999999999</v>
      </c>
      <c r="G47" s="61">
        <f>IF(FT!B47&lt;&gt;"",FT!B47*100,"")</f>
        <v>20.257400000000001</v>
      </c>
      <c r="H47" s="61">
        <f t="shared" si="1"/>
        <v>1</v>
      </c>
      <c r="I47" t="str">
        <f>IF(FT!B47&lt;&gt;"",FT!E47,"")</f>
        <v>1 [18.280462]</v>
      </c>
      <c r="J47">
        <f>IF(FT!B47&lt;&gt;"",FT!C47,"")</f>
        <v>18.2805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3.9201999999999999</v>
      </c>
      <c r="G48" s="61">
        <f>IF(FT!B48&lt;&gt;"",FT!B48*100,"")</f>
        <v>20.522199999999998</v>
      </c>
      <c r="H48" s="61">
        <f t="shared" si="1"/>
        <v>1</v>
      </c>
      <c r="I48" t="str">
        <f>IF(FT!B48&lt;&gt;"",FT!E48,"")</f>
        <v>1 [18.658599]</v>
      </c>
      <c r="J48">
        <f>IF(FT!B48&lt;&gt;"",FT!C48,"")</f>
        <v>18.6586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70265</v>
      </c>
      <c r="D49" s="61">
        <f>FH!B49*1</f>
        <v>70265</v>
      </c>
      <c r="E49">
        <f t="shared" si="3"/>
        <v>47</v>
      </c>
      <c r="F49" s="61">
        <f>IF(FT!A49&lt;&gt;"",FT!A49*10,"")</f>
        <v>3.9060899999999998</v>
      </c>
      <c r="G49" s="61">
        <f>IF(FT!B49&lt;&gt;"",FT!B49*100,"")</f>
        <v>20.7439</v>
      </c>
      <c r="H49" s="61">
        <f t="shared" si="1"/>
        <v>1</v>
      </c>
      <c r="I49" t="str">
        <f>IF(FT!B49&lt;&gt;"",FT!E49,"")</f>
        <v>1 [19.072310]</v>
      </c>
      <c r="J49">
        <f>IF(FT!B49&lt;&gt;"",FT!C49,"")</f>
        <v>19.072299999999998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3.89276</v>
      </c>
      <c r="G50" s="61">
        <f>IF(FT!B50&lt;&gt;"",FT!B50*100,"")</f>
        <v>20.971299999999999</v>
      </c>
      <c r="H50" s="61">
        <f t="shared" si="1"/>
        <v>1</v>
      </c>
      <c r="I50" t="str">
        <f>IF(FT!B50&lt;&gt;"",FT!E50,"")</f>
        <v>1 [19.476330]</v>
      </c>
      <c r="J50">
        <f>IF(FT!B50&lt;&gt;"",FT!C50,"")</f>
        <v>19.476299999999998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72269</v>
      </c>
      <c r="D51" s="61">
        <f>FH!B51*1</f>
        <v>72269</v>
      </c>
      <c r="E51">
        <f t="shared" si="3"/>
        <v>49</v>
      </c>
      <c r="F51" s="61">
        <f>IF(FT!A51&lt;&gt;"",FT!A51*10,"")</f>
        <v>3.8788</v>
      </c>
      <c r="G51" s="61">
        <f>IF(FT!B51&lt;&gt;"",FT!B51*100,"")</f>
        <v>21.1754</v>
      </c>
      <c r="H51" s="61">
        <f t="shared" si="1"/>
        <v>1</v>
      </c>
      <c r="I51" t="str">
        <f>IF(FT!B51&lt;&gt;"",FT!E51,"")</f>
        <v>1 [19.882151]</v>
      </c>
      <c r="J51">
        <f>IF(FT!B51&lt;&gt;"",FT!C51,"")</f>
        <v>19.882200000000001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3.8668900000000002</v>
      </c>
      <c r="G52" s="61">
        <f>IF(FT!B52&lt;&gt;"",FT!B52*100,"")</f>
        <v>21.383700000000001</v>
      </c>
      <c r="H52" s="61">
        <f t="shared" si="1"/>
        <v>1</v>
      </c>
      <c r="I52" t="str">
        <f>IF(FT!B52&lt;&gt;"",FT!E52,"")</f>
        <v>1 [20.285117]</v>
      </c>
      <c r="J52">
        <f>IF(FT!B52&lt;&gt;"",FT!C52,"")</f>
        <v>20.2851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3.8583099999999999</v>
      </c>
      <c r="G53" s="61">
        <f>IF(FT!B53&lt;&gt;"",FT!B53*100,"")</f>
        <v>21.581600000000002</v>
      </c>
      <c r="H53" s="61">
        <f t="shared" si="1"/>
        <v>1</v>
      </c>
      <c r="I53" t="str">
        <f>IF(FT!B53&lt;&gt;"",FT!E53,"")</f>
        <v>1 [20.694103]</v>
      </c>
      <c r="J53">
        <f>IF(FT!B53&lt;&gt;"",FT!C53,"")</f>
        <v>20.694099999999999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69460</v>
      </c>
      <c r="D54" s="61">
        <f>FH!B54*1</f>
        <v>69460</v>
      </c>
      <c r="E54">
        <f t="shared" si="3"/>
        <v>52</v>
      </c>
      <c r="F54" s="61">
        <f>IF(FT!A54&lt;&gt;"",FT!A54*10,"")</f>
        <v>3.8514399999999998</v>
      </c>
      <c r="G54" s="61">
        <f>IF(FT!B54&lt;&gt;"",FT!B54*100,"")</f>
        <v>21.741399999999999</v>
      </c>
      <c r="H54" s="61">
        <f t="shared" si="1"/>
        <v>1</v>
      </c>
      <c r="I54" t="str">
        <f>IF(FT!B54&lt;&gt;"",FT!E54,"")</f>
        <v>1 [21.100915]</v>
      </c>
      <c r="J54">
        <f>IF(FT!B54&lt;&gt;"",FT!C54,"")</f>
        <v>21.100899999999999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3.8480799999999999</v>
      </c>
      <c r="G55" s="61">
        <f>IF(FT!B55&lt;&gt;"",FT!B55*100,"")</f>
        <v>21.917300000000001</v>
      </c>
      <c r="H55" s="61">
        <f t="shared" si="1"/>
        <v>1</v>
      </c>
      <c r="I55" t="str">
        <f>IF(FT!B55&lt;&gt;"",FT!E55,"")</f>
        <v>1 [21.503072]</v>
      </c>
      <c r="J55">
        <f>IF(FT!B55&lt;&gt;"",FT!C55,"")</f>
        <v>21.5031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3.8458900000000003</v>
      </c>
      <c r="G56" s="61">
        <f>IF(FT!B56&lt;&gt;"",FT!B56*100,"")</f>
        <v>22.033000000000001</v>
      </c>
      <c r="H56" s="61">
        <f t="shared" si="1"/>
        <v>1</v>
      </c>
      <c r="I56" t="str">
        <f>IF(FT!B56&lt;&gt;"",FT!E56,"")</f>
        <v>1 [21.912688]</v>
      </c>
      <c r="J56">
        <f>IF(FT!B56&lt;&gt;"",FT!C56,"")</f>
        <v>21.912700000000001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69289</v>
      </c>
      <c r="D57" s="61">
        <f>FH!B57*1</f>
        <v>69289</v>
      </c>
      <c r="E57">
        <f t="shared" si="3"/>
        <v>55</v>
      </c>
      <c r="F57" s="61">
        <f>IF(FT!A57&lt;&gt;"",FT!A57*10,"")</f>
        <v>3.8406800000000003</v>
      </c>
      <c r="G57" s="61">
        <f>IF(FT!B57&lt;&gt;"",FT!B57*100,"")</f>
        <v>22.291</v>
      </c>
      <c r="H57" s="61">
        <f t="shared" si="1"/>
        <v>1</v>
      </c>
      <c r="I57" t="str">
        <f>IF(FT!B57&lt;&gt;"",FT!E57,"")</f>
        <v>1 [22.318634]</v>
      </c>
      <c r="J57">
        <f>IF(FT!B57&lt;&gt;"",FT!C57,"")</f>
        <v>22.3186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3.8323099999999997</v>
      </c>
      <c r="G58" s="61">
        <f>IF(FT!B58&lt;&gt;"",FT!B58*100,"")</f>
        <v>22.763500000000001</v>
      </c>
      <c r="H58" s="61">
        <f t="shared" si="1"/>
        <v>1</v>
      </c>
      <c r="I58" t="str">
        <f>IF(FT!B58&lt;&gt;"",FT!E58,"")</f>
        <v>1 [22.720781]</v>
      </c>
      <c r="J58">
        <f>IF(FT!B58&lt;&gt;"",FT!C58,"")</f>
        <v>22.720800000000001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66151</v>
      </c>
      <c r="D59" s="61">
        <f>FH!B59*1</f>
        <v>66151</v>
      </c>
      <c r="E59">
        <f t="shared" si="3"/>
        <v>57</v>
      </c>
      <c r="F59" s="61">
        <f>IF(FT!A59&lt;&gt;"",FT!A59*10,"")</f>
        <v>3.8228600000000004</v>
      </c>
      <c r="G59" s="61">
        <f>IF(FT!B59&lt;&gt;"",FT!B59*100,"")</f>
        <v>23.214499999999997</v>
      </c>
      <c r="H59" s="61">
        <f t="shared" si="1"/>
        <v>1</v>
      </c>
      <c r="I59" t="str">
        <f>IF(FT!B59&lt;&gt;"",FT!E59,"")</f>
        <v>1 [23.132505]</v>
      </c>
      <c r="J59">
        <f>IF(FT!B59&lt;&gt;"",FT!C59,"")</f>
        <v>23.1325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3.8126300000000004</v>
      </c>
      <c r="G60" s="61">
        <f>IF(FT!B60&lt;&gt;"",FT!B60*100,"")</f>
        <v>23.6753</v>
      </c>
      <c r="H60" s="61">
        <f t="shared" si="1"/>
        <v>1</v>
      </c>
      <c r="I60" t="str">
        <f>IF(FT!B60&lt;&gt;"",FT!E60,"")</f>
        <v>1 [23.537550]</v>
      </c>
      <c r="J60">
        <f>IF(FT!B60&lt;&gt;"",FT!C60,"")</f>
        <v>23.537500000000001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3.8002000000000002</v>
      </c>
      <c r="G61" s="61">
        <f>IF(FT!B61&lt;&gt;"",FT!B61*100,"")</f>
        <v>24.178000000000001</v>
      </c>
      <c r="H61" s="61">
        <f t="shared" si="1"/>
        <v>1</v>
      </c>
      <c r="I61" t="str">
        <f>IF(FT!B61&lt;&gt;"",FT!E61,"")</f>
        <v>1 [23.945279]</v>
      </c>
      <c r="J61">
        <f>IF(FT!B61&lt;&gt;"",FT!C61,"")</f>
        <v>23.9453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68676</v>
      </c>
      <c r="D62" s="61">
        <f>FH!B62*1</f>
        <v>68676</v>
      </c>
      <c r="E62">
        <f t="shared" si="3"/>
        <v>60</v>
      </c>
      <c r="F62" s="61">
        <f>IF(FT!A62&lt;&gt;"",FT!A62*10,"")</f>
        <v>3.7884699999999998</v>
      </c>
      <c r="G62" s="61">
        <f>IF(FT!B62&lt;&gt;"",FT!B62*100,"")</f>
        <v>24.642800000000001</v>
      </c>
      <c r="H62" s="61">
        <f t="shared" si="1"/>
        <v>1</v>
      </c>
      <c r="I62" t="str">
        <f>IF(FT!B62&lt;&gt;"",FT!E62,"")</f>
        <v>1 [24.349441]</v>
      </c>
      <c r="J62">
        <f>IF(FT!B62&lt;&gt;"",FT!C62,"")</f>
        <v>24.349399999999999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3.7774799999999997</v>
      </c>
      <c r="G63" s="61">
        <f>IF(FT!B63&lt;&gt;"",FT!B63*100,"")</f>
        <v>25.1511</v>
      </c>
      <c r="H63" s="61">
        <f t="shared" si="1"/>
        <v>1</v>
      </c>
      <c r="I63" t="str">
        <f>IF(FT!B63&lt;&gt;"",FT!E63,"")</f>
        <v>1 [24.755309]</v>
      </c>
      <c r="J63">
        <f>IF(FT!B63&lt;&gt;"",FT!C63,"")</f>
        <v>24.755299999999998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77174</v>
      </c>
      <c r="D64" s="61">
        <f>FH!B64*1</f>
        <v>77174</v>
      </c>
      <c r="E64">
        <f t="shared" si="3"/>
        <v>62</v>
      </c>
      <c r="F64" s="61">
        <f>IF(FT!A64&lt;&gt;"",FT!A64*10,"")</f>
        <v>3.7658300000000002</v>
      </c>
      <c r="G64" s="61">
        <f>IF(FT!B64&lt;&gt;"",FT!B64*100,"")</f>
        <v>25.7042</v>
      </c>
      <c r="H64" s="61">
        <f t="shared" si="1"/>
        <v>1</v>
      </c>
      <c r="I64" t="str">
        <f>IF(FT!B64&lt;&gt;"",FT!E64,"")</f>
        <v>1 [25.162666]</v>
      </c>
      <c r="J64">
        <f>IF(FT!B64&lt;&gt;"",FT!C64,"")</f>
        <v>25.162700000000001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3.7525900000000001</v>
      </c>
      <c r="G65" s="61">
        <f>IF(FT!B65&lt;&gt;"",FT!B65*100,"")</f>
        <v>26.295200000000001</v>
      </c>
      <c r="H65" s="61">
        <f t="shared" si="1"/>
        <v>1</v>
      </c>
      <c r="I65" t="str">
        <f>IF(FT!B65&lt;&gt;"",FT!E65,"")</f>
        <v>1 [25.570108]</v>
      </c>
      <c r="J65">
        <f>IF(FT!B65&lt;&gt;"",FT!C65,"")</f>
        <v>25.5701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3.7393199999999998</v>
      </c>
      <c r="G66" s="61">
        <f>IF(FT!B66&lt;&gt;"",FT!B66*100,"")</f>
        <v>26.862000000000002</v>
      </c>
      <c r="H66" s="61">
        <f t="shared" si="1"/>
        <v>1</v>
      </c>
      <c r="I66" t="str">
        <f>IF(FT!B66&lt;&gt;"",FT!E66,"")</f>
        <v>1 [25.975601]</v>
      </c>
      <c r="J66">
        <f>IF(FT!B66&lt;&gt;"",FT!C66,"")</f>
        <v>25.9756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79992</v>
      </c>
      <c r="D67" s="61">
        <f>FH!B67*1</f>
        <v>79992</v>
      </c>
      <c r="E67">
        <f t="shared" si="3"/>
        <v>65</v>
      </c>
      <c r="F67" s="61">
        <f>IF(FT!A67&lt;&gt;"",FT!A67*10,"")</f>
        <v>3.7239699999999996</v>
      </c>
      <c r="G67" s="61">
        <f>IF(FT!B67&lt;&gt;"",FT!B67*100,"")</f>
        <v>27.458199999999998</v>
      </c>
      <c r="H67" s="61">
        <f t="shared" ref="H67:H130" si="9">(IF(F67&lt;&gt;"",1,""))</f>
        <v>1</v>
      </c>
      <c r="I67" t="str">
        <f>IF(FT!B67&lt;&gt;"",FT!E67,"")</f>
        <v>1 [26.380160]</v>
      </c>
      <c r="J67">
        <f>IF(FT!B67&lt;&gt;"",FT!C67,"")</f>
        <v>26.380199999999999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3.7072599999999998</v>
      </c>
      <c r="G68" s="61">
        <f>IF(FT!B68&lt;&gt;"",FT!B68*100,"")</f>
        <v>28.069199999999999</v>
      </c>
      <c r="H68" s="61">
        <f t="shared" si="9"/>
        <v>1</v>
      </c>
      <c r="I68" t="str">
        <f>IF(FT!B68&lt;&gt;"",FT!E68,"")</f>
        <v>1 [26.787990]</v>
      </c>
      <c r="J68">
        <f>IF(FT!B68&lt;&gt;"",FT!C68,"")</f>
        <v>26.788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78372</v>
      </c>
      <c r="D69" s="61">
        <f>FH!B69*1</f>
        <v>78372</v>
      </c>
      <c r="E69">
        <f t="shared" si="11"/>
        <v>67</v>
      </c>
      <c r="F69" s="61">
        <f>IF(FT!A69&lt;&gt;"",FT!A69*10,"")</f>
        <v>3.6910500000000002</v>
      </c>
      <c r="G69" s="61">
        <f>IF(FT!B69&lt;&gt;"",FT!B69*100,"")</f>
        <v>28.659099999999999</v>
      </c>
      <c r="H69" s="61">
        <f t="shared" si="9"/>
        <v>1</v>
      </c>
      <c r="I69" t="str">
        <f>IF(FT!B69&lt;&gt;"",FT!E69,"")</f>
        <v>1 [27.189887]</v>
      </c>
      <c r="J69">
        <f>IF(FT!B69&lt;&gt;"",FT!C69,"")</f>
        <v>27.189900000000002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3.6774</v>
      </c>
      <c r="G70" s="61">
        <f>IF(FT!B70&lt;&gt;"",FT!B70*100,"")</f>
        <v>29.2117</v>
      </c>
      <c r="H70" s="61">
        <f t="shared" si="9"/>
        <v>1</v>
      </c>
      <c r="I70" t="str">
        <f>IF(FT!B70&lt;&gt;"",FT!E70,"")</f>
        <v>1 [27.599991]</v>
      </c>
      <c r="J70">
        <f>IF(FT!B70&lt;&gt;"",FT!C70,"")</f>
        <v>27.6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3.6670599999999998</v>
      </c>
      <c r="G71" s="61">
        <f>IF(FT!B71&lt;&gt;"",FT!B71*100,"")</f>
        <v>29.742699999999999</v>
      </c>
      <c r="H71" s="61">
        <f t="shared" si="9"/>
        <v>1</v>
      </c>
      <c r="I71" t="str">
        <f>IF(FT!B71&lt;&gt;"",FT!E71,"")</f>
        <v>1 [28.004031]</v>
      </c>
      <c r="J71">
        <f>IF(FT!B71&lt;&gt;"",FT!C71,"")</f>
        <v>28.004000000000001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85162</v>
      </c>
      <c r="D72" s="61">
        <f>FH!B72*1</f>
        <v>85162</v>
      </c>
      <c r="E72">
        <f t="shared" si="11"/>
        <v>70</v>
      </c>
      <c r="F72" s="61">
        <f>IF(FT!A72&lt;&gt;"",FT!A72*10,"")</f>
        <v>3.6585200000000002</v>
      </c>
      <c r="G72" s="61">
        <f>IF(FT!B72&lt;&gt;"",FT!B72*100,"")</f>
        <v>30.2927</v>
      </c>
      <c r="H72" s="61">
        <f t="shared" si="9"/>
        <v>1</v>
      </c>
      <c r="I72" t="str">
        <f>IF(FT!B72&lt;&gt;"",FT!E72,"")</f>
        <v>1 [28.411685]</v>
      </c>
      <c r="J72">
        <f>IF(FT!B72&lt;&gt;"",FT!C72,"")</f>
        <v>28.4117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3.6530800000000001</v>
      </c>
      <c r="G73" s="61">
        <f>IF(FT!B73&lt;&gt;"",FT!B73*100,"")</f>
        <v>30.882399999999997</v>
      </c>
      <c r="H73" s="61">
        <f t="shared" si="9"/>
        <v>1</v>
      </c>
      <c r="I73" t="str">
        <f>IF(FT!B73&lt;&gt;"",FT!E73,"")</f>
        <v>1 [28.818528]</v>
      </c>
      <c r="J73">
        <f>IF(FT!B73&lt;&gt;"",FT!C73,"")</f>
        <v>28.8185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3.6512899999999999</v>
      </c>
      <c r="G74" s="61">
        <f>IF(FT!B74&lt;&gt;"",FT!B74*100,"")</f>
        <v>31.318899999999999</v>
      </c>
      <c r="H74" s="61">
        <f t="shared" si="9"/>
        <v>1</v>
      </c>
      <c r="I74" t="str">
        <f>IF(FT!B74&lt;&gt;"",FT!E74,"")</f>
        <v>1 [29.221556]</v>
      </c>
      <c r="J74">
        <f>IF(FT!B74&lt;&gt;"",FT!C74,"")</f>
        <v>29.221599999999999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93548</v>
      </c>
      <c r="D75" s="61">
        <f>FH!B75*1</f>
        <v>93548</v>
      </c>
      <c r="E75">
        <f t="shared" si="11"/>
        <v>73</v>
      </c>
      <c r="F75" s="61">
        <f>IF(FT!A75&lt;&gt;"",FT!A75*10,"")</f>
        <v>3.6476599999999997</v>
      </c>
      <c r="G75" s="61">
        <f>IF(FT!B75&lt;&gt;"",FT!B75*100,"")</f>
        <v>31.553199999999997</v>
      </c>
      <c r="H75" s="61">
        <f t="shared" si="9"/>
        <v>1</v>
      </c>
      <c r="I75" t="str">
        <f>IF(FT!B75&lt;&gt;"",FT!E75,"")</f>
        <v>1 [29.631472]</v>
      </c>
      <c r="J75">
        <f>IF(FT!B75&lt;&gt;"",FT!C75,"")</f>
        <v>29.631499999999999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3.6437999999999997</v>
      </c>
      <c r="G76" s="61">
        <f>IF(FT!B76&lt;&gt;"",FT!B76*100,"")</f>
        <v>31.781300000000002</v>
      </c>
      <c r="H76" s="61">
        <f t="shared" si="9"/>
        <v>1</v>
      </c>
      <c r="I76" t="str">
        <f>IF(FT!B76&lt;&gt;"",FT!E76,"")</f>
        <v>1 [30.034872]</v>
      </c>
      <c r="J76">
        <f>IF(FT!B76&lt;&gt;"",FT!C76,"")</f>
        <v>30.0349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101154</v>
      </c>
      <c r="D77" s="61">
        <f>FH!B77*1</f>
        <v>101154</v>
      </c>
      <c r="E77">
        <f t="shared" si="11"/>
        <v>75</v>
      </c>
      <c r="F77" s="61">
        <f>IF(FT!A77&lt;&gt;"",FT!A77*10,"")</f>
        <v>3.6386200000000004</v>
      </c>
      <c r="G77" s="61">
        <f>IF(FT!B77&lt;&gt;"",FT!B77*100,"")</f>
        <v>32.027999999999999</v>
      </c>
      <c r="H77" s="61">
        <f t="shared" si="9"/>
        <v>1</v>
      </c>
      <c r="I77" t="str">
        <f>IF(FT!B77&lt;&gt;"",FT!E77,"")</f>
        <v>2 [30.472105]</v>
      </c>
      <c r="J77">
        <f>IF(FT!B77&lt;&gt;"",FT!C77,"")</f>
        <v>30.472100000000001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3.6326000000000001</v>
      </c>
      <c r="G78" s="61">
        <f>IF(FT!B78&lt;&gt;"",FT!B78*100,"")</f>
        <v>32.298900000000003</v>
      </c>
      <c r="H78" s="61">
        <f t="shared" si="9"/>
        <v>1</v>
      </c>
      <c r="I78" t="str">
        <f>IF(FT!B78&lt;&gt;"",FT!E78,"")</f>
        <v>2 [30.880707]</v>
      </c>
      <c r="J78">
        <f>IF(FT!B78&lt;&gt;"",FT!C78,"")</f>
        <v>30.880700000000001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3.62981</v>
      </c>
      <c r="G79" s="61">
        <f>IF(FT!B79&lt;&gt;"",FT!B79*100,"")</f>
        <v>32.562000000000005</v>
      </c>
      <c r="H79" s="61">
        <f t="shared" si="9"/>
        <v>1</v>
      </c>
      <c r="I79" t="str">
        <f>IF(FT!B79&lt;&gt;"",FT!E79,"")</f>
        <v>2 [31.287867]</v>
      </c>
      <c r="J79">
        <f>IF(FT!B79&lt;&gt;"",FT!C79,"")</f>
        <v>31.2879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107747</v>
      </c>
      <c r="D80" s="61">
        <f>FH!B80*1</f>
        <v>107747</v>
      </c>
      <c r="E80">
        <f t="shared" si="11"/>
        <v>78</v>
      </c>
      <c r="F80" s="61">
        <f>IF(FT!A80&lt;&gt;"",FT!A80*10,"")</f>
        <v>3.6257000000000001</v>
      </c>
      <c r="G80" s="61">
        <f>IF(FT!B80&lt;&gt;"",FT!B80*100,"")</f>
        <v>32.763500000000001</v>
      </c>
      <c r="H80" s="61">
        <f t="shared" si="9"/>
        <v>1</v>
      </c>
      <c r="I80" t="str">
        <f>IF(FT!B80&lt;&gt;"",FT!E80,"")</f>
        <v>2 [31.694068]</v>
      </c>
      <c r="J80">
        <f>IF(FT!B80&lt;&gt;"",FT!C80,"")</f>
        <v>31.694099999999999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3.62439</v>
      </c>
      <c r="G81" s="61">
        <f>IF(FT!B81&lt;&gt;"",FT!B81*100,"")</f>
        <v>32.896500000000003</v>
      </c>
      <c r="H81" s="61">
        <f t="shared" si="9"/>
        <v>1</v>
      </c>
      <c r="I81" t="str">
        <f>IF(FT!B81&lt;&gt;"",FT!E81,"")</f>
        <v>2 [32.101779]</v>
      </c>
      <c r="J81">
        <f>IF(FT!B81&lt;&gt;"",FT!C81,"")</f>
        <v>32.101799999999997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115012</v>
      </c>
      <c r="D82" s="61">
        <f>FH!B82*1</f>
        <v>115012</v>
      </c>
      <c r="E82">
        <f t="shared" si="11"/>
        <v>80</v>
      </c>
      <c r="F82" s="61">
        <f>IF(FT!A82&lt;&gt;"",FT!A82*10,"")</f>
        <v>3.6238999999999999</v>
      </c>
      <c r="G82" s="61">
        <f>IF(FT!B82&lt;&gt;"",FT!B82*100,"")</f>
        <v>32.975100000000005</v>
      </c>
      <c r="H82" s="61">
        <f t="shared" si="9"/>
        <v>1</v>
      </c>
      <c r="I82" t="str">
        <f>IF(FT!B82&lt;&gt;"",FT!E82,"")</f>
        <v>2 [32.505678]</v>
      </c>
      <c r="J82">
        <f>IF(FT!B82&lt;&gt;"",FT!C82,"")</f>
        <v>32.505699999999997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3.6245599999999998</v>
      </c>
      <c r="G83" s="61">
        <f>IF(FT!B83&lt;&gt;"",FT!B83*100,"")</f>
        <v>32.980699999999999</v>
      </c>
      <c r="H83" s="61">
        <f t="shared" si="9"/>
        <v>1</v>
      </c>
      <c r="I83" t="str">
        <f>IF(FT!B83&lt;&gt;"",FT!E83,"")</f>
        <v>2 [32.910697]</v>
      </c>
      <c r="J83">
        <f>IF(FT!B83&lt;&gt;"",FT!C83,"")</f>
        <v>32.910699999999999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3.6286200000000002</v>
      </c>
      <c r="G84" s="61">
        <f>IF(FT!B84&lt;&gt;"",FT!B84*100,"")</f>
        <v>32.853000000000002</v>
      </c>
      <c r="H84" s="61">
        <f t="shared" si="9"/>
        <v>1</v>
      </c>
      <c r="I84" t="str">
        <f>IF(FT!B84&lt;&gt;"",FT!E84,"")</f>
        <v>2 [33.318594]</v>
      </c>
      <c r="J84">
        <f>IF(FT!B84&lt;&gt;"",FT!C84,"")</f>
        <v>33.318600000000004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118908</v>
      </c>
      <c r="D85" s="61">
        <f>FH!B85*1</f>
        <v>118908</v>
      </c>
      <c r="E85">
        <f t="shared" si="11"/>
        <v>83</v>
      </c>
      <c r="F85" s="61">
        <f>IF(FT!A85&lt;&gt;"",FT!A85*10,"")</f>
        <v>3.6385800000000001</v>
      </c>
      <c r="G85" s="61">
        <f>IF(FT!B85&lt;&gt;"",FT!B85*100,"")</f>
        <v>32.540700000000001</v>
      </c>
      <c r="H85" s="61">
        <f t="shared" si="9"/>
        <v>1</v>
      </c>
      <c r="I85" t="str">
        <f>IF(FT!B85&lt;&gt;"",FT!E85,"")</f>
        <v>2 [33.723568]</v>
      </c>
      <c r="J85">
        <f>IF(FT!B85&lt;&gt;"",FT!C85,"")</f>
        <v>33.723599999999998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3.6516900000000003</v>
      </c>
      <c r="G86" s="61">
        <f>IF(FT!B86&lt;&gt;"",FT!B86*100,"")</f>
        <v>32.159599999999998</v>
      </c>
      <c r="H86" s="61">
        <f t="shared" si="9"/>
        <v>1</v>
      </c>
      <c r="I86" t="str">
        <f>IF(FT!B86&lt;&gt;"",FT!E86,"")</f>
        <v>2 [34.133349]</v>
      </c>
      <c r="J86">
        <f>IF(FT!B86&lt;&gt;"",FT!C86,"")</f>
        <v>34.133299999999998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3.6672799999999999</v>
      </c>
      <c r="G87" s="61">
        <f>IF(FT!B87&lt;&gt;"",FT!B87*100,"")</f>
        <v>31.739299999999997</v>
      </c>
      <c r="H87" s="61">
        <f t="shared" si="9"/>
        <v>1</v>
      </c>
      <c r="I87" t="str">
        <f>IF(FT!B87&lt;&gt;"",FT!E87,"")</f>
        <v>2 [34.534301]</v>
      </c>
      <c r="J87">
        <f>IF(FT!B87&lt;&gt;"",FT!C87,"")</f>
        <v>34.534300000000002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110029</v>
      </c>
      <c r="D88" s="61">
        <f>FH!B88*1</f>
        <v>110029</v>
      </c>
      <c r="E88">
        <f t="shared" si="11"/>
        <v>86</v>
      </c>
      <c r="F88" s="61">
        <f>IF(FT!A88&lt;&gt;"",FT!A88*10,"")</f>
        <v>3.6817199999999999</v>
      </c>
      <c r="G88" s="61">
        <f>IF(FT!B88&lt;&gt;"",FT!B88*100,"")</f>
        <v>31.324400000000001</v>
      </c>
      <c r="H88" s="61">
        <f t="shared" si="9"/>
        <v>1</v>
      </c>
      <c r="I88" t="str">
        <f>IF(FT!B88&lt;&gt;"",FT!E88,"")</f>
        <v>2 [34.944352]</v>
      </c>
      <c r="J88">
        <f>IF(FT!B88&lt;&gt;"",FT!C88,"")</f>
        <v>34.944400000000002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3.69739</v>
      </c>
      <c r="G89" s="61">
        <f>IF(FT!B89&lt;&gt;"",FT!B89*100,"")</f>
        <v>30.822800000000001</v>
      </c>
      <c r="H89" s="61">
        <f t="shared" si="9"/>
        <v>1</v>
      </c>
      <c r="I89" t="str">
        <f>IF(FT!B89&lt;&gt;"",FT!E89,"")</f>
        <v>2 [35.348521]</v>
      </c>
      <c r="J89">
        <f>IF(FT!B89&lt;&gt;"",FT!C89,"")</f>
        <v>35.348500000000001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116420</v>
      </c>
      <c r="D90" s="61">
        <f>FH!B90*1</f>
        <v>116420</v>
      </c>
      <c r="E90">
        <f t="shared" si="11"/>
        <v>88</v>
      </c>
      <c r="F90" s="61">
        <f>IF(FT!A90&lt;&gt;"",FT!A90*10,"")</f>
        <v>3.7171900000000004</v>
      </c>
      <c r="G90" s="61">
        <f>IF(FT!B90&lt;&gt;"",FT!B90*100,"")</f>
        <v>30.213899999999999</v>
      </c>
      <c r="H90" s="61">
        <f t="shared" si="9"/>
        <v>1</v>
      </c>
      <c r="I90" t="str">
        <f>IF(FT!B90&lt;&gt;"",FT!E90,"")</f>
        <v>2 [35.753699]</v>
      </c>
      <c r="J90">
        <f>IF(FT!B90&lt;&gt;"",FT!C90,"")</f>
        <v>35.753700000000002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3.7424900000000001</v>
      </c>
      <c r="G91" s="61">
        <f>IF(FT!B91&lt;&gt;"",FT!B91*100,"")</f>
        <v>29.520000000000003</v>
      </c>
      <c r="H91" s="61">
        <f t="shared" si="9"/>
        <v>1</v>
      </c>
      <c r="I91" t="str">
        <f>IF(FT!B91&lt;&gt;"",FT!E91,"")</f>
        <v>2 [36.162913]</v>
      </c>
      <c r="J91">
        <f>IF(FT!B91&lt;&gt;"",FT!C91,"")</f>
        <v>36.1629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3.77311</v>
      </c>
      <c r="G92" s="61">
        <f>IF(FT!B92&lt;&gt;"",FT!B92*100,"")</f>
        <v>28.749099999999999</v>
      </c>
      <c r="H92" s="61">
        <f t="shared" si="9"/>
        <v>1</v>
      </c>
      <c r="I92" t="str">
        <f>IF(FT!B92&lt;&gt;"",FT!E92,"")</f>
        <v>2 [36.569769]</v>
      </c>
      <c r="J92">
        <f>IF(FT!B92&lt;&gt;"",FT!C92,"")</f>
        <v>36.569800000000001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113380</v>
      </c>
      <c r="D93" s="61">
        <f>FH!B93*1</f>
        <v>113380</v>
      </c>
      <c r="E93">
        <f t="shared" si="11"/>
        <v>91</v>
      </c>
      <c r="F93" s="61">
        <f>IF(FT!A93&lt;&gt;"",FT!A93*10,"")</f>
        <v>3.8046000000000002</v>
      </c>
      <c r="G93" s="61">
        <f>IF(FT!B93&lt;&gt;"",FT!B93*100,"")</f>
        <v>28.053599999999999</v>
      </c>
      <c r="H93" s="61">
        <f t="shared" si="9"/>
        <v>1</v>
      </c>
      <c r="I93" t="str">
        <f>IF(FT!B93&lt;&gt;"",FT!E93,"")</f>
        <v>2 [36.973739]</v>
      </c>
      <c r="J93">
        <f>IF(FT!B93&lt;&gt;"",FT!C93,"")</f>
        <v>36.973700000000001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3.83657</v>
      </c>
      <c r="G94" s="61">
        <f>IF(FT!B94&lt;&gt;"",FT!B94*100,"")</f>
        <v>27.391399999999997</v>
      </c>
      <c r="H94" s="61">
        <f t="shared" si="9"/>
        <v>1</v>
      </c>
      <c r="I94" t="str">
        <f>IF(FT!B94&lt;&gt;"",FT!E94,"")</f>
        <v>2 [37.379693]</v>
      </c>
      <c r="J94">
        <f>IF(FT!B94&lt;&gt;"",FT!C94,"")</f>
        <v>37.3797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118766</v>
      </c>
      <c r="D95" s="61">
        <f>FH!B95*1</f>
        <v>118766</v>
      </c>
      <c r="E95">
        <f t="shared" si="11"/>
        <v>93</v>
      </c>
      <c r="F95" s="61">
        <f>IF(FT!A95&lt;&gt;"",FT!A95*10,"")</f>
        <v>3.86917</v>
      </c>
      <c r="G95" s="61">
        <f>IF(FT!B95&lt;&gt;"",FT!B95*100,"")</f>
        <v>26.664999999999999</v>
      </c>
      <c r="H95" s="61">
        <f t="shared" si="9"/>
        <v>1</v>
      </c>
      <c r="I95" t="str">
        <f>IF(FT!B95&lt;&gt;"",FT!E95,"")</f>
        <v>2 [37.785480]</v>
      </c>
      <c r="J95">
        <f>IF(FT!B95&lt;&gt;"",FT!C95,"")</f>
        <v>37.785499999999999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3.9027000000000003</v>
      </c>
      <c r="G96" s="61">
        <f>IF(FT!B96&lt;&gt;"",FT!B96*100,"")</f>
        <v>25.854500000000002</v>
      </c>
      <c r="H96" s="61">
        <f t="shared" si="9"/>
        <v>1</v>
      </c>
      <c r="I96" t="str">
        <f>IF(FT!B96&lt;&gt;"",FT!E96,"")</f>
        <v>2 [38.192637]</v>
      </c>
      <c r="J96">
        <f>IF(FT!B96&lt;&gt;"",FT!C96,"")</f>
        <v>38.192599999999999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3.93675</v>
      </c>
      <c r="G97" s="61">
        <f>IF(FT!B97&lt;&gt;"",FT!B97*100,"")</f>
        <v>25.022499999999997</v>
      </c>
      <c r="H97" s="61">
        <f t="shared" si="9"/>
        <v>1</v>
      </c>
      <c r="I97" t="str">
        <f>IF(FT!B97&lt;&gt;"",FT!E97,"")</f>
        <v>2 [38.602327]</v>
      </c>
      <c r="J97">
        <f>IF(FT!B97&lt;&gt;"",FT!C97,"")</f>
        <v>38.6023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119164</v>
      </c>
      <c r="D98" s="61">
        <f>FH!B98*1</f>
        <v>119164</v>
      </c>
      <c r="E98">
        <f t="shared" si="11"/>
        <v>96</v>
      </c>
      <c r="F98" s="61">
        <f>IF(FT!A98&lt;&gt;"",FT!A98*10,"")</f>
        <v>3.9657300000000002</v>
      </c>
      <c r="G98" s="61">
        <f>IF(FT!B98&lt;&gt;"",FT!B98*100,"")</f>
        <v>24.230399999999999</v>
      </c>
      <c r="H98" s="61">
        <f t="shared" si="9"/>
        <v>1</v>
      </c>
      <c r="I98" t="str">
        <f>IF(FT!B98&lt;&gt;"",FT!E98,"")</f>
        <v>2 [39.005606]</v>
      </c>
      <c r="J98">
        <f>IF(FT!B98&lt;&gt;"",FT!C98,"")</f>
        <v>39.005600000000001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3.98706</v>
      </c>
      <c r="G99" s="61">
        <f>IF(FT!B99&lt;&gt;"",FT!B99*100,"")</f>
        <v>23.655999999999999</v>
      </c>
      <c r="H99" s="61">
        <f t="shared" si="9"/>
        <v>1</v>
      </c>
      <c r="I99" t="str">
        <f>IF(FT!B99&lt;&gt;"",FT!E99,"")</f>
        <v>2 [39.414163]</v>
      </c>
      <c r="J99">
        <f>IF(FT!B99&lt;&gt;"",FT!C99,"")</f>
        <v>39.414200000000001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119302</v>
      </c>
      <c r="D100" s="61">
        <f>FH!B100*1</f>
        <v>119302</v>
      </c>
      <c r="E100">
        <f t="shared" si="11"/>
        <v>98</v>
      </c>
      <c r="F100" s="61">
        <f>IF(FT!A100&lt;&gt;"",FT!A100*10,"")</f>
        <v>4.0104699999999998</v>
      </c>
      <c r="G100" s="61">
        <f>IF(FT!B100&lt;&gt;"",FT!B100*100,"")</f>
        <v>23.271900000000002</v>
      </c>
      <c r="H100" s="61">
        <f t="shared" si="9"/>
        <v>1</v>
      </c>
      <c r="I100" t="str">
        <f>IF(FT!B100&lt;&gt;"",FT!E100,"")</f>
        <v>2 [39.819262]</v>
      </c>
      <c r="J100">
        <f>IF(FT!B100&lt;&gt;"",FT!C100,"")</f>
        <v>39.819299999999998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4.0372200000000005</v>
      </c>
      <c r="G101" s="61">
        <f>IF(FT!B101&lt;&gt;"",FT!B101*100,"")</f>
        <v>22.881999999999998</v>
      </c>
      <c r="H101" s="61">
        <f t="shared" si="9"/>
        <v>1</v>
      </c>
      <c r="I101" t="str">
        <f>IF(FT!B101&lt;&gt;"",FT!E101,"")</f>
        <v>2 [40.222145]</v>
      </c>
      <c r="J101">
        <f>IF(FT!B101&lt;&gt;"",FT!C101,"")</f>
        <v>40.222099999999998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4.0619100000000001</v>
      </c>
      <c r="G102" s="61">
        <f>IF(FT!B102&lt;&gt;"",FT!B102*100,"")</f>
        <v>22.510400000000001</v>
      </c>
      <c r="H102" s="61">
        <f t="shared" si="9"/>
        <v>1</v>
      </c>
      <c r="I102" t="str">
        <f>IF(FT!B102&lt;&gt;"",FT!E102,"")</f>
        <v>2 [40.633948]</v>
      </c>
      <c r="J102">
        <f>IF(FT!B102&lt;&gt;"",FT!C102,"")</f>
        <v>40.633899999999997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117438</v>
      </c>
      <c r="D103" s="61">
        <f>FH!B103*1</f>
        <v>117438</v>
      </c>
      <c r="E103">
        <f t="shared" si="11"/>
        <v>101</v>
      </c>
      <c r="F103" s="61">
        <f>IF(FT!A103&lt;&gt;"",FT!A103*10,"")</f>
        <v>4.0914299999999999</v>
      </c>
      <c r="G103" s="61">
        <f>IF(FT!B103&lt;&gt;"",FT!B103*100,"")</f>
        <v>22.046700000000001</v>
      </c>
      <c r="H103" s="61">
        <f t="shared" si="9"/>
        <v>1</v>
      </c>
      <c r="I103" t="str">
        <f>IF(FT!B103&lt;&gt;"",FT!E103,"")</f>
        <v>2 [41.040873]</v>
      </c>
      <c r="J103">
        <f>IF(FT!B103&lt;&gt;"",FT!C103,"")</f>
        <v>41.040900000000001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4.1197600000000003</v>
      </c>
      <c r="G104" s="61">
        <f>IF(FT!B104&lt;&gt;"",FT!B104*100,"")</f>
        <v>21.581</v>
      </c>
      <c r="H104" s="61">
        <f t="shared" si="9"/>
        <v>1</v>
      </c>
      <c r="I104" t="str">
        <f>IF(FT!B104&lt;&gt;"",FT!E104,"")</f>
        <v>2 [41.444709]</v>
      </c>
      <c r="J104">
        <f>IF(FT!B104&lt;&gt;"",FT!C104,"")</f>
        <v>41.444699999999997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4.1472999999999995</v>
      </c>
      <c r="G105" s="61">
        <f>IF(FT!B105&lt;&gt;"",FT!B105*100,"")</f>
        <v>21.167200000000001</v>
      </c>
      <c r="H105" s="61">
        <f t="shared" si="9"/>
        <v>1</v>
      </c>
      <c r="I105" t="str">
        <f>IF(FT!B105&lt;&gt;"",FT!E105,"")</f>
        <v>2 [41.849759]</v>
      </c>
      <c r="J105">
        <f>IF(FT!B105&lt;&gt;"",FT!C105,"")</f>
        <v>41.849800000000002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116888</v>
      </c>
      <c r="D106" s="61">
        <f>FH!B106*1</f>
        <v>116888</v>
      </c>
      <c r="E106">
        <f t="shared" si="11"/>
        <v>104</v>
      </c>
      <c r="F106" s="61">
        <f>IF(FT!A106&lt;&gt;"",FT!A106*10,"")</f>
        <v>4.1760599999999997</v>
      </c>
      <c r="G106" s="61">
        <f>IF(FT!B106&lt;&gt;"",FT!B106*100,"")</f>
        <v>20.6996</v>
      </c>
      <c r="H106" s="61">
        <f t="shared" si="9"/>
        <v>1</v>
      </c>
      <c r="I106" t="str">
        <f>IF(FT!B106&lt;&gt;"",FT!E106,"")</f>
        <v>2 [42.256823]</v>
      </c>
      <c r="J106">
        <f>IF(FT!B106&lt;&gt;"",FT!C106,"")</f>
        <v>42.256799999999998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4.2066400000000002</v>
      </c>
      <c r="G107" s="61">
        <f>IF(FT!B107&lt;&gt;"",FT!B107*100,"")</f>
        <v>20.2438</v>
      </c>
      <c r="H107" s="61">
        <f t="shared" si="9"/>
        <v>1</v>
      </c>
      <c r="I107" t="str">
        <f>IF(FT!B107&lt;&gt;"",FT!E107,"")</f>
        <v>2 [42.665468]</v>
      </c>
      <c r="J107">
        <f>IF(FT!B107&lt;&gt;"",FT!C107,"")</f>
        <v>42.665500000000002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115590</v>
      </c>
      <c r="D108" s="61">
        <f>FH!B108*1</f>
        <v>115590</v>
      </c>
      <c r="E108">
        <f t="shared" si="11"/>
        <v>106</v>
      </c>
      <c r="F108" s="61">
        <f>IF(FT!A108&lt;&gt;"",FT!A108*10,"")</f>
        <v>4.2405299999999997</v>
      </c>
      <c r="G108" s="61">
        <f>IF(FT!B108&lt;&gt;"",FT!B108*100,"")</f>
        <v>19.7196</v>
      </c>
      <c r="H108" s="61">
        <f t="shared" si="9"/>
        <v>1</v>
      </c>
      <c r="I108" t="str">
        <f>IF(FT!B108&lt;&gt;"",FT!E108,"")</f>
        <v>2 [43.072434]</v>
      </c>
      <c r="J108">
        <f>IF(FT!B108&lt;&gt;"",FT!C108,"")</f>
        <v>43.072400000000002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4.2744499999999999</v>
      </c>
      <c r="G109" s="61">
        <f>IF(FT!B109&lt;&gt;"",FT!B109*100,"")</f>
        <v>19.220699999999997</v>
      </c>
      <c r="H109" s="61">
        <f t="shared" si="9"/>
        <v>1</v>
      </c>
      <c r="I109" t="str">
        <f>IF(FT!B109&lt;&gt;"",FT!E109,"")</f>
        <v>2 [43.474365]</v>
      </c>
      <c r="J109">
        <f>IF(FT!B109&lt;&gt;"",FT!C109,"")</f>
        <v>43.474400000000003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4.3024100000000001</v>
      </c>
      <c r="G110" s="61">
        <f>IF(FT!B110&lt;&gt;"",FT!B110*100,"")</f>
        <v>18.8475</v>
      </c>
      <c r="H110" s="61">
        <f t="shared" si="9"/>
        <v>1</v>
      </c>
      <c r="I110" t="str">
        <f>IF(FT!B110&lt;&gt;"",FT!E110,"")</f>
        <v>2 [43.881207]</v>
      </c>
      <c r="J110">
        <f>IF(FT!B110&lt;&gt;"",FT!C110,"")</f>
        <v>43.8812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118880</v>
      </c>
      <c r="D111" s="61">
        <f>FH!B111*1</f>
        <v>118880</v>
      </c>
      <c r="E111">
        <f t="shared" si="11"/>
        <v>109</v>
      </c>
      <c r="F111" s="61">
        <f>IF(FT!A111&lt;&gt;"",FT!A111*10,"")</f>
        <v>4.3292799999999998</v>
      </c>
      <c r="G111" s="61">
        <f>IF(FT!B111&lt;&gt;"",FT!B111*100,"")</f>
        <v>18.540799999999997</v>
      </c>
      <c r="H111" s="61">
        <f t="shared" si="9"/>
        <v>1</v>
      </c>
      <c r="I111" t="str">
        <f>IF(FT!B111&lt;&gt;"",FT!E111,"")</f>
        <v>2 [44.287274]</v>
      </c>
      <c r="J111">
        <f>IF(FT!B111&lt;&gt;"",FT!C111,"")</f>
        <v>44.287300000000002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4.3519600000000001</v>
      </c>
      <c r="G112" s="61">
        <f>IF(FT!B112&lt;&gt;"",FT!B112*100,"")</f>
        <v>18.3279</v>
      </c>
      <c r="H112" s="61">
        <f t="shared" si="9"/>
        <v>1</v>
      </c>
      <c r="I112" t="str">
        <f>IF(FT!B112&lt;&gt;"",FT!E112,"")</f>
        <v>2 [44.692004]</v>
      </c>
      <c r="J112">
        <f>IF(FT!B112&lt;&gt;"",FT!C112,"")</f>
        <v>44.692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126161</v>
      </c>
      <c r="D113" s="61">
        <f>FH!B113*1</f>
        <v>126161</v>
      </c>
      <c r="E113">
        <f t="shared" si="11"/>
        <v>111</v>
      </c>
      <c r="F113" s="61">
        <f>IF(FT!A113&lt;&gt;"",FT!A113*10,"")</f>
        <v>4.3745899999999995</v>
      </c>
      <c r="G113" s="61">
        <f>IF(FT!B113&lt;&gt;"",FT!B113*100,"")</f>
        <v>18.154400000000003</v>
      </c>
      <c r="H113" s="61">
        <f t="shared" si="9"/>
        <v>1</v>
      </c>
      <c r="I113" t="str">
        <f>IF(FT!B113&lt;&gt;"",FT!E113,"")</f>
        <v>2 [45.099964]</v>
      </c>
      <c r="J113">
        <f>IF(FT!B113&lt;&gt;"",FT!C113,"")</f>
        <v>45.1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4.3993099999999998</v>
      </c>
      <c r="G114" s="61">
        <f>IF(FT!B114&lt;&gt;"",FT!B114*100,"")</f>
        <v>17.996599999999997</v>
      </c>
      <c r="H114" s="61">
        <f t="shared" si="9"/>
        <v>1</v>
      </c>
      <c r="I114" t="str">
        <f>IF(FT!B114&lt;&gt;"",FT!E114,"")</f>
        <v>2 [45.505037]</v>
      </c>
      <c r="J114">
        <f>IF(FT!B114&lt;&gt;"",FT!C114,"")</f>
        <v>45.505000000000003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4.4231300000000005</v>
      </c>
      <c r="G115" s="61">
        <f>IF(FT!B115&lt;&gt;"",FT!B115*100,"")</f>
        <v>17.881700000000002</v>
      </c>
      <c r="H115" s="61">
        <f t="shared" si="9"/>
        <v>1</v>
      </c>
      <c r="I115" t="str">
        <f>IF(FT!B115&lt;&gt;"",FT!E115,"")</f>
        <v>2 [45.913775]</v>
      </c>
      <c r="J115">
        <f>IF(FT!B115&lt;&gt;"",FT!C115,"")</f>
        <v>45.913800000000002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127991</v>
      </c>
      <c r="D116" s="61">
        <f>FH!B116*1</f>
        <v>127991</v>
      </c>
      <c r="E116">
        <f t="shared" si="11"/>
        <v>114</v>
      </c>
      <c r="F116" s="61">
        <f>IF(FT!A116&lt;&gt;"",FT!A116*10,"")</f>
        <v>4.4459799999999996</v>
      </c>
      <c r="G116" s="61">
        <f>IF(FT!B116&lt;&gt;"",FT!B116*100,"")</f>
        <v>17.7529</v>
      </c>
      <c r="H116" s="61">
        <f t="shared" si="9"/>
        <v>1</v>
      </c>
      <c r="I116" t="str">
        <f>IF(FT!B116&lt;&gt;"",FT!E116,"")</f>
        <v>2 [46.318324]</v>
      </c>
      <c r="J116">
        <f>IF(FT!B116&lt;&gt;"",FT!C116,"")</f>
        <v>46.318300000000001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4.4662800000000002</v>
      </c>
      <c r="G117" s="61">
        <f>IF(FT!B117&lt;&gt;"",FT!B117*100,"")</f>
        <v>17.6509</v>
      </c>
      <c r="H117" s="61">
        <f t="shared" si="9"/>
        <v>1</v>
      </c>
      <c r="I117" t="str">
        <f>IF(FT!B117&lt;&gt;"",FT!E117,"")</f>
        <v>2 [46.723638]</v>
      </c>
      <c r="J117">
        <f>IF(FT!B117&lt;&gt;"",FT!C117,"")</f>
        <v>46.723599999999998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122813</v>
      </c>
      <c r="D118" s="61">
        <f>FH!B118*1</f>
        <v>122813</v>
      </c>
      <c r="E118">
        <f t="shared" si="11"/>
        <v>116</v>
      </c>
      <c r="F118" s="61">
        <f>IF(FT!A118&lt;&gt;"",FT!A118*10,"")</f>
        <v>4.48529</v>
      </c>
      <c r="G118" s="61">
        <f>IF(FT!B118&lt;&gt;"",FT!B118*100,"")</f>
        <v>17.560100000000002</v>
      </c>
      <c r="H118" s="61">
        <f t="shared" si="9"/>
        <v>1</v>
      </c>
      <c r="I118" t="str">
        <f>IF(FT!B118&lt;&gt;"",FT!E118,"")</f>
        <v>2 [47.128553]</v>
      </c>
      <c r="J118">
        <f>IF(FT!B118&lt;&gt;"",FT!C118,"")</f>
        <v>47.128599999999999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4.5015000000000001</v>
      </c>
      <c r="G119" s="61">
        <f>IF(FT!B119&lt;&gt;"",FT!B119*100,"")</f>
        <v>17.514099999999999</v>
      </c>
      <c r="H119" s="61">
        <f t="shared" si="9"/>
        <v>1</v>
      </c>
      <c r="I119" t="str">
        <f>IF(FT!B119&lt;&gt;"",FT!E119,"")</f>
        <v>2 [47.537399]</v>
      </c>
      <c r="J119">
        <f>IF(FT!B119&lt;&gt;"",FT!C119,"")</f>
        <v>47.537399999999998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4.5109700000000004</v>
      </c>
      <c r="G120" s="61">
        <f>IF(FT!B120&lt;&gt;"",FT!B120*100,"")</f>
        <v>17.580399999999997</v>
      </c>
      <c r="H120" s="61">
        <f t="shared" si="9"/>
        <v>1</v>
      </c>
      <c r="I120" t="str">
        <f>IF(FT!B120&lt;&gt;"",FT!E120,"")</f>
        <v>2 [47.940310]</v>
      </c>
      <c r="J120">
        <f>IF(FT!B120&lt;&gt;"",FT!C120,"")</f>
        <v>47.940300000000001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126230</v>
      </c>
      <c r="D121" s="61">
        <f>FH!B121*1</f>
        <v>126230</v>
      </c>
      <c r="E121">
        <f t="shared" si="11"/>
        <v>119</v>
      </c>
      <c r="F121" s="61">
        <f>IF(FT!A121&lt;&gt;"",FT!A121*10,"")</f>
        <v>4.5155000000000003</v>
      </c>
      <c r="G121" s="61">
        <f>IF(FT!B121&lt;&gt;"",FT!B121*100,"")</f>
        <v>17.698399999999999</v>
      </c>
      <c r="H121" s="61">
        <f t="shared" si="9"/>
        <v>1</v>
      </c>
      <c r="I121" t="str">
        <f>IF(FT!B121&lt;&gt;"",FT!E121,"")</f>
        <v>2 [48.353455]</v>
      </c>
      <c r="J121">
        <f>IF(FT!B121&lt;&gt;"",FT!C121,"")</f>
        <v>48.353499999999997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4.51424</v>
      </c>
      <c r="G122" s="61">
        <f>IF(FT!B122&lt;&gt;"",FT!B122*100,"")</f>
        <v>17.835000000000001</v>
      </c>
      <c r="H122" s="61">
        <f t="shared" si="9"/>
        <v>1</v>
      </c>
      <c r="I122" t="str">
        <f>IF(FT!B122&lt;&gt;"",FT!E122,"")</f>
        <v>2 [48.758219]</v>
      </c>
      <c r="J122">
        <f>IF(FT!B122&lt;&gt;"",FT!C122,"")</f>
        <v>48.758200000000002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4.5110799999999998</v>
      </c>
      <c r="G123" s="61">
        <f>IF(FT!B123&lt;&gt;"",FT!B123*100,"")</f>
        <v>18.009399999999999</v>
      </c>
      <c r="H123" s="61">
        <f t="shared" si="9"/>
        <v>1</v>
      </c>
      <c r="I123" t="str">
        <f>IF(FT!B123&lt;&gt;"",FT!E123,"")</f>
        <v>2 [49.162061]</v>
      </c>
      <c r="J123">
        <f>IF(FT!B123&lt;&gt;"",FT!C123,"")</f>
        <v>49.162100000000002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118569</v>
      </c>
      <c r="D124" s="61">
        <f>FH!B124*1</f>
        <v>118569</v>
      </c>
      <c r="E124">
        <f t="shared" si="11"/>
        <v>122</v>
      </c>
      <c r="F124" s="61">
        <f>IF(FT!A124&lt;&gt;"",FT!A124*10,"")</f>
        <v>4.5072999999999999</v>
      </c>
      <c r="G124" s="61">
        <f>IF(FT!B124&lt;&gt;"",FT!B124*100,"")</f>
        <v>18.226600000000001</v>
      </c>
      <c r="H124" s="61">
        <f t="shared" si="9"/>
        <v>1</v>
      </c>
      <c r="I124" t="str">
        <f>IF(FT!B124&lt;&gt;"",FT!E124,"")</f>
        <v>2 [49.569265]</v>
      </c>
      <c r="J124">
        <f>IF(FT!B124&lt;&gt;"",FT!C124,"")</f>
        <v>49.569299999999998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4.5015999999999998</v>
      </c>
      <c r="G125" s="61">
        <f>IF(FT!B125&lt;&gt;"",FT!B125*100,"")</f>
        <v>18.520500000000002</v>
      </c>
      <c r="H125" s="61">
        <f t="shared" si="9"/>
        <v>1</v>
      </c>
      <c r="I125" t="str">
        <f>IF(FT!B125&lt;&gt;"",FT!E125,"")</f>
        <v>2 [49.976996]</v>
      </c>
      <c r="J125">
        <f>IF(FT!B125&lt;&gt;"",FT!C125,"")</f>
        <v>49.976999999999997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118881</v>
      </c>
      <c r="D126" s="61">
        <f>FH!B126*1</f>
        <v>118881</v>
      </c>
      <c r="E126">
        <f t="shared" si="11"/>
        <v>124</v>
      </c>
      <c r="F126" s="61">
        <f>IF(FT!A126&lt;&gt;"",FT!A126*10,"")</f>
        <v>4.5008599999999994</v>
      </c>
      <c r="G126" s="61">
        <f>IF(FT!B126&lt;&gt;"",FT!B126*100,"")</f>
        <v>18.683900000000001</v>
      </c>
      <c r="H126" s="61">
        <f t="shared" si="9"/>
        <v>1</v>
      </c>
      <c r="I126" t="str">
        <f>IF(FT!B126&lt;&gt;"",FT!E126,"")</f>
        <v>2 [50.382920]</v>
      </c>
      <c r="J126">
        <f>IF(FT!B126&lt;&gt;"",FT!C126,"")</f>
        <v>50.382899999999999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4.5082800000000001</v>
      </c>
      <c r="G127" s="61">
        <f>IF(FT!B127&lt;&gt;"",FT!B127*100,"")</f>
        <v>18.7239</v>
      </c>
      <c r="H127" s="61">
        <f t="shared" si="9"/>
        <v>1</v>
      </c>
      <c r="I127" t="str">
        <f>IF(FT!B127&lt;&gt;"",FT!E127,"")</f>
        <v>2 [50.788744]</v>
      </c>
      <c r="J127">
        <f>IF(FT!B127&lt;&gt;"",FT!C127,"")</f>
        <v>50.788699999999999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4.5118799999999997</v>
      </c>
      <c r="G128" s="61">
        <f>IF(FT!B128&lt;&gt;"",FT!B128*100,"")</f>
        <v>18.793599999999998</v>
      </c>
      <c r="H128" s="61">
        <f t="shared" si="9"/>
        <v>1</v>
      </c>
      <c r="I128" t="str">
        <f>IF(FT!B128&lt;&gt;"",FT!E128,"")</f>
        <v>2 [51.191788]</v>
      </c>
      <c r="J128">
        <f>IF(FT!B128&lt;&gt;"",FT!C128,"")</f>
        <v>51.191800000000001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118636</v>
      </c>
      <c r="D129" s="61">
        <f>FH!B129*1</f>
        <v>118636</v>
      </c>
      <c r="E129">
        <f t="shared" si="11"/>
        <v>127</v>
      </c>
      <c r="F129" s="61">
        <f>IF(FT!A129&lt;&gt;"",FT!A129*10,"")</f>
        <v>4.5151700000000003</v>
      </c>
      <c r="G129" s="61">
        <f>IF(FT!B129&lt;&gt;"",FT!B129*100,"")</f>
        <v>18.8779</v>
      </c>
      <c r="H129" s="61">
        <f t="shared" si="9"/>
        <v>1</v>
      </c>
      <c r="I129" t="str">
        <f>IF(FT!B129&lt;&gt;"",FT!E129,"")</f>
        <v>2 [51.597732]</v>
      </c>
      <c r="J129">
        <f>IF(FT!B129&lt;&gt;"",FT!C129,"")</f>
        <v>51.597700000000003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4.5175700000000001</v>
      </c>
      <c r="G130" s="61">
        <f>IF(FT!B130&lt;&gt;"",FT!B130*100,"")</f>
        <v>18.960599999999999</v>
      </c>
      <c r="H130" s="61">
        <f t="shared" si="9"/>
        <v>1</v>
      </c>
      <c r="I130" t="str">
        <f>IF(FT!B130&lt;&gt;"",FT!E130,"")</f>
        <v>2 [52.003633]</v>
      </c>
      <c r="J130">
        <f>IF(FT!B130&lt;&gt;"",FT!C130,"")</f>
        <v>52.003599999999999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114501</v>
      </c>
      <c r="D131" s="61">
        <f>FH!B131*1</f>
        <v>114501</v>
      </c>
      <c r="E131">
        <f t="shared" si="11"/>
        <v>129</v>
      </c>
      <c r="F131" s="61">
        <f>IF(FT!A131&lt;&gt;"",FT!A131*10,"")</f>
        <v>4.5172699999999999</v>
      </c>
      <c r="G131" s="61">
        <f>IF(FT!B131&lt;&gt;"",FT!B131*100,"")</f>
        <v>19.102800000000002</v>
      </c>
      <c r="H131" s="61">
        <f t="shared" ref="H131:H194" si="13">(IF(F131&lt;&gt;"",1,""))</f>
        <v>1</v>
      </c>
      <c r="I131" t="str">
        <f>IF(FT!B131&lt;&gt;"",FT!E131,"")</f>
        <v>2 [52.410396]</v>
      </c>
      <c r="J131">
        <f>IF(FT!B131&lt;&gt;"",FT!C131,"")</f>
        <v>52.410400000000003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4.5151700000000003</v>
      </c>
      <c r="G132" s="61">
        <f>IF(FT!B132&lt;&gt;"",FT!B132*100,"")</f>
        <v>19.248899999999999</v>
      </c>
      <c r="H132" s="61">
        <f t="shared" si="13"/>
        <v>1</v>
      </c>
      <c r="I132" t="str">
        <f>IF(FT!B132&lt;&gt;"",FT!E132,"")</f>
        <v>2 [52.819508]</v>
      </c>
      <c r="J132">
        <f>IF(FT!B132&lt;&gt;"",FT!C132,"")</f>
        <v>52.819499999999998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4.5078300000000002</v>
      </c>
      <c r="G133" s="61">
        <f>IF(FT!B133&lt;&gt;"",FT!B133*100,"")</f>
        <v>19.501200000000001</v>
      </c>
      <c r="H133" s="61">
        <f t="shared" si="13"/>
        <v>1</v>
      </c>
      <c r="I133" t="str">
        <f>IF(FT!B133&lt;&gt;"",FT!E133,"")</f>
        <v>2 [53.225204]</v>
      </c>
      <c r="J133">
        <f>IF(FT!B133&lt;&gt;"",FT!C133,"")</f>
        <v>53.225200000000001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112701</v>
      </c>
      <c r="D134" s="61">
        <f>FH!B134*1</f>
        <v>112701</v>
      </c>
      <c r="E134">
        <f t="shared" si="15"/>
        <v>132</v>
      </c>
      <c r="F134" s="61">
        <f>IF(FT!A134&lt;&gt;"",FT!A134*10,"")</f>
        <v>4.4965999999999999</v>
      </c>
      <c r="G134" s="61">
        <f>IF(FT!B134&lt;&gt;"",FT!B134*100,"")</f>
        <v>19.831499999999998</v>
      </c>
      <c r="H134" s="61">
        <f t="shared" si="13"/>
        <v>1</v>
      </c>
      <c r="I134" t="str">
        <f>IF(FT!B134&lt;&gt;"",FT!E134,"")</f>
        <v>2 [53.634167]</v>
      </c>
      <c r="J134">
        <f>IF(FT!B134&lt;&gt;"",FT!C134,"")</f>
        <v>53.6342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4.48787</v>
      </c>
      <c r="G135" s="61">
        <f>IF(FT!B135&lt;&gt;"",FT!B135*100,"")</f>
        <v>20.101800000000001</v>
      </c>
      <c r="H135" s="61">
        <f t="shared" si="13"/>
        <v>1</v>
      </c>
      <c r="I135" t="str">
        <f>IF(FT!B135&lt;&gt;"",FT!E135,"")</f>
        <v>2 [54.039111]</v>
      </c>
      <c r="J135">
        <f>IF(FT!B135&lt;&gt;"",FT!C135,"")</f>
        <v>54.039099999999998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117965</v>
      </c>
      <c r="D136" s="61">
        <f>FH!B136*1</f>
        <v>117965</v>
      </c>
      <c r="E136">
        <f t="shared" si="15"/>
        <v>134</v>
      </c>
      <c r="F136" s="61">
        <f>IF(FT!A136&lt;&gt;"",FT!A136*10,"")</f>
        <v>4.4798299999999998</v>
      </c>
      <c r="G136" s="61">
        <f>IF(FT!B136&lt;&gt;"",FT!B136*100,"")</f>
        <v>20.341100000000001</v>
      </c>
      <c r="H136" s="61">
        <f t="shared" si="13"/>
        <v>1</v>
      </c>
      <c r="I136" t="str">
        <f>IF(FT!B136&lt;&gt;"",FT!E136,"")</f>
        <v>2 [54.444985]</v>
      </c>
      <c r="J136">
        <f>IF(FT!B136&lt;&gt;"",FT!C136,"")</f>
        <v>54.445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4.4758199999999997</v>
      </c>
      <c r="G137" s="61">
        <f>IF(FT!B137&lt;&gt;"",FT!B137*100,"")</f>
        <v>20.505399999999998</v>
      </c>
      <c r="H137" s="61">
        <f t="shared" si="13"/>
        <v>1</v>
      </c>
      <c r="I137" t="str">
        <f>IF(FT!B137&lt;&gt;"",FT!E137,"")</f>
        <v>2 [54.850956]</v>
      </c>
      <c r="J137">
        <f>IF(FT!B137&lt;&gt;"",FT!C137,"")</f>
        <v>54.850999999999999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4.4695600000000004</v>
      </c>
      <c r="G138" s="61">
        <f>IF(FT!B138&lt;&gt;"",FT!B138*100,"")</f>
        <v>20.657700000000002</v>
      </c>
      <c r="H138" s="61">
        <f t="shared" si="13"/>
        <v>1</v>
      </c>
      <c r="I138" t="str">
        <f>IF(FT!B138&lt;&gt;"",FT!E138,"")</f>
        <v>2 [55.259866]</v>
      </c>
      <c r="J138">
        <f>IF(FT!B138&lt;&gt;"",FT!C138,"")</f>
        <v>55.259900000000002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113071</v>
      </c>
      <c r="D139" s="61">
        <f>FH!B139*1</f>
        <v>113071</v>
      </c>
      <c r="E139">
        <f t="shared" si="15"/>
        <v>137</v>
      </c>
      <c r="F139" s="61">
        <f>IF(FT!A139&lt;&gt;"",FT!A139*10,"")</f>
        <v>4.45702</v>
      </c>
      <c r="G139" s="61">
        <f>IF(FT!B139&lt;&gt;"",FT!B139*100,"")</f>
        <v>20.896600000000003</v>
      </c>
      <c r="H139" s="61">
        <f t="shared" si="13"/>
        <v>1</v>
      </c>
      <c r="I139" t="str">
        <f>IF(FT!B139&lt;&gt;"",FT!E139,"")</f>
        <v>2 [55.662744]</v>
      </c>
      <c r="J139">
        <f>IF(FT!B139&lt;&gt;"",FT!C139,"")</f>
        <v>55.662700000000001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4.4390700000000001</v>
      </c>
      <c r="G140" s="61">
        <f>IF(FT!B140&lt;&gt;"",FT!B140*100,"")</f>
        <v>21.199000000000002</v>
      </c>
      <c r="H140" s="61">
        <f t="shared" si="13"/>
        <v>1</v>
      </c>
      <c r="I140" t="str">
        <f>IF(FT!B140&lt;&gt;"",FT!E140,"")</f>
        <v>2 [56.070754]</v>
      </c>
      <c r="J140">
        <f>IF(FT!B140&lt;&gt;"",FT!C140,"")</f>
        <v>56.070799999999998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4.4138599999999997</v>
      </c>
      <c r="G141" s="61">
        <f>IF(FT!B141&lt;&gt;"",FT!B141*100,"")</f>
        <v>21.683499999999999</v>
      </c>
      <c r="H141" s="61">
        <f t="shared" si="13"/>
        <v>1</v>
      </c>
      <c r="I141" t="str">
        <f>IF(FT!B141&lt;&gt;"",FT!E141,"")</f>
        <v>2 [56.472677]</v>
      </c>
      <c r="J141">
        <f>IF(FT!B141&lt;&gt;"",FT!C141,"")</f>
        <v>56.472700000000003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100190</v>
      </c>
      <c r="D142" s="61">
        <f>FH!B142*1</f>
        <v>100190</v>
      </c>
      <c r="E142">
        <f t="shared" si="15"/>
        <v>140</v>
      </c>
      <c r="F142" s="61">
        <f>IF(FT!A142&lt;&gt;"",FT!A142*10,"")</f>
        <v>4.3818200000000003</v>
      </c>
      <c r="G142" s="61">
        <f>IF(FT!B142&lt;&gt;"",FT!B142*100,"")</f>
        <v>22.334200000000003</v>
      </c>
      <c r="H142" s="61">
        <f t="shared" si="13"/>
        <v>1</v>
      </c>
      <c r="I142" t="str">
        <f>IF(FT!B142&lt;&gt;"",FT!E142,"")</f>
        <v>2 [56.878562]</v>
      </c>
      <c r="J142">
        <f>IF(FT!B142&lt;&gt;"",FT!C142,"")</f>
        <v>56.878599999999999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4.3435000000000006</v>
      </c>
      <c r="G143" s="61">
        <f>IF(FT!B143&lt;&gt;"",FT!B143*100,"")</f>
        <v>23.1023</v>
      </c>
      <c r="H143" s="61">
        <f t="shared" si="13"/>
        <v>1</v>
      </c>
      <c r="I143" t="str">
        <f>IF(FT!B143&lt;&gt;"",FT!E143,"")</f>
        <v>2 [57.289390]</v>
      </c>
      <c r="J143">
        <f>IF(FT!B143&lt;&gt;"",FT!C143,"")</f>
        <v>57.289400000000001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100260</v>
      </c>
      <c r="D144" s="61">
        <f>FH!B144*1</f>
        <v>100260</v>
      </c>
      <c r="E144">
        <f t="shared" si="15"/>
        <v>142</v>
      </c>
      <c r="F144" s="61">
        <f>IF(FT!A144&lt;&gt;"",FT!A144*10,"")</f>
        <v>4.3006000000000002</v>
      </c>
      <c r="G144" s="61">
        <f>IF(FT!B144&lt;&gt;"",FT!B144*100,"")</f>
        <v>23.9953</v>
      </c>
      <c r="H144" s="61">
        <f t="shared" si="13"/>
        <v>1</v>
      </c>
      <c r="I144" t="str">
        <f>IF(FT!B144&lt;&gt;"",FT!E144,"")</f>
        <v>2 [57.696420]</v>
      </c>
      <c r="J144">
        <f>IF(FT!B144&lt;&gt;"",FT!C144,"")</f>
        <v>57.696399999999997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4.26281</v>
      </c>
      <c r="G145" s="61">
        <f>IF(FT!B145&lt;&gt;"",FT!B145*100,"")</f>
        <v>24.7667</v>
      </c>
      <c r="H145" s="61">
        <f t="shared" si="13"/>
        <v>1</v>
      </c>
      <c r="I145" t="str">
        <f>IF(FT!B145&lt;&gt;"",FT!E145,"")</f>
        <v>2 [58.101145]</v>
      </c>
      <c r="J145">
        <f>IF(FT!B145&lt;&gt;"",FT!C145,"")</f>
        <v>58.101100000000002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4.2204899999999999</v>
      </c>
      <c r="G146" s="61">
        <f>IF(FT!B146&lt;&gt;"",FT!B146*100,"")</f>
        <v>25.735500000000002</v>
      </c>
      <c r="H146" s="61">
        <f t="shared" si="13"/>
        <v>1</v>
      </c>
      <c r="I146" t="str">
        <f>IF(FT!B146&lt;&gt;"",FT!E146,"")</f>
        <v>2 [58.503394]</v>
      </c>
      <c r="J146">
        <f>IF(FT!B146&lt;&gt;"",FT!C146,"")</f>
        <v>58.503399999999999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94318</v>
      </c>
      <c r="D147" s="61">
        <f>FH!B147*1</f>
        <v>94318</v>
      </c>
      <c r="E147">
        <f t="shared" si="15"/>
        <v>145</v>
      </c>
      <c r="F147" s="61">
        <f>IF(FT!A147&lt;&gt;"",FT!A147*10,"")</f>
        <v>4.1872799999999994</v>
      </c>
      <c r="G147" s="61">
        <f>IF(FT!B147&lt;&gt;"",FT!B147*100,"")</f>
        <v>26.8108</v>
      </c>
      <c r="H147" s="61">
        <f t="shared" si="13"/>
        <v>1</v>
      </c>
      <c r="I147" t="str">
        <f>IF(FT!B147&lt;&gt;"",FT!E147,"")</f>
        <v>2 [58.912974]</v>
      </c>
      <c r="J147">
        <f>IF(FT!B147&lt;&gt;"",FT!C147,"")</f>
        <v>58.912999999999997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4.1639799999999996</v>
      </c>
      <c r="G148" s="61">
        <f>IF(FT!B148&lt;&gt;"",FT!B148*100,"")</f>
        <v>27.926400000000001</v>
      </c>
      <c r="H148" s="61">
        <f t="shared" si="13"/>
        <v>1</v>
      </c>
      <c r="I148" t="str">
        <f>IF(FT!B148&lt;&gt;"",FT!E148,"")</f>
        <v>2 [59.315957]</v>
      </c>
      <c r="J148">
        <f>IF(FT!B148&lt;&gt;"",FT!C148,"")</f>
        <v>59.316000000000003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95013</v>
      </c>
      <c r="D149" s="61">
        <f>FH!B149*1</f>
        <v>95013</v>
      </c>
      <c r="E149">
        <f t="shared" si="15"/>
        <v>147</v>
      </c>
      <c r="F149" s="61">
        <f>IF(FT!A149&lt;&gt;"",FT!A149*10,"")</f>
        <v>4.1628600000000002</v>
      </c>
      <c r="G149" s="61">
        <f>IF(FT!B149&lt;&gt;"",FT!B149*100,"")</f>
        <v>28.5246</v>
      </c>
      <c r="H149" s="61">
        <f t="shared" si="13"/>
        <v>1</v>
      </c>
      <c r="I149" t="str">
        <f>IF(FT!B149&lt;&gt;"",FT!E149,"")</f>
        <v>2 [59.722866]</v>
      </c>
      <c r="J149">
        <f>IF(FT!B149&lt;&gt;"",FT!C149,"")</f>
        <v>59.722900000000003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4.1673999999999998</v>
      </c>
      <c r="G150" s="61">
        <f>IF(FT!B150&lt;&gt;"",FT!B150*100,"")</f>
        <v>28.520099999999999</v>
      </c>
      <c r="H150" s="61">
        <f t="shared" si="13"/>
        <v>1</v>
      </c>
      <c r="I150" t="str">
        <f>IF(FT!B150&lt;&gt;"",FT!E150,"")</f>
        <v>2 [60.132756]</v>
      </c>
      <c r="J150">
        <f>IF(FT!B150&lt;&gt;"",FT!C150,"")</f>
        <v>60.132800000000003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83472</v>
      </c>
      <c r="D152" s="61">
        <f>FH!B152*1</f>
        <v>83472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76041</v>
      </c>
      <c r="D154" s="61">
        <f>FH!B154*1</f>
        <v>76041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72225</v>
      </c>
      <c r="D157" s="61">
        <f>FH!B157*1</f>
        <v>72225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67727</v>
      </c>
      <c r="D160" s="61">
        <f>FH!B160*1</f>
        <v>67727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57157</v>
      </c>
      <c r="D162" s="61">
        <f>FH!B162*1</f>
        <v>57157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51940</v>
      </c>
      <c r="D165" s="61">
        <f>FH!B165*1</f>
        <v>51940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47698</v>
      </c>
      <c r="D167" s="61">
        <f>FH!B167*1</f>
        <v>47698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41750</v>
      </c>
      <c r="D170" s="61">
        <f>FH!B170*1</f>
        <v>41750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32649</v>
      </c>
      <c r="D173" s="61">
        <f>FH!B173*1</f>
        <v>32649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21829</v>
      </c>
      <c r="D175" s="61">
        <f>FH!B175*1</f>
        <v>21829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16474</v>
      </c>
      <c r="D178" s="61">
        <f>FH!B178*1</f>
        <v>16474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12501</v>
      </c>
      <c r="D180" s="61">
        <f>FH!B180*1</f>
        <v>12501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8645</v>
      </c>
      <c r="D183" s="61">
        <f>FH!B183*1</f>
        <v>8645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6028</v>
      </c>
      <c r="D185" s="61">
        <f>FH!B185*1</f>
        <v>6028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4088</v>
      </c>
      <c r="D188" s="61">
        <f>FH!B188*1</f>
        <v>4088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1837</v>
      </c>
      <c r="D191" s="61">
        <f>FH!B191*1</f>
        <v>1837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520</v>
      </c>
      <c r="D193" s="61">
        <f>FH!B193*1</f>
        <v>520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51.902000000000001</v>
      </c>
      <c r="C5" s="66">
        <v>12.001099999999999</v>
      </c>
      <c r="D5" s="66">
        <v>23.122599999999998</v>
      </c>
      <c r="E5" s="66">
        <v>20</v>
      </c>
      <c r="F5" s="66">
        <v>10.3949</v>
      </c>
      <c r="G5" s="66">
        <v>50</v>
      </c>
      <c r="H5" s="66">
        <v>64.566199999999995</v>
      </c>
    </row>
    <row r="6" spans="1:8">
      <c r="A6" s="58" t="s">
        <v>303</v>
      </c>
      <c r="B6" s="66">
        <v>35.081099999999999</v>
      </c>
      <c r="C6" s="66">
        <v>3.96611</v>
      </c>
      <c r="D6" s="66">
        <v>11.3056</v>
      </c>
      <c r="E6" s="66">
        <v>20</v>
      </c>
      <c r="F6" s="66">
        <v>23.7499</v>
      </c>
      <c r="G6" s="66">
        <v>40</v>
      </c>
      <c r="H6" s="66">
        <v>47.619</v>
      </c>
    </row>
    <row r="7" spans="1:8">
      <c r="A7" s="58" t="s">
        <v>304</v>
      </c>
      <c r="B7" s="66">
        <v>29.772300000000001</v>
      </c>
      <c r="C7" s="66">
        <v>10.3339</v>
      </c>
      <c r="D7" s="66">
        <v>34.709899999999998</v>
      </c>
      <c r="E7" s="66">
        <v>15</v>
      </c>
      <c r="F7" s="66">
        <v>6.2787199999999999</v>
      </c>
      <c r="G7" s="66">
        <v>40</v>
      </c>
      <c r="H7" s="66">
        <v>52.6188</v>
      </c>
    </row>
    <row r="8" spans="1:8">
      <c r="A8" s="58" t="s">
        <v>305</v>
      </c>
      <c r="B8" s="66">
        <v>38.8673</v>
      </c>
      <c r="C8" s="66">
        <v>5.8446800000000003</v>
      </c>
      <c r="D8" s="66">
        <v>15.0375</v>
      </c>
      <c r="E8" s="66">
        <v>20</v>
      </c>
      <c r="F8" s="66">
        <v>16.574000000000002</v>
      </c>
      <c r="G8" s="66">
        <v>50</v>
      </c>
      <c r="H8" s="66">
        <v>46.516500000000001</v>
      </c>
    </row>
    <row r="9" spans="1:8">
      <c r="A9" s="58" t="s">
        <v>306</v>
      </c>
      <c r="B9" s="66">
        <v>55.824399999999997</v>
      </c>
      <c r="C9" s="66">
        <v>6.7367900000000001</v>
      </c>
      <c r="D9" s="66">
        <v>12.0678</v>
      </c>
      <c r="E9" s="66">
        <v>50</v>
      </c>
      <c r="F9" s="66">
        <v>40.547800000000002</v>
      </c>
      <c r="G9" s="66">
        <v>100</v>
      </c>
      <c r="H9" s="66">
        <v>71.909800000000004</v>
      </c>
    </row>
    <row r="10" spans="1:8">
      <c r="A10" s="58" t="s">
        <v>307</v>
      </c>
      <c r="B10" s="66">
        <v>64.285200000000003</v>
      </c>
      <c r="C10" s="66">
        <v>6.08535</v>
      </c>
      <c r="D10" s="66">
        <v>9.46617</v>
      </c>
      <c r="E10" s="66">
        <v>40</v>
      </c>
      <c r="F10" s="66">
        <v>46.231499999999997</v>
      </c>
      <c r="G10" s="66">
        <v>100</v>
      </c>
      <c r="H10" s="66">
        <v>71.975099999999998</v>
      </c>
    </row>
    <row r="11" spans="1:8">
      <c r="A11" s="58" t="s">
        <v>308</v>
      </c>
      <c r="B11" s="66">
        <v>23.216899999999999</v>
      </c>
      <c r="C11" s="66">
        <v>5.1942199999999996</v>
      </c>
      <c r="D11" s="66">
        <v>22.372599999999998</v>
      </c>
      <c r="E11" s="66">
        <v>10</v>
      </c>
      <c r="F11" s="66">
        <v>6.7202799999999998</v>
      </c>
      <c r="G11" s="66">
        <v>50</v>
      </c>
      <c r="H11" s="66">
        <v>30.249400000000001</v>
      </c>
    </row>
    <row r="12" spans="1:8">
      <c r="A12" s="58" t="s">
        <v>309</v>
      </c>
      <c r="B12" s="66">
        <v>59.455399999999997</v>
      </c>
      <c r="C12" s="66">
        <v>4.0980499999999997</v>
      </c>
      <c r="D12" s="66">
        <v>6.8926499999999997</v>
      </c>
      <c r="E12" s="66">
        <v>50</v>
      </c>
      <c r="F12" s="66">
        <v>47.694499999999998</v>
      </c>
      <c r="G12" s="66">
        <v>100</v>
      </c>
      <c r="H12" s="66">
        <v>70.925799999999995</v>
      </c>
    </row>
    <row r="13" spans="1:8">
      <c r="A13" s="58" t="s">
        <v>310</v>
      </c>
      <c r="B13" s="66">
        <v>20.901</v>
      </c>
      <c r="C13" s="66">
        <v>2.5703999999999998</v>
      </c>
      <c r="D13" s="66">
        <v>12.298</v>
      </c>
      <c r="E13" s="66">
        <v>10</v>
      </c>
      <c r="F13" s="66">
        <v>15.506500000000001</v>
      </c>
      <c r="G13" s="66">
        <v>25</v>
      </c>
      <c r="H13" s="66">
        <v>26.981999999999999</v>
      </c>
    </row>
    <row r="14" spans="1:8">
      <c r="A14" s="58" t="s">
        <v>311</v>
      </c>
      <c r="B14" s="66">
        <v>25.704000000000001</v>
      </c>
      <c r="C14" s="66">
        <v>7.2361700000000004</v>
      </c>
      <c r="D14" s="66">
        <v>28.151900000000001</v>
      </c>
      <c r="E14" s="66">
        <v>10</v>
      </c>
      <c r="F14" s="66">
        <v>2.1425000000000001</v>
      </c>
      <c r="G14" s="66">
        <v>50</v>
      </c>
      <c r="H14" s="66">
        <v>26.599799999999998</v>
      </c>
    </row>
    <row r="15" spans="1:8">
      <c r="A15" s="58" t="s">
        <v>312</v>
      </c>
      <c r="B15" s="66">
        <v>4.2986000000000003E-2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9.4603599999999996E-2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17.5425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0.26318599999999998</v>
      </c>
      <c r="C18" s="66">
        <v>4.9546300000000001E-2</v>
      </c>
      <c r="D18" s="66">
        <v>0.18825600000000001</v>
      </c>
      <c r="E18" s="66">
        <v>0</v>
      </c>
      <c r="F18" s="66">
        <v>0.21364</v>
      </c>
      <c r="G18" s="66">
        <v>0</v>
      </c>
      <c r="H18" s="66">
        <v>0.31273200000000001</v>
      </c>
    </row>
    <row r="19" spans="1:8">
      <c r="A19" s="58" t="s">
        <v>316</v>
      </c>
      <c r="B19" s="66">
        <v>0.55660600000000005</v>
      </c>
      <c r="C19" s="66">
        <v>1.2021199999999999E-2</v>
      </c>
      <c r="D19" s="66">
        <v>2.15972E-2</v>
      </c>
      <c r="E19" s="66">
        <v>0</v>
      </c>
      <c r="F19" s="66">
        <v>0.54458499999999999</v>
      </c>
      <c r="G19" s="66">
        <v>0</v>
      </c>
      <c r="H19" s="66">
        <v>0.56862699999999999</v>
      </c>
    </row>
    <row r="20" spans="1:8">
      <c r="A20" s="58" t="s">
        <v>317</v>
      </c>
      <c r="B20" s="66">
        <v>1.60562E-4</v>
      </c>
      <c r="C20" s="66">
        <v>7.8763900000000005E-3</v>
      </c>
      <c r="D20" s="66">
        <v>49.055</v>
      </c>
      <c r="E20" s="66">
        <v>0</v>
      </c>
      <c r="F20" s="66">
        <v>0</v>
      </c>
      <c r="G20" s="66">
        <v>0</v>
      </c>
      <c r="H20" s="66">
        <v>9.9914600000000006E-2</v>
      </c>
    </row>
    <row r="21" spans="1:8">
      <c r="A21" s="58" t="s">
        <v>318</v>
      </c>
      <c r="B21" s="66">
        <v>6.2209100000000003E-2</v>
      </c>
      <c r="C21" s="66">
        <v>0.174183</v>
      </c>
      <c r="D21" s="66">
        <v>2.7999700000000001</v>
      </c>
      <c r="E21" s="66">
        <v>0</v>
      </c>
      <c r="F21" s="66">
        <v>4.69133E-4</v>
      </c>
      <c r="G21" s="66">
        <v>0</v>
      </c>
      <c r="H21" s="66">
        <v>1.7146999999999999</v>
      </c>
    </row>
    <row r="22" spans="1:8">
      <c r="A22" s="58" t="s">
        <v>319</v>
      </c>
      <c r="B22" s="66">
        <v>36.28</v>
      </c>
      <c r="C22" s="66">
        <v>11.3188</v>
      </c>
      <c r="D22" s="66">
        <v>0.31198300000000001</v>
      </c>
      <c r="E22" s="66">
        <v>0</v>
      </c>
      <c r="F22" s="66">
        <v>19.7913</v>
      </c>
      <c r="G22" s="66">
        <v>0</v>
      </c>
      <c r="H22" s="66">
        <v>72.723600000000005</v>
      </c>
    </row>
    <row r="23" spans="1:8">
      <c r="A23" s="58" t="s">
        <v>320</v>
      </c>
      <c r="B23" s="66">
        <v>17.3887</v>
      </c>
      <c r="C23" s="66">
        <v>2.6490800000000001</v>
      </c>
      <c r="D23" s="66">
        <v>0.15234500000000001</v>
      </c>
      <c r="E23" s="66">
        <v>0</v>
      </c>
      <c r="F23" s="66">
        <v>9.2950999999999997</v>
      </c>
      <c r="G23" s="66">
        <v>0</v>
      </c>
      <c r="H23" s="66">
        <v>21.741800000000001</v>
      </c>
    </row>
    <row r="24" spans="1:8">
      <c r="A24" s="58" t="s">
        <v>321</v>
      </c>
      <c r="B24" s="66">
        <v>5.0189500000000003E-4</v>
      </c>
      <c r="C24" s="66">
        <v>5.2372399999999998E-3</v>
      </c>
      <c r="D24" s="66">
        <v>10.434900000000001</v>
      </c>
      <c r="E24" s="66">
        <v>0</v>
      </c>
      <c r="F24" s="196">
        <v>1.03078E-6</v>
      </c>
      <c r="G24" s="66">
        <v>0</v>
      </c>
      <c r="H24" s="66">
        <v>5.4527800000000001E-2</v>
      </c>
    </row>
    <row r="25" spans="1:8">
      <c r="A25" s="58" t="s">
        <v>322</v>
      </c>
      <c r="B25" s="66">
        <v>8.2864800000000002E-2</v>
      </c>
      <c r="C25" s="66">
        <v>0.10137</v>
      </c>
      <c r="D25" s="66">
        <v>1.22332</v>
      </c>
      <c r="E25" s="66">
        <v>0</v>
      </c>
      <c r="F25" s="66">
        <v>2.3185799999999999E-2</v>
      </c>
      <c r="G25" s="66">
        <v>0</v>
      </c>
      <c r="H25" s="66">
        <v>0.57091599999999998</v>
      </c>
    </row>
    <row r="26" spans="1:8">
      <c r="A26" s="58" t="s">
        <v>323</v>
      </c>
      <c r="B26" s="196">
        <v>5.2521000000000001E-5</v>
      </c>
      <c r="C26" s="66">
        <v>1.2754999999999999E-3</v>
      </c>
      <c r="D26" s="66">
        <v>24.285499999999999</v>
      </c>
      <c r="E26" s="66">
        <v>0</v>
      </c>
      <c r="F26" s="66">
        <v>0</v>
      </c>
      <c r="G26" s="66">
        <v>0</v>
      </c>
      <c r="H26" s="66">
        <v>1.5218000000000001E-2</v>
      </c>
    </row>
    <row r="27" spans="1:8">
      <c r="A27" s="58" t="s">
        <v>324</v>
      </c>
      <c r="B27" s="66">
        <v>0</v>
      </c>
      <c r="C27" s="66">
        <v>7.8149899999999995E-4</v>
      </c>
      <c r="D27" s="66">
        <v>0</v>
      </c>
      <c r="E27" s="66">
        <v>0</v>
      </c>
      <c r="F27" s="66">
        <v>-6.3583199999999998E-3</v>
      </c>
      <c r="G27" s="66">
        <v>0</v>
      </c>
      <c r="H27" s="66">
        <v>7.3791999999999998E-3</v>
      </c>
    </row>
    <row r="28" spans="1:8">
      <c r="A28" s="58" t="s">
        <v>325</v>
      </c>
      <c r="B28" s="66">
        <v>1.0690099999999999E-2</v>
      </c>
      <c r="C28" s="66">
        <v>1.4833600000000001E-2</v>
      </c>
      <c r="D28" s="66">
        <v>1.3875999999999999</v>
      </c>
      <c r="E28" s="66">
        <v>0</v>
      </c>
      <c r="F28" s="66">
        <v>2.21354E-4</v>
      </c>
      <c r="G28" s="66">
        <v>0</v>
      </c>
      <c r="H28" s="66">
        <v>0.117992</v>
      </c>
    </row>
    <row r="29" spans="1:8">
      <c r="A29" s="58" t="s">
        <v>326</v>
      </c>
      <c r="B29" s="66">
        <v>79.4465</v>
      </c>
      <c r="C29" s="66">
        <v>11.635899999999999</v>
      </c>
      <c r="D29" s="66">
        <v>0.14646200000000001</v>
      </c>
      <c r="E29" s="66">
        <v>0</v>
      </c>
      <c r="F29" s="66">
        <v>52.091299999999997</v>
      </c>
      <c r="G29" s="66">
        <v>0</v>
      </c>
      <c r="H29" s="66">
        <v>108.32599999999999</v>
      </c>
    </row>
    <row r="30" spans="1:8">
      <c r="A30" s="58" t="s">
        <v>327</v>
      </c>
      <c r="B30" s="66">
        <v>29.1252</v>
      </c>
      <c r="C30" s="66">
        <v>4.7293200000000004</v>
      </c>
      <c r="D30" s="66">
        <v>0.162379</v>
      </c>
      <c r="E30" s="66">
        <v>0</v>
      </c>
      <c r="F30" s="66">
        <v>11.5268</v>
      </c>
      <c r="G30" s="66">
        <v>0</v>
      </c>
      <c r="H30" s="66">
        <v>33.366199999999999</v>
      </c>
    </row>
    <row r="31" spans="1:8">
      <c r="A31" s="58" t="s">
        <v>328</v>
      </c>
      <c r="B31" s="66">
        <v>86.795400000000001</v>
      </c>
      <c r="C31" s="66">
        <v>22.786000000000001</v>
      </c>
      <c r="D31" s="66">
        <v>0.26252500000000001</v>
      </c>
      <c r="E31" s="66">
        <v>0</v>
      </c>
      <c r="F31" s="66">
        <v>39.123699999999999</v>
      </c>
      <c r="G31" s="66">
        <v>0</v>
      </c>
      <c r="H31" s="66">
        <v>128.685</v>
      </c>
    </row>
    <row r="32" spans="1:8">
      <c r="A32" s="58" t="s">
        <v>329</v>
      </c>
      <c r="B32" s="66">
        <v>0.29772300000000002</v>
      </c>
      <c r="C32" s="66">
        <v>0.103339</v>
      </c>
      <c r="D32" s="66">
        <v>0.34709899999999999</v>
      </c>
      <c r="E32" s="66">
        <v>0.15</v>
      </c>
      <c r="F32" s="66">
        <v>6.2787200000000001E-2</v>
      </c>
      <c r="G32" s="66">
        <v>0.4</v>
      </c>
      <c r="H32" s="66">
        <v>0.52618799999999999</v>
      </c>
    </row>
    <row r="33" spans="1:8">
      <c r="A33" s="58" t="s">
        <v>330</v>
      </c>
      <c r="B33" s="66">
        <v>0.39476499999999998</v>
      </c>
      <c r="C33" s="66">
        <v>2.989E-2</v>
      </c>
      <c r="D33" s="66">
        <v>7.57158E-2</v>
      </c>
      <c r="E33" s="66">
        <v>0</v>
      </c>
      <c r="F33" s="66">
        <v>0.30308499999999999</v>
      </c>
      <c r="G33" s="66">
        <v>0</v>
      </c>
      <c r="H33" s="66">
        <v>0.44830799999999998</v>
      </c>
    </row>
    <row r="34" spans="1:8">
      <c r="A34" s="58" t="s">
        <v>331</v>
      </c>
      <c r="B34" s="66">
        <v>0.20901</v>
      </c>
      <c r="C34" s="66">
        <v>2.5704000000000001E-2</v>
      </c>
      <c r="D34" s="66">
        <v>0.12298000000000001</v>
      </c>
      <c r="E34" s="66">
        <v>0.1</v>
      </c>
      <c r="F34" s="66">
        <v>0.15506500000000001</v>
      </c>
      <c r="G34" s="66">
        <v>0.25</v>
      </c>
      <c r="H34" s="66">
        <v>0.26982</v>
      </c>
    </row>
    <row r="35" spans="1:8">
      <c r="A35" s="58" t="s">
        <v>332</v>
      </c>
      <c r="B35" s="66">
        <v>7.7891500000000002E-2</v>
      </c>
      <c r="C35" s="66">
        <v>2.1833700000000001E-2</v>
      </c>
      <c r="D35" s="66">
        <v>0.28030899999999997</v>
      </c>
      <c r="E35" s="66">
        <v>0</v>
      </c>
      <c r="F35" s="66">
        <v>2.8344000000000001E-2</v>
      </c>
      <c r="G35" s="66">
        <v>0</v>
      </c>
      <c r="H35" s="66">
        <v>0.14031099999999999</v>
      </c>
    </row>
    <row r="36" spans="1:8">
      <c r="A36" s="58" t="s">
        <v>333</v>
      </c>
      <c r="B36" s="66">
        <v>0.188081</v>
      </c>
      <c r="C36" s="66">
        <v>8.7655800000000006E-2</v>
      </c>
      <c r="D36" s="66">
        <v>0.46605400000000002</v>
      </c>
      <c r="E36" s="66">
        <v>0</v>
      </c>
      <c r="F36" s="66">
        <v>3.5049999999999998E-2</v>
      </c>
      <c r="G36" s="66">
        <v>0</v>
      </c>
      <c r="H36" s="66">
        <v>0.55448299999999995</v>
      </c>
    </row>
    <row r="37" spans="1:8">
      <c r="A37" s="58" t="s">
        <v>334</v>
      </c>
      <c r="B37" s="66">
        <v>0.25703999999999999</v>
      </c>
      <c r="C37" s="66">
        <v>7.2361700000000001E-2</v>
      </c>
      <c r="D37" s="66">
        <v>0.28151900000000002</v>
      </c>
      <c r="E37" s="66">
        <v>0.1</v>
      </c>
      <c r="F37" s="66">
        <v>2.1425E-2</v>
      </c>
      <c r="G37" s="66">
        <v>0.5</v>
      </c>
      <c r="H37" s="66">
        <v>0.26599800000000001</v>
      </c>
    </row>
    <row r="38" spans="1:8">
      <c r="A38" s="58" t="s">
        <v>335</v>
      </c>
      <c r="B38" s="66">
        <v>-22.867799999999999</v>
      </c>
      <c r="C38" s="66">
        <v>29.9285</v>
      </c>
      <c r="D38" s="66">
        <v>-1.3087599999999999</v>
      </c>
      <c r="E38" s="66">
        <v>0</v>
      </c>
      <c r="F38" s="66">
        <v>-159.995</v>
      </c>
      <c r="G38" s="66">
        <v>0</v>
      </c>
      <c r="H38" s="66">
        <v>93.964699999999993</v>
      </c>
    </row>
    <row r="39" spans="1:8">
      <c r="A39" s="58" t="s">
        <v>336</v>
      </c>
      <c r="B39" s="66">
        <v>-7.0460000000000003</v>
      </c>
      <c r="C39" s="66">
        <v>2.75122</v>
      </c>
      <c r="D39" s="66">
        <v>-0.39046500000000001</v>
      </c>
      <c r="E39" s="66">
        <v>0</v>
      </c>
      <c r="F39" s="66">
        <v>-16.198599999999999</v>
      </c>
      <c r="G39" s="66">
        <v>0</v>
      </c>
      <c r="H39" s="66">
        <v>-1.2982499999999999</v>
      </c>
    </row>
    <row r="40" spans="1:8">
      <c r="A40" s="58" t="s">
        <v>337</v>
      </c>
      <c r="B40" s="66">
        <v>-2.2921900000000002</v>
      </c>
      <c r="C40" s="66">
        <v>0.552728</v>
      </c>
      <c r="D40" s="66">
        <v>-0.24113599999999999</v>
      </c>
      <c r="E40" s="66">
        <v>0</v>
      </c>
      <c r="F40" s="66">
        <v>-3.4640499999999999</v>
      </c>
      <c r="G40" s="66">
        <v>0</v>
      </c>
      <c r="H40" s="66">
        <v>-0.811446</v>
      </c>
    </row>
    <row r="41" spans="1:8">
      <c r="A41" s="58" t="s">
        <v>338</v>
      </c>
      <c r="B41" s="66">
        <v>-0.214286</v>
      </c>
      <c r="C41" s="66">
        <v>0.35841000000000001</v>
      </c>
      <c r="D41" s="66">
        <v>-1.67258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-0.18019299999999999</v>
      </c>
      <c r="C42" s="66">
        <v>7.6145000000000004E-2</v>
      </c>
      <c r="D42" s="66">
        <v>-0.42257499999999998</v>
      </c>
      <c r="E42" s="66">
        <v>0</v>
      </c>
      <c r="F42" s="66">
        <v>-0.590341</v>
      </c>
      <c r="G42" s="66">
        <v>0</v>
      </c>
      <c r="H42" s="66">
        <v>-4.37052E-2</v>
      </c>
    </row>
    <row r="43" spans="1:8">
      <c r="A43" s="58" t="s">
        <v>340</v>
      </c>
      <c r="B43" s="66">
        <v>-0.120266</v>
      </c>
      <c r="C43" s="66">
        <v>4.1039300000000001E-2</v>
      </c>
      <c r="D43" s="66">
        <v>-0.34123799999999999</v>
      </c>
      <c r="E43" s="66">
        <v>0</v>
      </c>
      <c r="F43" s="66">
        <v>-0.20646600000000001</v>
      </c>
      <c r="G43" s="66">
        <v>0</v>
      </c>
      <c r="H43" s="66">
        <v>-2.5831900000000001E-2</v>
      </c>
    </row>
    <row r="44" spans="1:8">
      <c r="A44" s="58" t="s">
        <v>341</v>
      </c>
      <c r="B44" s="66">
        <v>1.49447</v>
      </c>
      <c r="C44" s="66">
        <v>11.795</v>
      </c>
      <c r="D44" s="66">
        <v>7.8924000000000003</v>
      </c>
      <c r="E44" s="66">
        <v>0</v>
      </c>
      <c r="F44" s="66">
        <v>-33.5274</v>
      </c>
      <c r="G44" s="66">
        <v>0</v>
      </c>
      <c r="H44" s="66">
        <v>12.7201</v>
      </c>
    </row>
    <row r="45" spans="1:8">
      <c r="A45" s="58" t="s">
        <v>342</v>
      </c>
      <c r="B45" s="66">
        <v>64.128399999999999</v>
      </c>
      <c r="C45" s="66">
        <v>7.3989399999999996</v>
      </c>
      <c r="D45" s="66">
        <v>0.11537699999999999</v>
      </c>
      <c r="E45" s="66">
        <v>0</v>
      </c>
      <c r="F45" s="66">
        <v>45.1417</v>
      </c>
      <c r="G45" s="66">
        <v>0</v>
      </c>
      <c r="H45" s="66">
        <v>84.319699999999997</v>
      </c>
    </row>
    <row r="46" spans="1:8">
      <c r="A46" s="58" t="s">
        <v>343</v>
      </c>
      <c r="B46" s="66">
        <v>46.067500000000003</v>
      </c>
      <c r="C46" s="66">
        <v>10.6426</v>
      </c>
      <c r="D46" s="66">
        <v>0.23102300000000001</v>
      </c>
      <c r="E46" s="66">
        <v>0</v>
      </c>
      <c r="F46" s="66">
        <v>8.5515399999999993</v>
      </c>
      <c r="G46" s="66">
        <v>0</v>
      </c>
      <c r="H46" s="66">
        <v>54.359099999999998</v>
      </c>
    </row>
    <row r="47" spans="1:8">
      <c r="A47" s="58" t="s">
        <v>344</v>
      </c>
      <c r="B47" s="66">
        <v>0.91012999999999999</v>
      </c>
      <c r="C47" s="66">
        <v>0.401474</v>
      </c>
      <c r="D47" s="66">
        <v>0.44111699999999998</v>
      </c>
      <c r="E47" s="66">
        <v>0</v>
      </c>
      <c r="F47" s="66">
        <v>0.34156300000000001</v>
      </c>
      <c r="G47" s="66">
        <v>0</v>
      </c>
      <c r="H47" s="66">
        <v>2.82185</v>
      </c>
    </row>
    <row r="48" spans="1:8">
      <c r="A48" s="58" t="s">
        <v>345</v>
      </c>
      <c r="B48" s="66">
        <v>0.88659500000000002</v>
      </c>
      <c r="C48" s="66">
        <v>0.132132</v>
      </c>
      <c r="D48" s="66">
        <v>0.149033</v>
      </c>
      <c r="E48" s="66">
        <v>0</v>
      </c>
      <c r="F48" s="66">
        <v>0.72124200000000005</v>
      </c>
      <c r="G48" s="66">
        <v>0</v>
      </c>
      <c r="H48" s="66">
        <v>1.41469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6.3447999999999993</v>
      </c>
      <c r="C5" s="66">
        <f>'M2'!C5-'M1'!C5</f>
        <v>-8.3704800000000006</v>
      </c>
      <c r="D5" s="66">
        <f>'M2'!D5-'M1'!D5</f>
        <v>-18.651400000000002</v>
      </c>
      <c r="E5" s="66">
        <f>'M2'!E5-'M1'!E5</f>
        <v>0</v>
      </c>
      <c r="F5" s="66">
        <f>'M2'!F5-'M1'!F5</f>
        <v>28.8476</v>
      </c>
      <c r="G5" s="66">
        <f>'M2'!G5-'M1'!G5</f>
        <v>0</v>
      </c>
      <c r="H5" s="66">
        <f>'M2'!H5-'M1'!H5</f>
        <v>0.57609999999999673</v>
      </c>
    </row>
    <row r="6" spans="1:8">
      <c r="A6" s="66" t="s">
        <v>244</v>
      </c>
      <c r="B6" s="66">
        <f>'M2'!B6-'M1'!B6</f>
        <v>0.84039999999999537</v>
      </c>
      <c r="C6" s="66">
        <f>'M2'!C6-'M1'!C6</f>
        <v>1.0136400000000001</v>
      </c>
      <c r="D6" s="66">
        <f>'M2'!D6-'M1'!D6</f>
        <v>2.6472099999999994</v>
      </c>
      <c r="E6" s="66">
        <f>'M2'!E6-'M1'!E6</f>
        <v>0</v>
      </c>
      <c r="F6" s="66">
        <f>'M2'!F6-'M1'!F6</f>
        <v>8.1733000000000011</v>
      </c>
      <c r="G6" s="66">
        <f>'M2'!G6-'M1'!G6</f>
        <v>0</v>
      </c>
      <c r="H6" s="66">
        <f>'M2'!H6-'M1'!H6</f>
        <v>9.4260000000000019</v>
      </c>
    </row>
    <row r="7" spans="1:8">
      <c r="A7" s="66" t="s">
        <v>245</v>
      </c>
      <c r="B7" s="66">
        <f>'M2'!B7-'M1'!B7</f>
        <v>-5.948599999999999</v>
      </c>
      <c r="C7" s="66">
        <f>'M2'!C7-'M1'!C7</f>
        <v>0.58741000000000021</v>
      </c>
      <c r="D7" s="66">
        <f>'M2'!D7-'M1'!D7</f>
        <v>8.7481000000000009</v>
      </c>
      <c r="E7" s="66">
        <f>'M2'!E7-'M1'!E7</f>
        <v>0</v>
      </c>
      <c r="F7" s="66">
        <f>'M2'!F7-'M1'!F7</f>
        <v>-11.311879999999999</v>
      </c>
      <c r="G7" s="66">
        <f>'M2'!G7-'M1'!G7</f>
        <v>0</v>
      </c>
      <c r="H7" s="66">
        <f>'M2'!H7-'M1'!H7</f>
        <v>-1.1174999999999997</v>
      </c>
    </row>
    <row r="8" spans="1:8">
      <c r="A8" s="66" t="s">
        <v>246</v>
      </c>
      <c r="B8" s="66">
        <f>'M2'!B8-'M1'!B8</f>
        <v>1.4808999999999983</v>
      </c>
      <c r="C8" s="66">
        <f>'M2'!C8-'M1'!C8</f>
        <v>-3.8287999999999998</v>
      </c>
      <c r="D8" s="66">
        <f>'M2'!D8-'M1'!D8</f>
        <v>-10.33137</v>
      </c>
      <c r="E8" s="66">
        <f>'M2'!E8-'M1'!E8</f>
        <v>0</v>
      </c>
      <c r="F8" s="66">
        <f>'M2'!F8-'M1'!F8</f>
        <v>15.055399999999999</v>
      </c>
      <c r="G8" s="66">
        <f>'M2'!G8-'M1'!G8</f>
        <v>0</v>
      </c>
      <c r="H8" s="66">
        <f>'M2'!H8-'M1'!H8</f>
        <v>0.32849999999999824</v>
      </c>
    </row>
    <row r="9" spans="1:8">
      <c r="A9" s="66" t="s">
        <v>247</v>
      </c>
      <c r="B9" s="66">
        <f>'M2'!B9-'M1'!B9</f>
        <v>-5.4901999999999944</v>
      </c>
      <c r="C9" s="66">
        <f>'M2'!C9-'M1'!C9</f>
        <v>-2.8738900000000003</v>
      </c>
      <c r="D9" s="66">
        <f>'M2'!D9-'M1'!D9</f>
        <v>-3.9829500000000007</v>
      </c>
      <c r="E9" s="66">
        <f>'M2'!E9-'M1'!E9</f>
        <v>0</v>
      </c>
      <c r="F9" s="66">
        <f>'M2'!F9-'M1'!F9</f>
        <v>4.6552000000000007</v>
      </c>
      <c r="G9" s="66">
        <f>'M2'!G9-'M1'!G9</f>
        <v>0</v>
      </c>
      <c r="H9" s="66">
        <f>'M2'!H9-'M1'!H9</f>
        <v>-4.9577000000000027</v>
      </c>
    </row>
    <row r="10" spans="1:8">
      <c r="A10" s="66" t="s">
        <v>248</v>
      </c>
      <c r="B10" s="66">
        <f>'M2'!B10-'M1'!B10</f>
        <v>-4.2082999999999942</v>
      </c>
      <c r="C10" s="66">
        <f>'M2'!C10-'M1'!C10</f>
        <v>1.8041900000000002</v>
      </c>
      <c r="D10" s="66">
        <f>'M2'!D10-'M1'!D10</f>
        <v>3.33833</v>
      </c>
      <c r="E10" s="66">
        <f>'M2'!E10-'M1'!E10</f>
        <v>0</v>
      </c>
      <c r="F10" s="66">
        <f>'M2'!F10-'M1'!F10</f>
        <v>-9.5079000000000065</v>
      </c>
      <c r="G10" s="66">
        <f>'M2'!G10-'M1'!G10</f>
        <v>0</v>
      </c>
      <c r="H10" s="66">
        <f>'M2'!H10-'M1'!H10</f>
        <v>-7.0994999999999919</v>
      </c>
    </row>
    <row r="11" spans="1:8">
      <c r="A11" s="66" t="s">
        <v>249</v>
      </c>
      <c r="B11" s="66">
        <f>'M2'!B11-'M1'!B11</f>
        <v>2.1529999999999987</v>
      </c>
      <c r="C11" s="66">
        <f>'M2'!C11-'M1'!C11</f>
        <v>-2.9094800000000003</v>
      </c>
      <c r="D11" s="66">
        <f>'M2'!D11-'M1'!D11</f>
        <v>-13.949200000000001</v>
      </c>
      <c r="E11" s="66">
        <f>'M2'!E11-'M1'!E11</f>
        <v>0</v>
      </c>
      <c r="F11" s="66">
        <f>'M2'!F11-'M1'!F11</f>
        <v>14.97392</v>
      </c>
      <c r="G11" s="66">
        <f>'M2'!G11-'M1'!G11</f>
        <v>0</v>
      </c>
      <c r="H11" s="66">
        <f>'M2'!H11-'M1'!H11</f>
        <v>3.4861000000000004</v>
      </c>
    </row>
    <row r="12" spans="1:8">
      <c r="A12" s="66" t="s">
        <v>250</v>
      </c>
      <c r="B12" s="66">
        <f>'M2'!B12-'M1'!B12</f>
        <v>-4.2150999999999996</v>
      </c>
      <c r="C12" s="66">
        <f>'M2'!C12-'M1'!C12</f>
        <v>-0.50831000000000026</v>
      </c>
      <c r="D12" s="66">
        <f>'M2'!D12-'M1'!D12</f>
        <v>-0.4542799999999998</v>
      </c>
      <c r="E12" s="66">
        <f>'M2'!E12-'M1'!E12</f>
        <v>0</v>
      </c>
      <c r="F12" s="66">
        <f>'M2'!F12-'M1'!F12</f>
        <v>-6.3532000000000011</v>
      </c>
      <c r="G12" s="66">
        <f>'M2'!G12-'M1'!G12</f>
        <v>0</v>
      </c>
      <c r="H12" s="66">
        <f>'M2'!H12-'M1'!H12</f>
        <v>-9.7275999999999954</v>
      </c>
    </row>
    <row r="13" spans="1:8">
      <c r="A13" s="66" t="s">
        <v>251</v>
      </c>
      <c r="B13" s="66">
        <f>'M2'!B13-'M1'!B13</f>
        <v>2.9646000000000008</v>
      </c>
      <c r="C13" s="66">
        <f>'M2'!C13-'M1'!C13</f>
        <v>5.0710000000000033E-2</v>
      </c>
      <c r="D13" s="66">
        <f>'M2'!D13-'M1'!D13</f>
        <v>-1.1421700000000001</v>
      </c>
      <c r="E13" s="66">
        <f>'M2'!E13-'M1'!E13</f>
        <v>0</v>
      </c>
      <c r="F13" s="66">
        <f>'M2'!F13-'M1'!F13</f>
        <v>2.5322999999999976</v>
      </c>
      <c r="G13" s="66">
        <f>'M2'!G13-'M1'!G13</f>
        <v>0</v>
      </c>
      <c r="H13" s="66">
        <f>'M2'!H13-'M1'!H13</f>
        <v>2.5029000000000003</v>
      </c>
    </row>
    <row r="14" spans="1:8">
      <c r="A14" s="66" t="s">
        <v>252</v>
      </c>
      <c r="B14" s="66">
        <f>'M2'!B14-'M1'!B14</f>
        <v>0.50709999999999766</v>
      </c>
      <c r="C14" s="66">
        <f>'M2'!C14-'M1'!C14</f>
        <v>0.62951000000000068</v>
      </c>
      <c r="D14" s="66">
        <f>'M2'!D14-'M1'!D14</f>
        <v>2.2140000000000057</v>
      </c>
      <c r="E14" s="66">
        <f>'M2'!E14-'M1'!E14</f>
        <v>0</v>
      </c>
      <c r="F14" s="66">
        <f>'M2'!F14-'M1'!F14</f>
        <v>1.3931399999999998</v>
      </c>
      <c r="G14" s="66">
        <f>'M2'!G14-'M1'!G14</f>
        <v>0</v>
      </c>
      <c r="H14" s="66">
        <f>'M2'!H14-'M1'!H14</f>
        <v>2.418099999999999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-3.2366000000000006E-2</v>
      </c>
      <c r="C18" s="66">
        <f>'M2'!C18-'M1'!C18</f>
        <v>4.9546300000000001E-2</v>
      </c>
      <c r="D18" s="66">
        <f>'M2'!D18-'M1'!D18</f>
        <v>0.18825600000000001</v>
      </c>
      <c r="E18" s="66">
        <f>'M2'!E18-'M1'!E18</f>
        <v>0</v>
      </c>
      <c r="F18" s="66">
        <f>'M2'!F18-'M1'!F18</f>
        <v>0.21364</v>
      </c>
      <c r="G18" s="66">
        <f>'M2'!G18-'M1'!G18</f>
        <v>0</v>
      </c>
      <c r="H18" s="66">
        <f>'M2'!H18-'M1'!H18</f>
        <v>0.31273200000000001</v>
      </c>
    </row>
    <row r="19" spans="1:8">
      <c r="A19" s="66" t="s">
        <v>256</v>
      </c>
      <c r="B19" s="66">
        <f>'M2'!B19-'M1'!B19</f>
        <v>7.6255000000000073E-2</v>
      </c>
      <c r="C19" s="66">
        <f>'M2'!C19-'M1'!C19</f>
        <v>1.2021199999999999E-2</v>
      </c>
      <c r="D19" s="66">
        <f>'M2'!D19-'M1'!D19</f>
        <v>2.15972E-2</v>
      </c>
      <c r="E19" s="66">
        <f>'M2'!E19-'M1'!E19</f>
        <v>0</v>
      </c>
      <c r="F19" s="66">
        <f>'M2'!F19-'M1'!F19</f>
        <v>0.54458499999999999</v>
      </c>
      <c r="G19" s="66">
        <f>'M2'!G19-'M1'!G19</f>
        <v>0</v>
      </c>
      <c r="H19" s="66">
        <f>'M2'!H19-'M1'!H19</f>
        <v>0.56862699999999999</v>
      </c>
    </row>
    <row r="20" spans="1:8">
      <c r="A20" s="66" t="s">
        <v>63</v>
      </c>
      <c r="B20" s="66">
        <f>'M2'!B20-'M1'!B20</f>
        <v>-1.6869999999999993E-5</v>
      </c>
      <c r="C20" s="66">
        <f>'M2'!C20-'M1'!C20</f>
        <v>3.6222199999999998E-3</v>
      </c>
      <c r="D20" s="66">
        <f>'M2'!D20-'M1'!D20</f>
        <v>27.488900000000001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1.4045700000000008E-2</v>
      </c>
    </row>
    <row r="21" spans="1:8">
      <c r="A21" s="66" t="s">
        <v>64</v>
      </c>
      <c r="B21" s="66">
        <f>'M2'!B21-'M1'!B21</f>
        <v>6.6783000000000051E-3</v>
      </c>
      <c r="C21" s="66">
        <f>'M2'!C21-'M1'!C21</f>
        <v>0.10161299999999999</v>
      </c>
      <c r="D21" s="66">
        <f>'M2'!D21-'M1'!D21</f>
        <v>1.3871900000000004</v>
      </c>
      <c r="E21" s="66">
        <f>'M2'!E21-'M1'!E21</f>
        <v>0</v>
      </c>
      <c r="F21" s="66">
        <f>'M2'!F21-'M1'!F21</f>
        <v>-5.229999999999997E-5</v>
      </c>
      <c r="G21" s="66">
        <f>'M2'!G21-'M1'!G21</f>
        <v>0</v>
      </c>
      <c r="H21" s="66">
        <f>'M2'!H21-'M1'!H21</f>
        <v>1.105696</v>
      </c>
    </row>
    <row r="22" spans="1:8">
      <c r="A22" s="66" t="s">
        <v>65</v>
      </c>
      <c r="B22" s="66">
        <f>'M2'!B22-'M1'!B22</f>
        <v>1.7625999999999991</v>
      </c>
      <c r="C22" s="66">
        <f>'M2'!C22-'M1'!C22</f>
        <v>4.2925199999999997</v>
      </c>
      <c r="D22" s="66">
        <f>'M2'!D22-'M1'!D22</f>
        <v>0.10359699999999997</v>
      </c>
      <c r="E22" s="66">
        <f>'M2'!E22-'M1'!E22</f>
        <v>0</v>
      </c>
      <c r="F22" s="66">
        <f>'M2'!F22-'M1'!F22</f>
        <v>-1.219100000000001</v>
      </c>
      <c r="G22" s="66">
        <f>'M2'!G22-'M1'!G22</f>
        <v>0</v>
      </c>
      <c r="H22" s="66">
        <f>'M2'!H22-'M1'!H22</f>
        <v>15.935600000000008</v>
      </c>
    </row>
    <row r="23" spans="1:8">
      <c r="A23" s="66" t="s">
        <v>66</v>
      </c>
      <c r="B23" s="66">
        <f>'M2'!B23-'M1'!B23</f>
        <v>1.2683999999999997</v>
      </c>
      <c r="C23" s="66">
        <f>'M2'!C23-'M1'!C23</f>
        <v>-0.4579500000000003</v>
      </c>
      <c r="D23" s="66">
        <f>'M2'!D23-'M1'!D23</f>
        <v>-3.5160000000000011E-2</v>
      </c>
      <c r="E23" s="66">
        <f>'M2'!E23-'M1'!E23</f>
        <v>0</v>
      </c>
      <c r="F23" s="66">
        <f>'M2'!F23-'M1'!F23</f>
        <v>5.3946000000000005</v>
      </c>
      <c r="G23" s="66">
        <f>'M2'!G23-'M1'!G23</f>
        <v>0</v>
      </c>
      <c r="H23" s="66">
        <f>'M2'!H23-'M1'!H23</f>
        <v>2.6902000000000008</v>
      </c>
    </row>
    <row r="24" spans="1:8">
      <c r="A24" s="66" t="s">
        <v>67</v>
      </c>
      <c r="B24" s="66">
        <f>'M2'!B24-'M1'!B24</f>
        <v>-1.8927900000000004E-4</v>
      </c>
      <c r="C24" s="66">
        <f>'M2'!C24-'M1'!C24</f>
        <v>3.3686100000000002E-3</v>
      </c>
      <c r="D24" s="66">
        <f>'M2'!D24-'M1'!D24</f>
        <v>10.43055</v>
      </c>
      <c r="E24" s="66">
        <f>'M2'!E24-'M1'!E24</f>
        <v>0</v>
      </c>
      <c r="F24" s="66">
        <f>'M2'!F24-'M1'!F24</f>
        <v>-5.5211399999999998E-6</v>
      </c>
      <c r="G24" s="66">
        <f>'M2'!G24-'M1'!G24</f>
        <v>0</v>
      </c>
      <c r="H24" s="66">
        <f>'M2'!H24-'M1'!H24</f>
        <v>3.0600600000000002E-2</v>
      </c>
    </row>
    <row r="25" spans="1:8">
      <c r="A25" s="66" t="s">
        <v>68</v>
      </c>
      <c r="B25" s="66">
        <f>'M2'!B25-'M1'!B25</f>
        <v>-4.3513000000000024E-3</v>
      </c>
      <c r="C25" s="66">
        <f>'M2'!C25-'M1'!C25</f>
        <v>5.81676E-2</v>
      </c>
      <c r="D25" s="66">
        <f>'M2'!D25-'M1'!D25</f>
        <v>0.76188299999999987</v>
      </c>
      <c r="E25" s="66">
        <f>'M2'!E25-'M1'!E25</f>
        <v>0</v>
      </c>
      <c r="F25" s="66">
        <f>'M2'!F25-'M1'!F25</f>
        <v>-2.1142999999999995E-3</v>
      </c>
      <c r="G25" s="66">
        <f>'M2'!G25-'M1'!G25</f>
        <v>0</v>
      </c>
      <c r="H25" s="66">
        <f>'M2'!H25-'M1'!H25</f>
        <v>0.263351</v>
      </c>
    </row>
    <row r="26" spans="1:8">
      <c r="A26" s="66" t="s">
        <v>69</v>
      </c>
      <c r="B26" s="66">
        <f>'M2'!B26-'M1'!B26</f>
        <v>-3.2826000000000014E-6</v>
      </c>
      <c r="C26" s="66">
        <f>'M2'!C26-'M1'!C26</f>
        <v>6.9373600000000003E-4</v>
      </c>
      <c r="D26" s="66">
        <f>'M2'!D26-'M1'!D26</f>
        <v>14.190100000000001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5.4687900000000012E-3</v>
      </c>
    </row>
    <row r="27" spans="1:8">
      <c r="A27" s="66" t="s">
        <v>70</v>
      </c>
      <c r="B27" s="66">
        <f>'M2'!B27-'M1'!B27</f>
        <v>0</v>
      </c>
      <c r="C27" s="66">
        <f>'M2'!C27-'M1'!C27</f>
        <v>3.9205000000000056E-5</v>
      </c>
      <c r="D27" s="66">
        <f>'M2'!D27-'M1'!D27</f>
        <v>0</v>
      </c>
      <c r="E27" s="66">
        <f>'M2'!E27-'M1'!E27</f>
        <v>0</v>
      </c>
      <c r="F27" s="66">
        <f>'M2'!F27-'M1'!F27</f>
        <v>-3.2799999999996027E-6</v>
      </c>
      <c r="G27" s="66">
        <f>'M2'!G27-'M1'!G27</f>
        <v>0</v>
      </c>
      <c r="H27" s="66">
        <f>'M2'!H27-'M1'!H27</f>
        <v>4.7924999999999964E-4</v>
      </c>
    </row>
    <row r="28" spans="1:8">
      <c r="A28" s="66" t="s">
        <v>71</v>
      </c>
      <c r="B28" s="66">
        <f>'M2'!B28-'M1'!B28</f>
        <v>1.8652100000000008E-3</v>
      </c>
      <c r="C28" s="66">
        <f>'M2'!C28-'M1'!C28</f>
        <v>5.3980999999999977E-3</v>
      </c>
      <c r="D28" s="66">
        <f>'M2'!D28-'M1'!D28</f>
        <v>0.27107999999999999</v>
      </c>
      <c r="E28" s="66">
        <f>'M2'!E28-'M1'!E28</f>
        <v>0</v>
      </c>
      <c r="F28" s="66">
        <f>'M2'!F28-'M1'!F28</f>
        <v>1.3997400000000001E-4</v>
      </c>
      <c r="G28" s="66">
        <f>'M2'!G28-'M1'!G28</f>
        <v>0</v>
      </c>
      <c r="H28" s="66">
        <f>'M2'!H28-'M1'!H28</f>
        <v>6.1813599999999996E-2</v>
      </c>
    </row>
    <row r="29" spans="1:8">
      <c r="A29" s="66" t="s">
        <v>72</v>
      </c>
      <c r="B29" s="66">
        <f>'M2'!B29-'M1'!B29</f>
        <v>4.5611999999999995</v>
      </c>
      <c r="C29" s="66">
        <f>'M2'!C29-'M1'!C29</f>
        <v>0.77490000000000059</v>
      </c>
      <c r="D29" s="66">
        <f>'M2'!D29-'M1'!D29</f>
        <v>1.5199999999999936E-3</v>
      </c>
      <c r="E29" s="66">
        <f>'M2'!E29-'M1'!E29</f>
        <v>0</v>
      </c>
      <c r="F29" s="66">
        <f>'M2'!F29-'M1'!F29</f>
        <v>2.7501000000000033</v>
      </c>
      <c r="G29" s="66">
        <f>'M2'!G29-'M1'!G29</f>
        <v>0</v>
      </c>
      <c r="H29" s="66">
        <f>'M2'!H29-'M1'!H29</f>
        <v>5.8219999999999885</v>
      </c>
    </row>
    <row r="30" spans="1:8">
      <c r="A30" s="66" t="s">
        <v>73</v>
      </c>
      <c r="B30" s="66">
        <f>'M2'!B30-'M1'!B30</f>
        <v>1.8378000000000014</v>
      </c>
      <c r="C30" s="66">
        <f>'M2'!C30-'M1'!C30</f>
        <v>-3.69991</v>
      </c>
      <c r="D30" s="66">
        <f>'M2'!D30-'M1'!D30</f>
        <v>-0.13683869999999998</v>
      </c>
      <c r="E30" s="66">
        <f>'M2'!E30-'M1'!E30</f>
        <v>0</v>
      </c>
      <c r="F30" s="66">
        <f>'M2'!F30-'M1'!F30</f>
        <v>12.705299999999999</v>
      </c>
      <c r="G30" s="66">
        <f>'M2'!G30-'M1'!G30</f>
        <v>0</v>
      </c>
      <c r="H30" s="66">
        <f>'M2'!H30-'M1'!H30</f>
        <v>2.9989999999999988</v>
      </c>
    </row>
    <row r="31" spans="1:8">
      <c r="A31" s="66" t="s">
        <v>74</v>
      </c>
      <c r="B31" s="66">
        <f>'M2'!B31-'M1'!B31</f>
        <v>17.725200000000001</v>
      </c>
      <c r="C31" s="66">
        <f>'M2'!C31-'M1'!C31</f>
        <v>3.1673000000000009</v>
      </c>
      <c r="D31" s="66">
        <f>'M2'!D31-'M1'!D31</f>
        <v>-7.2109999999999952E-3</v>
      </c>
      <c r="E31" s="66">
        <f>'M2'!E31-'M1'!E31</f>
        <v>0</v>
      </c>
      <c r="F31" s="66">
        <f>'M2'!F31-'M1'!F31</f>
        <v>25.562600000000003</v>
      </c>
      <c r="G31" s="66">
        <f>'M2'!G31-'M1'!G31</f>
        <v>0</v>
      </c>
      <c r="H31" s="66">
        <f>'M2'!H31-'M1'!H31</f>
        <v>18.310000000000002</v>
      </c>
    </row>
    <row r="32" spans="1:8">
      <c r="A32" s="66" t="s">
        <v>75</v>
      </c>
      <c r="B32" s="66">
        <f>'M2'!B32-'M1'!B32</f>
        <v>-5.9486000000000039E-2</v>
      </c>
      <c r="C32" s="66">
        <f>'M2'!C32-'M1'!C32</f>
        <v>5.8741000000000071E-3</v>
      </c>
      <c r="D32" s="66">
        <f>'M2'!D32-'M1'!D32</f>
        <v>8.7480999999999975E-2</v>
      </c>
      <c r="E32" s="66">
        <f>'M2'!E32-'M1'!E32</f>
        <v>0</v>
      </c>
      <c r="F32" s="66">
        <f>'M2'!F32-'M1'!F32</f>
        <v>-0.11311880000000001</v>
      </c>
      <c r="G32" s="66">
        <f>'M2'!G32-'M1'!G32</f>
        <v>0</v>
      </c>
      <c r="H32" s="66">
        <f>'M2'!H32-'M1'!H32</f>
        <v>-1.1174999999999935E-2</v>
      </c>
    </row>
    <row r="33" spans="1:8">
      <c r="A33" s="66" t="s">
        <v>76</v>
      </c>
      <c r="B33" s="66">
        <f>'M2'!B33-'M1'!B33</f>
        <v>3.2106999999999997E-2</v>
      </c>
      <c r="C33" s="66">
        <f>'M2'!C33-'M1'!C33</f>
        <v>1.7514999999999996E-3</v>
      </c>
      <c r="D33" s="66">
        <f>'M2'!D33-'M1'!D33</f>
        <v>-1.2670000000000042E-3</v>
      </c>
      <c r="E33" s="66">
        <f>'M2'!E33-'M1'!E33</f>
        <v>0</v>
      </c>
      <c r="F33" s="66">
        <f>'M2'!F33-'M1'!F33</f>
        <v>-1.4689999999999981E-3</v>
      </c>
      <c r="G33" s="66">
        <f>'M2'!G33-'M1'!G33</f>
        <v>0</v>
      </c>
      <c r="H33" s="66">
        <f>'M2'!H33-'M1'!H33</f>
        <v>-3.9059999999999651E-3</v>
      </c>
    </row>
    <row r="34" spans="1:8">
      <c r="A34" s="66" t="s">
        <v>77</v>
      </c>
      <c r="B34" s="66">
        <f>'M2'!B34-'M1'!B34</f>
        <v>2.9646000000000006E-2</v>
      </c>
      <c r="C34" s="66">
        <f>'M2'!C34-'M1'!C34</f>
        <v>5.0709999999999991E-4</v>
      </c>
      <c r="D34" s="66">
        <f>'M2'!D34-'M1'!D34</f>
        <v>-1.1421700000000007E-2</v>
      </c>
      <c r="E34" s="66">
        <f>'M2'!E34-'M1'!E34</f>
        <v>0</v>
      </c>
      <c r="F34" s="66">
        <f>'M2'!F34-'M1'!F34</f>
        <v>2.5322999999999984E-2</v>
      </c>
      <c r="G34" s="66">
        <f>'M2'!G34-'M1'!G34</f>
        <v>0</v>
      </c>
      <c r="H34" s="66">
        <f>'M2'!H34-'M1'!H34</f>
        <v>2.5028999999999996E-2</v>
      </c>
    </row>
    <row r="35" spans="1:8">
      <c r="A35" s="66" t="s">
        <v>78</v>
      </c>
      <c r="B35" s="66">
        <f>'M2'!B35-'M1'!B35</f>
        <v>7.369500000000001E-3</v>
      </c>
      <c r="C35" s="66">
        <f>'M2'!C35-'M1'!C35</f>
        <v>9.7929000000000002E-3</v>
      </c>
      <c r="D35" s="66">
        <f>'M2'!D35-'M1'!D35</f>
        <v>9.9773999999999974E-2</v>
      </c>
      <c r="E35" s="66">
        <f>'M2'!E35-'M1'!E35</f>
        <v>0</v>
      </c>
      <c r="F35" s="66">
        <f>'M2'!F35-'M1'!F35</f>
        <v>-1.2855399999999996E-2</v>
      </c>
      <c r="G35" s="66">
        <f>'M2'!G35-'M1'!G35</f>
        <v>0</v>
      </c>
      <c r="H35" s="66">
        <f>'M2'!H35-'M1'!H35</f>
        <v>2.5055999999999995E-2</v>
      </c>
    </row>
    <row r="36" spans="1:8">
      <c r="A36" s="66" t="s">
        <v>79</v>
      </c>
      <c r="B36" s="66">
        <f>'M2'!B36-'M1'!B36</f>
        <v>2.0165000000000016E-2</v>
      </c>
      <c r="C36" s="66">
        <f>'M2'!C36-'M1'!C36</f>
        <v>1.3730999999999993E-2</v>
      </c>
      <c r="D36" s="66">
        <f>'M2'!D36-'M1'!D36</f>
        <v>2.4151999999999951E-2</v>
      </c>
      <c r="E36" s="66">
        <f>'M2'!E36-'M1'!E36</f>
        <v>0</v>
      </c>
      <c r="F36" s="66">
        <f>'M2'!F36-'M1'!F36</f>
        <v>1.6002200000000001E-2</v>
      </c>
      <c r="G36" s="66">
        <f>'M2'!G36-'M1'!G36</f>
        <v>0</v>
      </c>
      <c r="H36" s="66">
        <f>'M2'!H36-'M1'!H36</f>
        <v>9.6798999999999968E-2</v>
      </c>
    </row>
    <row r="37" spans="1:8">
      <c r="A37" s="66" t="s">
        <v>80</v>
      </c>
      <c r="B37" s="66">
        <f>'M2'!B37-'M1'!B37</f>
        <v>5.0710000000000199E-3</v>
      </c>
      <c r="C37" s="66">
        <f>'M2'!C37-'M1'!C37</f>
        <v>6.2950999999999979E-3</v>
      </c>
      <c r="D37" s="66">
        <f>'M2'!D37-'M1'!D37</f>
        <v>2.2139999999999993E-2</v>
      </c>
      <c r="E37" s="66">
        <f>'M2'!E37-'M1'!E37</f>
        <v>0</v>
      </c>
      <c r="F37" s="66">
        <f>'M2'!F37-'M1'!F37</f>
        <v>1.3931400000000004E-2</v>
      </c>
      <c r="G37" s="66">
        <f>'M2'!G37-'M1'!G37</f>
        <v>0</v>
      </c>
      <c r="H37" s="66">
        <f>'M2'!H37-'M1'!H37</f>
        <v>2.4181000000000008E-2</v>
      </c>
    </row>
    <row r="38" spans="1:8">
      <c r="A38" s="66" t="s">
        <v>81</v>
      </c>
      <c r="B38" s="66">
        <f>'M2'!B38-'M1'!B38</f>
        <v>2.2965000000000018</v>
      </c>
      <c r="C38" s="66">
        <f>'M2'!C38-'M1'!C38</f>
        <v>-8.4491000000000014</v>
      </c>
      <c r="D38" s="66">
        <f>'M2'!D38-'M1'!D38</f>
        <v>0.24150999999999989</v>
      </c>
      <c r="E38" s="66">
        <f>'M2'!E38-'M1'!E38</f>
        <v>0</v>
      </c>
      <c r="F38" s="66">
        <f>'M2'!F38-'M1'!F38</f>
        <v>95.274799999999999</v>
      </c>
      <c r="G38" s="66">
        <f>'M2'!G38-'M1'!G38</f>
        <v>0</v>
      </c>
      <c r="H38" s="66">
        <f>'M2'!H38-'M1'!H38</f>
        <v>-26.930199999999999</v>
      </c>
    </row>
    <row r="39" spans="1:8">
      <c r="A39" s="66" t="s">
        <v>82</v>
      </c>
      <c r="B39" s="66">
        <f>'M2'!B39-'M1'!B39</f>
        <v>0.32019999999999982</v>
      </c>
      <c r="C39" s="66">
        <f>'M2'!C39-'M1'!C39</f>
        <v>0.67553999999999981</v>
      </c>
      <c r="D39" s="66">
        <f>'M2'!D39-'M1'!D39</f>
        <v>-0.11426600000000003</v>
      </c>
      <c r="E39" s="66">
        <f>'M2'!E39-'M1'!E39</f>
        <v>0</v>
      </c>
      <c r="F39" s="66">
        <f>'M2'!F39-'M1'!F39</f>
        <v>-2.2080999999999982</v>
      </c>
      <c r="G39" s="66">
        <f>'M2'!G39-'M1'!G39</f>
        <v>0</v>
      </c>
      <c r="H39" s="66">
        <f>'M2'!H39-'M1'!H39</f>
        <v>1.3191299999999999</v>
      </c>
    </row>
    <row r="40" spans="1:8">
      <c r="A40" s="66" t="s">
        <v>83</v>
      </c>
      <c r="B40" s="66">
        <f>'M2'!B40-'M1'!B40</f>
        <v>0.15928000000000031</v>
      </c>
      <c r="C40" s="66">
        <f>'M2'!C40-'M1'!C40</f>
        <v>0.13730700000000001</v>
      </c>
      <c r="D40" s="66">
        <f>'M2'!D40-'M1'!D40</f>
        <v>-7.3526000000000036E-2</v>
      </c>
      <c r="E40" s="66">
        <f>'M2'!E40-'M1'!E40</f>
        <v>0</v>
      </c>
      <c r="F40" s="66">
        <f>'M2'!F40-'M1'!F40</f>
        <v>9.2489999999999739E-2</v>
      </c>
      <c r="G40" s="66">
        <f>'M2'!G40-'M1'!G40</f>
        <v>0</v>
      </c>
      <c r="H40" s="66">
        <f>'M2'!H40-'M1'!H40</f>
        <v>0.58672399999999991</v>
      </c>
    </row>
    <row r="41" spans="1:8">
      <c r="A41" s="66" t="s">
        <v>84</v>
      </c>
      <c r="B41" s="66">
        <f>'M2'!B41-'M1'!B41</f>
        <v>1.9955000000000001E-2</v>
      </c>
      <c r="C41" s="66">
        <f>'M2'!C41-'M1'!C41</f>
        <v>-2.1479999999999999E-2</v>
      </c>
      <c r="D41" s="66">
        <f>'M2'!D41-'M1'!D41</f>
        <v>-5.8049999999999935E-2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3.6724000000000007E-2</v>
      </c>
      <c r="C42" s="66">
        <f>'M2'!C42-'M1'!C42</f>
        <v>2.4796099999999995E-2</v>
      </c>
      <c r="D42" s="66">
        <f>'M2'!D42-'M1'!D42</f>
        <v>-0.22625700000000004</v>
      </c>
      <c r="E42" s="66">
        <f>'M2'!E42-'M1'!E42</f>
        <v>0</v>
      </c>
      <c r="F42" s="66">
        <f>'M2'!F42-'M1'!F42</f>
        <v>-0.18067300000000003</v>
      </c>
      <c r="G42" s="66">
        <f>'M2'!G42-'M1'!G42</f>
        <v>0</v>
      </c>
      <c r="H42" s="66">
        <f>'M2'!H42-'M1'!H42</f>
        <v>1.8432999999999991E-3</v>
      </c>
    </row>
    <row r="43" spans="1:8">
      <c r="A43" s="66" t="s">
        <v>86</v>
      </c>
      <c r="B43" s="66">
        <f>'M2'!B43-'M1'!B43</f>
        <v>6.3477800000000001E-2</v>
      </c>
      <c r="C43" s="66">
        <f>'M2'!C43-'M1'!C43</f>
        <v>1.338E-2</v>
      </c>
      <c r="D43" s="66">
        <f>'M2'!D43-'M1'!D43</f>
        <v>-0.33190500000000001</v>
      </c>
      <c r="E43" s="66">
        <f>'M2'!E43-'M1'!E43</f>
        <v>0</v>
      </c>
      <c r="F43" s="66">
        <f>'M2'!F43-'M1'!F43</f>
        <v>2.1200999999999998E-2</v>
      </c>
      <c r="G43" s="66">
        <f>'M2'!G43-'M1'!G43</f>
        <v>0</v>
      </c>
      <c r="H43" s="66">
        <f>'M2'!H43-'M1'!H43</f>
        <v>7.0155099999999998E-2</v>
      </c>
    </row>
    <row r="44" spans="1:8">
      <c r="A44" s="66" t="s">
        <v>87</v>
      </c>
      <c r="B44" s="66">
        <f>'M2'!B44-'M1'!B44</f>
        <v>-14.279900000000001</v>
      </c>
      <c r="C44" s="66">
        <f>'M2'!C44-'M1'!C44</f>
        <v>6.7372299999999994</v>
      </c>
      <c r="D44" s="66">
        <f>'M2'!D44-'M1'!D44</f>
        <v>-2.4636529999999999</v>
      </c>
      <c r="E44" s="66">
        <f>'M2'!E44-'M1'!E44</f>
        <v>0</v>
      </c>
      <c r="F44" s="66">
        <f>'M2'!F44-'M1'!F44</f>
        <v>-23.121200000000002</v>
      </c>
      <c r="G44" s="66">
        <f>'M2'!G44-'M1'!G44</f>
        <v>0</v>
      </c>
      <c r="H44" s="66">
        <f>'M2'!H44-'M1'!H44</f>
        <v>-2.363900000000001</v>
      </c>
    </row>
    <row r="45" spans="1:8">
      <c r="A45" s="66" t="s">
        <v>88</v>
      </c>
      <c r="B45" s="66">
        <f>'M2'!B45-'M1'!B45</f>
        <v>2.3451000000000022</v>
      </c>
      <c r="C45" s="66">
        <f>'M2'!C45-'M1'!C45</f>
        <v>0.3932500000000001</v>
      </c>
      <c r="D45" s="66">
        <f>'M2'!D45-'M1'!D45</f>
        <v>1.8989999999999979E-3</v>
      </c>
      <c r="E45" s="66">
        <f>'M2'!E45-'M1'!E45</f>
        <v>0</v>
      </c>
      <c r="F45" s="66">
        <f>'M2'!F45-'M1'!F45</f>
        <v>-5.1090000000000018</v>
      </c>
      <c r="G45" s="66">
        <f>'M2'!G45-'M1'!G45</f>
        <v>0</v>
      </c>
      <c r="H45" s="66">
        <f>'M2'!H45-'M1'!H45</f>
        <v>-1.720799999999997</v>
      </c>
    </row>
    <row r="46" spans="1:8">
      <c r="A46" s="66" t="s">
        <v>89</v>
      </c>
      <c r="B46" s="66">
        <f>'M2'!B46-'M1'!B46</f>
        <v>0.70799999999999841</v>
      </c>
      <c r="C46" s="66">
        <f>'M2'!C46-'M1'!C46</f>
        <v>-9.3418400000000013</v>
      </c>
      <c r="D46" s="66">
        <f>'M2'!D46-'M1'!D46</f>
        <v>-0.2056627</v>
      </c>
      <c r="E46" s="66">
        <f>'M2'!E46-'M1'!E46</f>
        <v>0</v>
      </c>
      <c r="F46" s="66">
        <f>'M2'!F46-'M1'!F46</f>
        <v>31.706460000000003</v>
      </c>
      <c r="G46" s="66">
        <f>'M2'!G46-'M1'!G46</f>
        <v>0</v>
      </c>
      <c r="H46" s="66">
        <f>'M2'!H46-'M1'!H46</f>
        <v>2.2044999999999959</v>
      </c>
    </row>
    <row r="47" spans="1:8">
      <c r="A47" s="66" t="s">
        <v>90</v>
      </c>
      <c r="B47" s="66">
        <f>'M2'!B47-'M1'!B47</f>
        <v>-5.2880000000000704E-3</v>
      </c>
      <c r="C47" s="66">
        <f>'M2'!C47-'M1'!C47</f>
        <v>0.19051299999999999</v>
      </c>
      <c r="D47" s="66">
        <f>'M2'!D47-'M1'!D47</f>
        <v>0.21230199999999999</v>
      </c>
      <c r="E47" s="66">
        <f>'M2'!E47-'M1'!E47</f>
        <v>0</v>
      </c>
      <c r="F47" s="66">
        <f>'M2'!F47-'M1'!F47</f>
        <v>5.910399999999999E-2</v>
      </c>
      <c r="G47" s="66">
        <f>'M2'!G47-'M1'!G47</f>
        <v>0</v>
      </c>
      <c r="H47" s="66">
        <f>'M2'!H47-'M1'!H47</f>
        <v>1.26864</v>
      </c>
    </row>
    <row r="48" spans="1:8">
      <c r="A48" s="66" t="s">
        <v>91</v>
      </c>
      <c r="B48" s="66">
        <f>'M2'!B48-'M1'!B48</f>
        <v>-5.8215999999999934E-2</v>
      </c>
      <c r="C48" s="66">
        <f>'M2'!C48-'M1'!C48</f>
        <v>-8.4086399999999992E-2</v>
      </c>
      <c r="D48" s="66">
        <f>'M2'!D48-'M1'!D48</f>
        <v>-8.5192599999999993E-2</v>
      </c>
      <c r="E48" s="66">
        <f>'M2'!E48-'M1'!E48</f>
        <v>0</v>
      </c>
      <c r="F48" s="66">
        <f>'M2'!F48-'M1'!F48</f>
        <v>2.9369999999999674E-3</v>
      </c>
      <c r="G48" s="66">
        <f>'M2'!G48-'M1'!G48</f>
        <v>0</v>
      </c>
      <c r="H48" s="66">
        <f>'M2'!H48-'M1'!H48</f>
        <v>-0.36250000000000004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48.518900000000002</v>
      </c>
      <c r="C5" s="66">
        <v>14.2417</v>
      </c>
      <c r="D5" s="66">
        <v>29.352900000000002</v>
      </c>
      <c r="E5" s="66">
        <v>20</v>
      </c>
      <c r="F5" s="66">
        <v>10.3949</v>
      </c>
      <c r="G5" s="66">
        <v>50</v>
      </c>
      <c r="H5" s="66">
        <v>63.990099999999998</v>
      </c>
    </row>
    <row r="6" spans="1:8">
      <c r="A6" s="66" t="s">
        <v>358</v>
      </c>
      <c r="B6" s="66">
        <v>34.705800000000004</v>
      </c>
      <c r="C6" s="66">
        <v>3.0009700000000001</v>
      </c>
      <c r="D6" s="66">
        <v>8.6468900000000009</v>
      </c>
      <c r="E6" s="66">
        <v>20</v>
      </c>
      <c r="F6" s="66">
        <v>23.7499</v>
      </c>
      <c r="G6" s="66">
        <v>40</v>
      </c>
      <c r="H6" s="66">
        <v>38.192999999999998</v>
      </c>
    </row>
    <row r="7" spans="1:8">
      <c r="A7" s="66" t="s">
        <v>359</v>
      </c>
      <c r="B7" s="66">
        <v>32.342700000000001</v>
      </c>
      <c r="C7" s="66">
        <v>9.3602100000000004</v>
      </c>
      <c r="D7" s="66">
        <v>28.9407</v>
      </c>
      <c r="E7" s="66">
        <v>15</v>
      </c>
      <c r="F7" s="66">
        <v>17.590599999999998</v>
      </c>
      <c r="G7" s="66">
        <v>40</v>
      </c>
      <c r="H7" s="66">
        <v>52.6188</v>
      </c>
    </row>
    <row r="8" spans="1:8">
      <c r="A8" s="66" t="s">
        <v>360</v>
      </c>
      <c r="B8" s="66">
        <v>38.296199999999999</v>
      </c>
      <c r="C8" s="66">
        <v>7.2594599999999998</v>
      </c>
      <c r="D8" s="66">
        <v>18.956099999999999</v>
      </c>
      <c r="E8" s="66">
        <v>20</v>
      </c>
      <c r="F8" s="66">
        <v>16.574000000000002</v>
      </c>
      <c r="G8" s="66">
        <v>50</v>
      </c>
      <c r="H8" s="66">
        <v>46.188000000000002</v>
      </c>
    </row>
    <row r="9" spans="1:8">
      <c r="A9" s="66" t="s">
        <v>361</v>
      </c>
      <c r="B9" s="66">
        <v>59.731699999999996</v>
      </c>
      <c r="C9" s="66">
        <v>7.76227</v>
      </c>
      <c r="D9" s="66">
        <v>12.995200000000001</v>
      </c>
      <c r="E9" s="66">
        <v>50</v>
      </c>
      <c r="F9" s="66">
        <v>40.547800000000002</v>
      </c>
      <c r="G9" s="66">
        <v>100</v>
      </c>
      <c r="H9" s="66">
        <v>71.909800000000004</v>
      </c>
    </row>
    <row r="10" spans="1:8">
      <c r="A10" s="66" t="s">
        <v>362</v>
      </c>
      <c r="B10" s="66">
        <v>66.624499999999998</v>
      </c>
      <c r="C10" s="66">
        <v>4.4243699999999997</v>
      </c>
      <c r="D10" s="66">
        <v>6.6407499999999997</v>
      </c>
      <c r="E10" s="66">
        <v>40</v>
      </c>
      <c r="F10" s="66">
        <v>55.739400000000003</v>
      </c>
      <c r="G10" s="66">
        <v>100</v>
      </c>
      <c r="H10" s="66">
        <v>71.975099999999998</v>
      </c>
    </row>
    <row r="11" spans="1:8">
      <c r="A11" s="66" t="s">
        <v>363</v>
      </c>
      <c r="B11" s="66">
        <v>22.541</v>
      </c>
      <c r="C11" s="66">
        <v>5.6028200000000004</v>
      </c>
      <c r="D11" s="66">
        <v>24.856100000000001</v>
      </c>
      <c r="E11" s="66">
        <v>10</v>
      </c>
      <c r="F11" s="66">
        <v>6.7202799999999998</v>
      </c>
      <c r="G11" s="66">
        <v>50</v>
      </c>
      <c r="H11" s="66">
        <v>26.763300000000001</v>
      </c>
    </row>
    <row r="12" spans="1:8">
      <c r="A12" s="66" t="s">
        <v>364</v>
      </c>
      <c r="B12" s="66">
        <v>61.8733</v>
      </c>
      <c r="C12" s="66">
        <v>3.6166100000000001</v>
      </c>
      <c r="D12" s="66">
        <v>5.84518</v>
      </c>
      <c r="E12" s="66">
        <v>50</v>
      </c>
      <c r="F12" s="66">
        <v>54.047699999999999</v>
      </c>
      <c r="G12" s="66">
        <v>100</v>
      </c>
      <c r="H12" s="66">
        <v>70.925799999999995</v>
      </c>
    </row>
    <row r="13" spans="1:8">
      <c r="A13" s="66" t="s">
        <v>365</v>
      </c>
      <c r="B13" s="66">
        <v>19.5688</v>
      </c>
      <c r="C13" s="66">
        <v>2.0336400000000001</v>
      </c>
      <c r="D13" s="66">
        <v>10.392200000000001</v>
      </c>
      <c r="E13" s="66">
        <v>10</v>
      </c>
      <c r="F13" s="66">
        <v>15.506500000000001</v>
      </c>
      <c r="G13" s="66">
        <v>25</v>
      </c>
      <c r="H13" s="66">
        <v>24.479099999999999</v>
      </c>
    </row>
    <row r="14" spans="1:8">
      <c r="A14" s="66" t="s">
        <v>366</v>
      </c>
      <c r="B14" s="66">
        <v>20.336400000000001</v>
      </c>
      <c r="C14" s="66">
        <v>6.7388399999999997</v>
      </c>
      <c r="D14" s="66">
        <v>33.136899999999997</v>
      </c>
      <c r="E14" s="66">
        <v>10</v>
      </c>
      <c r="F14" s="66">
        <v>2.1425000000000001</v>
      </c>
      <c r="G14" s="66">
        <v>50</v>
      </c>
      <c r="H14" s="66">
        <v>24.181699999999999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0.29555199999999998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0.48035099999999997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1.6977299999999999E-4</v>
      </c>
      <c r="C20" s="66">
        <v>5.8462000000000002E-3</v>
      </c>
      <c r="D20" s="66">
        <v>34.435400000000001</v>
      </c>
      <c r="E20" s="66">
        <v>0</v>
      </c>
      <c r="F20" s="66">
        <v>0</v>
      </c>
      <c r="G20" s="66">
        <v>0</v>
      </c>
      <c r="H20" s="66">
        <v>8.5868899999999998E-2</v>
      </c>
    </row>
    <row r="21" spans="1:8">
      <c r="A21" s="66" t="s">
        <v>373</v>
      </c>
      <c r="B21" s="66">
        <v>5.6819000000000001E-2</v>
      </c>
      <c r="C21" s="66">
        <v>0.11511200000000001</v>
      </c>
      <c r="D21" s="66">
        <v>2.0259399999999999</v>
      </c>
      <c r="E21" s="66">
        <v>0</v>
      </c>
      <c r="F21" s="66">
        <v>5.2143299999999997E-4</v>
      </c>
      <c r="G21" s="66">
        <v>0</v>
      </c>
      <c r="H21" s="66">
        <v>0.60900399999999999</v>
      </c>
    </row>
    <row r="22" spans="1:8">
      <c r="A22" s="66" t="s">
        <v>374</v>
      </c>
      <c r="B22" s="66">
        <v>35.421900000000001</v>
      </c>
      <c r="C22" s="66">
        <v>8.8497800000000009</v>
      </c>
      <c r="D22" s="66">
        <v>0.24983900000000001</v>
      </c>
      <c r="E22" s="66">
        <v>0</v>
      </c>
      <c r="F22" s="66">
        <v>21.010400000000001</v>
      </c>
      <c r="G22" s="66">
        <v>0</v>
      </c>
      <c r="H22" s="66">
        <v>56.787999999999997</v>
      </c>
    </row>
    <row r="23" spans="1:8">
      <c r="A23" s="66" t="s">
        <v>375</v>
      </c>
      <c r="B23" s="66">
        <v>17.2166</v>
      </c>
      <c r="C23" s="66">
        <v>2.6061800000000002</v>
      </c>
      <c r="D23" s="66">
        <v>0.15137500000000001</v>
      </c>
      <c r="E23" s="66">
        <v>0</v>
      </c>
      <c r="F23" s="66">
        <v>9.2950999999999997</v>
      </c>
      <c r="G23" s="66">
        <v>0</v>
      </c>
      <c r="H23" s="66">
        <v>19.051600000000001</v>
      </c>
    </row>
    <row r="24" spans="1:8">
      <c r="A24" s="66" t="s">
        <v>376</v>
      </c>
      <c r="B24" s="66">
        <v>6.0954900000000003E-4</v>
      </c>
      <c r="C24" s="66">
        <v>3.26874E-3</v>
      </c>
      <c r="D24" s="66">
        <v>5.3625499999999997</v>
      </c>
      <c r="E24" s="66">
        <v>0</v>
      </c>
      <c r="F24" s="196">
        <v>6.5519199999999996E-6</v>
      </c>
      <c r="G24" s="66">
        <v>0</v>
      </c>
      <c r="H24" s="66">
        <v>2.3927199999999999E-2</v>
      </c>
    </row>
    <row r="25" spans="1:8">
      <c r="A25" s="66" t="s">
        <v>377</v>
      </c>
      <c r="B25" s="66">
        <v>8.5200100000000001E-2</v>
      </c>
      <c r="C25" s="66">
        <v>6.7160399999999995E-2</v>
      </c>
      <c r="D25" s="66">
        <v>0.78826700000000005</v>
      </c>
      <c r="E25" s="66">
        <v>0</v>
      </c>
      <c r="F25" s="66">
        <v>2.5300099999999999E-2</v>
      </c>
      <c r="G25" s="66">
        <v>0</v>
      </c>
      <c r="H25" s="66">
        <v>0.30756499999999998</v>
      </c>
    </row>
    <row r="26" spans="1:8">
      <c r="A26" s="66" t="s">
        <v>378</v>
      </c>
      <c r="B26" s="196">
        <v>5.5803600000000002E-5</v>
      </c>
      <c r="C26" s="66">
        <v>8.7626399999999997E-4</v>
      </c>
      <c r="D26" s="66">
        <v>15.7027</v>
      </c>
      <c r="E26" s="66">
        <v>0</v>
      </c>
      <c r="F26" s="66">
        <v>0</v>
      </c>
      <c r="G26" s="66">
        <v>0</v>
      </c>
      <c r="H26" s="66">
        <v>9.7492099999999995E-3</v>
      </c>
    </row>
    <row r="27" spans="1:8">
      <c r="A27" s="66" t="s">
        <v>379</v>
      </c>
      <c r="B27" s="66">
        <v>0</v>
      </c>
      <c r="C27" s="66">
        <v>7.5951299999999996E-4</v>
      </c>
      <c r="D27" s="66">
        <v>0</v>
      </c>
      <c r="E27" s="66">
        <v>0</v>
      </c>
      <c r="F27" s="66">
        <v>-6.3550400000000002E-3</v>
      </c>
      <c r="G27" s="66">
        <v>0</v>
      </c>
      <c r="H27" s="66">
        <v>6.8999500000000002E-3</v>
      </c>
    </row>
    <row r="28" spans="1:8">
      <c r="A28" s="66" t="s">
        <v>380</v>
      </c>
      <c r="B28" s="66">
        <v>9.2154899999999998E-3</v>
      </c>
      <c r="C28" s="66">
        <v>1.1830200000000001E-2</v>
      </c>
      <c r="D28" s="66">
        <v>1.28372</v>
      </c>
      <c r="E28" s="66">
        <v>0</v>
      </c>
      <c r="F28" s="66">
        <v>2.21354E-4</v>
      </c>
      <c r="G28" s="66">
        <v>0</v>
      </c>
      <c r="H28" s="66">
        <v>5.6178400000000003E-2</v>
      </c>
    </row>
    <row r="29" spans="1:8">
      <c r="A29" s="66" t="s">
        <v>381</v>
      </c>
      <c r="B29" s="66">
        <v>77.912300000000002</v>
      </c>
      <c r="C29" s="66">
        <v>11.0947</v>
      </c>
      <c r="D29" s="66">
        <v>0.1424</v>
      </c>
      <c r="E29" s="66">
        <v>0</v>
      </c>
      <c r="F29" s="66">
        <v>52.091299999999997</v>
      </c>
      <c r="G29" s="66">
        <v>0</v>
      </c>
      <c r="H29" s="66">
        <v>102.504</v>
      </c>
    </row>
    <row r="30" spans="1:8">
      <c r="A30" s="66" t="s">
        <v>382</v>
      </c>
      <c r="B30" s="66">
        <v>27.8978</v>
      </c>
      <c r="C30" s="66">
        <v>5.6023399999999999</v>
      </c>
      <c r="D30" s="66">
        <v>0.200817</v>
      </c>
      <c r="E30" s="66">
        <v>0</v>
      </c>
      <c r="F30" s="66">
        <v>11.5268</v>
      </c>
      <c r="G30" s="66">
        <v>0</v>
      </c>
      <c r="H30" s="66">
        <v>30.3672</v>
      </c>
    </row>
    <row r="31" spans="1:8">
      <c r="A31" s="66" t="s">
        <v>383</v>
      </c>
      <c r="B31" s="66">
        <v>84.571799999999996</v>
      </c>
      <c r="C31" s="66">
        <v>18.6313</v>
      </c>
      <c r="D31" s="66">
        <v>0.220302</v>
      </c>
      <c r="E31" s="66">
        <v>0</v>
      </c>
      <c r="F31" s="66">
        <v>39.123699999999999</v>
      </c>
      <c r="G31" s="66">
        <v>0</v>
      </c>
      <c r="H31" s="66">
        <v>110.375</v>
      </c>
    </row>
    <row r="32" spans="1:8">
      <c r="A32" s="66" t="s">
        <v>384</v>
      </c>
      <c r="B32" s="66">
        <v>0.32342700000000002</v>
      </c>
      <c r="C32" s="66">
        <v>9.3602099999999994E-2</v>
      </c>
      <c r="D32" s="66">
        <v>0.28940700000000003</v>
      </c>
      <c r="E32" s="66">
        <v>0.15</v>
      </c>
      <c r="F32" s="66">
        <v>0.17590600000000001</v>
      </c>
      <c r="G32" s="66">
        <v>0.4</v>
      </c>
      <c r="H32" s="66">
        <v>0.52618799999999999</v>
      </c>
    </row>
    <row r="33" spans="1:8">
      <c r="A33" s="66" t="s">
        <v>385</v>
      </c>
      <c r="B33" s="66">
        <v>0.38706499999999999</v>
      </c>
      <c r="C33" s="66">
        <v>2.7518600000000001E-2</v>
      </c>
      <c r="D33" s="66">
        <v>7.1095500000000006E-2</v>
      </c>
      <c r="E33" s="66">
        <v>0</v>
      </c>
      <c r="F33" s="66">
        <v>0.30455399999999999</v>
      </c>
      <c r="G33" s="66">
        <v>0</v>
      </c>
      <c r="H33" s="66">
        <v>0.44830799999999998</v>
      </c>
    </row>
    <row r="34" spans="1:8">
      <c r="A34" s="66" t="s">
        <v>386</v>
      </c>
      <c r="B34" s="66">
        <v>0.195688</v>
      </c>
      <c r="C34" s="66">
        <v>2.0336400000000001E-2</v>
      </c>
      <c r="D34" s="66">
        <v>0.103922</v>
      </c>
      <c r="E34" s="66">
        <v>0.1</v>
      </c>
      <c r="F34" s="66">
        <v>0.15506500000000001</v>
      </c>
      <c r="G34" s="66">
        <v>0.25</v>
      </c>
      <c r="H34" s="66">
        <v>0.24479100000000001</v>
      </c>
    </row>
    <row r="35" spans="1:8">
      <c r="A35" s="66" t="s">
        <v>387</v>
      </c>
      <c r="B35" s="66">
        <v>7.5171500000000002E-2</v>
      </c>
      <c r="C35" s="66">
        <v>1.5887499999999999E-2</v>
      </c>
      <c r="D35" s="66">
        <v>0.21134900000000001</v>
      </c>
      <c r="E35" s="66">
        <v>0</v>
      </c>
      <c r="F35" s="66">
        <v>4.1199399999999997E-2</v>
      </c>
      <c r="G35" s="66">
        <v>0</v>
      </c>
      <c r="H35" s="66">
        <v>0.115255</v>
      </c>
    </row>
    <row r="36" spans="1:8">
      <c r="A36" s="66" t="s">
        <v>388</v>
      </c>
      <c r="B36" s="66">
        <v>0.18188099999999999</v>
      </c>
      <c r="C36" s="66">
        <v>7.9834500000000003E-2</v>
      </c>
      <c r="D36" s="66">
        <v>0.43893900000000002</v>
      </c>
      <c r="E36" s="66">
        <v>0</v>
      </c>
      <c r="F36" s="66">
        <v>3.5049999999999998E-2</v>
      </c>
      <c r="G36" s="66">
        <v>0</v>
      </c>
      <c r="H36" s="66">
        <v>0.45768399999999998</v>
      </c>
    </row>
    <row r="37" spans="1:8">
      <c r="A37" s="66" t="s">
        <v>389</v>
      </c>
      <c r="B37" s="66">
        <v>0.20336399999999999</v>
      </c>
      <c r="C37" s="66">
        <v>6.7388400000000001E-2</v>
      </c>
      <c r="D37" s="66">
        <v>0.33136900000000002</v>
      </c>
      <c r="E37" s="66">
        <v>0.1</v>
      </c>
      <c r="F37" s="66">
        <v>2.1425E-2</v>
      </c>
      <c r="G37" s="66">
        <v>0.5</v>
      </c>
      <c r="H37" s="66">
        <v>0.241817</v>
      </c>
    </row>
    <row r="38" spans="1:8">
      <c r="A38" s="66" t="s">
        <v>390</v>
      </c>
      <c r="B38" s="66">
        <v>-23.740500000000001</v>
      </c>
      <c r="C38" s="66">
        <v>33.8065</v>
      </c>
      <c r="D38" s="66">
        <v>-1.4239999999999999</v>
      </c>
      <c r="E38" s="66">
        <v>0</v>
      </c>
      <c r="F38" s="66">
        <v>-159.995</v>
      </c>
      <c r="G38" s="66">
        <v>0</v>
      </c>
      <c r="H38" s="66">
        <v>93.964699999999993</v>
      </c>
    </row>
    <row r="39" spans="1:8">
      <c r="A39" s="66" t="s">
        <v>391</v>
      </c>
      <c r="B39" s="66">
        <v>-7.1633699999999996</v>
      </c>
      <c r="C39" s="66">
        <v>2.3805200000000002</v>
      </c>
      <c r="D39" s="66">
        <v>-0.33231899999999998</v>
      </c>
      <c r="E39" s="66">
        <v>0</v>
      </c>
      <c r="F39" s="66">
        <v>-13.990500000000001</v>
      </c>
      <c r="G39" s="66">
        <v>0</v>
      </c>
      <c r="H39" s="66">
        <v>-2.6173799999999998</v>
      </c>
    </row>
    <row r="40" spans="1:8">
      <c r="A40" s="66" t="s">
        <v>392</v>
      </c>
      <c r="B40" s="66">
        <v>-2.4399700000000002</v>
      </c>
      <c r="C40" s="66">
        <v>0.465389</v>
      </c>
      <c r="D40" s="66">
        <v>-0.19073499999999999</v>
      </c>
      <c r="E40" s="66">
        <v>0</v>
      </c>
      <c r="F40" s="66">
        <v>-3.4640499999999999</v>
      </c>
      <c r="G40" s="66">
        <v>0</v>
      </c>
      <c r="H40" s="66">
        <v>-1.3981699999999999</v>
      </c>
    </row>
    <row r="41" spans="1:8">
      <c r="A41" s="66" t="s">
        <v>393</v>
      </c>
      <c r="B41" s="66">
        <v>-0.22193599999999999</v>
      </c>
      <c r="C41" s="66">
        <v>0.36932900000000002</v>
      </c>
      <c r="D41" s="66">
        <v>-1.6641300000000001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-0.19694500000000001</v>
      </c>
      <c r="C42" s="66">
        <v>6.1431800000000002E-2</v>
      </c>
      <c r="D42" s="66">
        <v>-0.31192399999999998</v>
      </c>
      <c r="E42" s="66">
        <v>0</v>
      </c>
      <c r="F42" s="66">
        <v>-0.40966799999999998</v>
      </c>
      <c r="G42" s="66">
        <v>0</v>
      </c>
      <c r="H42" s="66">
        <v>-4.5548499999999999E-2</v>
      </c>
    </row>
    <row r="43" spans="1:8">
      <c r="A43" s="66" t="s">
        <v>395</v>
      </c>
      <c r="B43" s="66">
        <v>-0.139209</v>
      </c>
      <c r="C43" s="66">
        <v>2.5780399999999998E-2</v>
      </c>
      <c r="D43" s="66">
        <v>-0.185192</v>
      </c>
      <c r="E43" s="66">
        <v>0</v>
      </c>
      <c r="F43" s="66">
        <v>-0.20646600000000001</v>
      </c>
      <c r="G43" s="66">
        <v>0</v>
      </c>
      <c r="H43" s="66">
        <v>-9.5987000000000003E-2</v>
      </c>
    </row>
    <row r="44" spans="1:8">
      <c r="A44" s="66" t="s">
        <v>396</v>
      </c>
      <c r="B44" s="66">
        <v>6.3848000000000003</v>
      </c>
      <c r="C44" s="66">
        <v>5.6844700000000001</v>
      </c>
      <c r="D44" s="66">
        <v>0.89031300000000002</v>
      </c>
      <c r="E44" s="66">
        <v>0</v>
      </c>
      <c r="F44" s="66">
        <v>-10.4062</v>
      </c>
      <c r="G44" s="66">
        <v>0</v>
      </c>
      <c r="H44" s="66">
        <v>12.7201</v>
      </c>
    </row>
    <row r="45" spans="1:8">
      <c r="A45" s="66" t="s">
        <v>397</v>
      </c>
      <c r="B45" s="66">
        <v>62.385800000000003</v>
      </c>
      <c r="C45" s="66">
        <v>7.1914999999999996</v>
      </c>
      <c r="D45" s="66">
        <v>0.115275</v>
      </c>
      <c r="E45" s="66">
        <v>0</v>
      </c>
      <c r="F45" s="66">
        <v>50.250700000000002</v>
      </c>
      <c r="G45" s="66">
        <v>0</v>
      </c>
      <c r="H45" s="66">
        <v>84.319699999999997</v>
      </c>
    </row>
    <row r="46" spans="1:8">
      <c r="A46" s="66" t="s">
        <v>398</v>
      </c>
      <c r="B46" s="66">
        <v>45.706400000000002</v>
      </c>
      <c r="C46" s="66">
        <v>13.156700000000001</v>
      </c>
      <c r="D46" s="66">
        <v>0.287854</v>
      </c>
      <c r="E46" s="66">
        <v>0</v>
      </c>
      <c r="F46" s="66">
        <v>8.5515399999999993</v>
      </c>
      <c r="G46" s="66">
        <v>0</v>
      </c>
      <c r="H46" s="66">
        <v>52.154600000000002</v>
      </c>
    </row>
    <row r="47" spans="1:8">
      <c r="A47" s="66" t="s">
        <v>399</v>
      </c>
      <c r="B47" s="66">
        <v>0.91055200000000003</v>
      </c>
      <c r="C47" s="66">
        <v>0.28854800000000003</v>
      </c>
      <c r="D47" s="66">
        <v>0.31689299999999998</v>
      </c>
      <c r="E47" s="66">
        <v>0</v>
      </c>
      <c r="F47" s="66">
        <v>0.34156300000000001</v>
      </c>
      <c r="G47" s="66">
        <v>0</v>
      </c>
      <c r="H47" s="66">
        <v>1.55321</v>
      </c>
    </row>
    <row r="48" spans="1:8">
      <c r="A48" s="66" t="s">
        <v>400</v>
      </c>
      <c r="B48" s="66">
        <v>0.92370399999999997</v>
      </c>
      <c r="C48" s="66">
        <v>0.16426299999999999</v>
      </c>
      <c r="D48" s="66">
        <v>0.17782999999999999</v>
      </c>
      <c r="E48" s="66">
        <v>0</v>
      </c>
      <c r="F48" s="66">
        <v>0.72124200000000005</v>
      </c>
      <c r="G48" s="66">
        <v>0</v>
      </c>
      <c r="H48" s="66">
        <v>1.41469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54.863700000000001</v>
      </c>
      <c r="C5" s="66">
        <v>5.8712200000000001</v>
      </c>
      <c r="D5" s="66">
        <v>10.701499999999999</v>
      </c>
      <c r="E5" s="66">
        <v>20</v>
      </c>
      <c r="F5" s="66">
        <v>39.2425</v>
      </c>
      <c r="G5" s="66">
        <v>50</v>
      </c>
      <c r="H5" s="66">
        <v>64.566199999999995</v>
      </c>
    </row>
    <row r="6" spans="1:8">
      <c r="A6" s="66" t="s">
        <v>401</v>
      </c>
      <c r="B6" s="66">
        <v>35.546199999999999</v>
      </c>
      <c r="C6" s="66">
        <v>4.0146100000000002</v>
      </c>
      <c r="D6" s="66">
        <v>11.2941</v>
      </c>
      <c r="E6" s="66">
        <v>20</v>
      </c>
      <c r="F6" s="66">
        <v>31.923200000000001</v>
      </c>
      <c r="G6" s="66">
        <v>40</v>
      </c>
      <c r="H6" s="66">
        <v>47.619</v>
      </c>
    </row>
    <row r="7" spans="1:8">
      <c r="A7" s="66" t="s">
        <v>359</v>
      </c>
      <c r="B7" s="66">
        <v>26.394100000000002</v>
      </c>
      <c r="C7" s="66">
        <v>9.9476200000000006</v>
      </c>
      <c r="D7" s="66">
        <v>37.688800000000001</v>
      </c>
      <c r="E7" s="66">
        <v>15</v>
      </c>
      <c r="F7" s="66">
        <v>6.2787199999999999</v>
      </c>
      <c r="G7" s="66">
        <v>40</v>
      </c>
      <c r="H7" s="66">
        <v>51.501300000000001</v>
      </c>
    </row>
    <row r="8" spans="1:8">
      <c r="A8" s="66" t="s">
        <v>360</v>
      </c>
      <c r="B8" s="66">
        <v>39.777099999999997</v>
      </c>
      <c r="C8" s="66">
        <v>3.43066</v>
      </c>
      <c r="D8" s="66">
        <v>8.6247299999999996</v>
      </c>
      <c r="E8" s="66">
        <v>20</v>
      </c>
      <c r="F8" s="66">
        <v>31.6294</v>
      </c>
      <c r="G8" s="66">
        <v>50</v>
      </c>
      <c r="H8" s="66">
        <v>46.516500000000001</v>
      </c>
    </row>
    <row r="9" spans="1:8">
      <c r="A9" s="66" t="s">
        <v>361</v>
      </c>
      <c r="B9" s="66">
        <v>54.241500000000002</v>
      </c>
      <c r="C9" s="66">
        <v>4.8883799999999997</v>
      </c>
      <c r="D9" s="66">
        <v>9.0122499999999999</v>
      </c>
      <c r="E9" s="66">
        <v>50</v>
      </c>
      <c r="F9" s="66">
        <v>45.203000000000003</v>
      </c>
      <c r="G9" s="66">
        <v>100</v>
      </c>
      <c r="H9" s="66">
        <v>66.952100000000002</v>
      </c>
    </row>
    <row r="10" spans="1:8">
      <c r="A10" s="66" t="s">
        <v>362</v>
      </c>
      <c r="B10" s="66">
        <v>62.416200000000003</v>
      </c>
      <c r="C10" s="66">
        <v>6.2285599999999999</v>
      </c>
      <c r="D10" s="66">
        <v>9.9790799999999997</v>
      </c>
      <c r="E10" s="66">
        <v>40</v>
      </c>
      <c r="F10" s="66">
        <v>46.231499999999997</v>
      </c>
      <c r="G10" s="66">
        <v>100</v>
      </c>
      <c r="H10" s="66">
        <v>64.875600000000006</v>
      </c>
    </row>
    <row r="11" spans="1:8">
      <c r="A11" s="66" t="s">
        <v>363</v>
      </c>
      <c r="B11" s="66">
        <v>24.693999999999999</v>
      </c>
      <c r="C11" s="66">
        <v>2.6933400000000001</v>
      </c>
      <c r="D11" s="66">
        <v>10.9069</v>
      </c>
      <c r="E11" s="66">
        <v>10</v>
      </c>
      <c r="F11" s="66">
        <v>21.694199999999999</v>
      </c>
      <c r="G11" s="66">
        <v>50</v>
      </c>
      <c r="H11" s="66">
        <v>30.249400000000001</v>
      </c>
    </row>
    <row r="12" spans="1:8">
      <c r="A12" s="66" t="s">
        <v>364</v>
      </c>
      <c r="B12" s="66">
        <v>57.658200000000001</v>
      </c>
      <c r="C12" s="66">
        <v>3.1082999999999998</v>
      </c>
      <c r="D12" s="66">
        <v>5.3909000000000002</v>
      </c>
      <c r="E12" s="66">
        <v>50</v>
      </c>
      <c r="F12" s="66">
        <v>47.694499999999998</v>
      </c>
      <c r="G12" s="66">
        <v>100</v>
      </c>
      <c r="H12" s="66">
        <v>61.1982</v>
      </c>
    </row>
    <row r="13" spans="1:8">
      <c r="A13" s="66" t="s">
        <v>365</v>
      </c>
      <c r="B13" s="66">
        <v>22.5334</v>
      </c>
      <c r="C13" s="66">
        <v>2.0843500000000001</v>
      </c>
      <c r="D13" s="66">
        <v>9.2500300000000006</v>
      </c>
      <c r="E13" s="66">
        <v>10</v>
      </c>
      <c r="F13" s="66">
        <v>18.038799999999998</v>
      </c>
      <c r="G13" s="66">
        <v>25</v>
      </c>
      <c r="H13" s="66">
        <v>26.981999999999999</v>
      </c>
    </row>
    <row r="14" spans="1:8">
      <c r="A14" s="66" t="s">
        <v>402</v>
      </c>
      <c r="B14" s="66">
        <v>20.843499999999999</v>
      </c>
      <c r="C14" s="66">
        <v>7.3683500000000004</v>
      </c>
      <c r="D14" s="66">
        <v>35.350900000000003</v>
      </c>
      <c r="E14" s="66">
        <v>10</v>
      </c>
      <c r="F14" s="66">
        <v>3.5356399999999999</v>
      </c>
      <c r="G14" s="66">
        <v>50</v>
      </c>
      <c r="H14" s="66">
        <v>26.599799999999998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0.26318599999999998</v>
      </c>
      <c r="C18" s="66">
        <v>4.9546300000000001E-2</v>
      </c>
      <c r="D18" s="66">
        <v>0.18825600000000001</v>
      </c>
      <c r="E18" s="66">
        <v>0</v>
      </c>
      <c r="F18" s="66">
        <v>0.21364</v>
      </c>
      <c r="G18" s="66">
        <v>0</v>
      </c>
      <c r="H18" s="66">
        <v>0.31273200000000001</v>
      </c>
    </row>
    <row r="19" spans="1:8">
      <c r="A19" s="66" t="s">
        <v>371</v>
      </c>
      <c r="B19" s="66">
        <v>0.55660600000000005</v>
      </c>
      <c r="C19" s="66">
        <v>1.2021199999999999E-2</v>
      </c>
      <c r="D19" s="66">
        <v>2.15972E-2</v>
      </c>
      <c r="E19" s="66">
        <v>0</v>
      </c>
      <c r="F19" s="66">
        <v>0.54458499999999999</v>
      </c>
      <c r="G19" s="66">
        <v>0</v>
      </c>
      <c r="H19" s="66">
        <v>0.56862699999999999</v>
      </c>
    </row>
    <row r="20" spans="1:8">
      <c r="A20" s="66" t="s">
        <v>403</v>
      </c>
      <c r="B20" s="66">
        <v>1.52903E-4</v>
      </c>
      <c r="C20" s="66">
        <v>9.46842E-3</v>
      </c>
      <c r="D20" s="66">
        <v>61.924300000000002</v>
      </c>
      <c r="E20" s="66">
        <v>0</v>
      </c>
      <c r="F20" s="66">
        <v>0</v>
      </c>
      <c r="G20" s="66">
        <v>0</v>
      </c>
      <c r="H20" s="66">
        <v>9.9914600000000006E-2</v>
      </c>
    </row>
    <row r="21" spans="1:8">
      <c r="A21" s="66" t="s">
        <v>373</v>
      </c>
      <c r="B21" s="66">
        <v>6.3497300000000007E-2</v>
      </c>
      <c r="C21" s="66">
        <v>0.216725</v>
      </c>
      <c r="D21" s="66">
        <v>3.4131300000000002</v>
      </c>
      <c r="E21" s="66">
        <v>0</v>
      </c>
      <c r="F21" s="66">
        <v>4.69133E-4</v>
      </c>
      <c r="G21" s="66">
        <v>0</v>
      </c>
      <c r="H21" s="66">
        <v>1.7146999999999999</v>
      </c>
    </row>
    <row r="22" spans="1:8">
      <c r="A22" s="66" t="s">
        <v>374</v>
      </c>
      <c r="B22" s="66">
        <v>37.1845</v>
      </c>
      <c r="C22" s="66">
        <v>13.142300000000001</v>
      </c>
      <c r="D22" s="66">
        <v>0.35343599999999997</v>
      </c>
      <c r="E22" s="66">
        <v>0</v>
      </c>
      <c r="F22" s="66">
        <v>19.7913</v>
      </c>
      <c r="G22" s="66">
        <v>0</v>
      </c>
      <c r="H22" s="66">
        <v>72.723600000000005</v>
      </c>
    </row>
    <row r="23" spans="1:8">
      <c r="A23" s="66" t="s">
        <v>375</v>
      </c>
      <c r="B23" s="66">
        <v>18.484999999999999</v>
      </c>
      <c r="C23" s="66">
        <v>2.1482299999999999</v>
      </c>
      <c r="D23" s="66">
        <v>0.116215</v>
      </c>
      <c r="E23" s="66">
        <v>0</v>
      </c>
      <c r="F23" s="66">
        <v>14.6897</v>
      </c>
      <c r="G23" s="66">
        <v>0</v>
      </c>
      <c r="H23" s="66">
        <v>21.741800000000001</v>
      </c>
    </row>
    <row r="24" spans="1:8">
      <c r="A24" s="66" t="s">
        <v>404</v>
      </c>
      <c r="B24" s="66">
        <v>4.2026999999999999E-4</v>
      </c>
      <c r="C24" s="66">
        <v>6.6373500000000002E-3</v>
      </c>
      <c r="D24" s="66">
        <v>15.793100000000001</v>
      </c>
      <c r="E24" s="66">
        <v>0</v>
      </c>
      <c r="F24" s="196">
        <v>1.03078E-6</v>
      </c>
      <c r="G24" s="66">
        <v>0</v>
      </c>
      <c r="H24" s="66">
        <v>5.4527800000000001E-2</v>
      </c>
    </row>
    <row r="25" spans="1:8">
      <c r="A25" s="66" t="s">
        <v>377</v>
      </c>
      <c r="B25" s="66">
        <v>8.0848799999999998E-2</v>
      </c>
      <c r="C25" s="66">
        <v>0.12532799999999999</v>
      </c>
      <c r="D25" s="66">
        <v>1.5501499999999999</v>
      </c>
      <c r="E25" s="66">
        <v>0</v>
      </c>
      <c r="F25" s="66">
        <v>2.3185799999999999E-2</v>
      </c>
      <c r="G25" s="66">
        <v>0</v>
      </c>
      <c r="H25" s="66">
        <v>0.57091599999999998</v>
      </c>
    </row>
    <row r="26" spans="1:8">
      <c r="A26" s="66" t="s">
        <v>378</v>
      </c>
      <c r="B26" s="196">
        <v>5.2521000000000001E-5</v>
      </c>
      <c r="C26" s="66">
        <v>1.57E-3</v>
      </c>
      <c r="D26" s="66">
        <v>29.892800000000001</v>
      </c>
      <c r="E26" s="66">
        <v>0</v>
      </c>
      <c r="F26" s="66">
        <v>0</v>
      </c>
      <c r="G26" s="66">
        <v>0</v>
      </c>
      <c r="H26" s="66">
        <v>1.5218000000000001E-2</v>
      </c>
    </row>
    <row r="27" spans="1:8">
      <c r="A27" s="66" t="s">
        <v>379</v>
      </c>
      <c r="B27" s="66">
        <v>0</v>
      </c>
      <c r="C27" s="66">
        <v>7.9871800000000002E-4</v>
      </c>
      <c r="D27" s="66">
        <v>0</v>
      </c>
      <c r="E27" s="66">
        <v>0</v>
      </c>
      <c r="F27" s="66">
        <v>-6.3583199999999998E-3</v>
      </c>
      <c r="G27" s="66">
        <v>0</v>
      </c>
      <c r="H27" s="66">
        <v>7.3791999999999998E-3</v>
      </c>
    </row>
    <row r="28" spans="1:8">
      <c r="A28" s="66" t="s">
        <v>380</v>
      </c>
      <c r="B28" s="66">
        <v>1.1080700000000001E-2</v>
      </c>
      <c r="C28" s="66">
        <v>1.7228299999999998E-2</v>
      </c>
      <c r="D28" s="66">
        <v>1.5548</v>
      </c>
      <c r="E28" s="66">
        <v>0</v>
      </c>
      <c r="F28" s="66">
        <v>3.6132800000000001E-4</v>
      </c>
      <c r="G28" s="66">
        <v>0</v>
      </c>
      <c r="H28" s="66">
        <v>0.117992</v>
      </c>
    </row>
    <row r="29" spans="1:8">
      <c r="A29" s="66" t="s">
        <v>381</v>
      </c>
      <c r="B29" s="66">
        <v>82.473500000000001</v>
      </c>
      <c r="C29" s="66">
        <v>11.8696</v>
      </c>
      <c r="D29" s="66">
        <v>0.14391999999999999</v>
      </c>
      <c r="E29" s="66">
        <v>0</v>
      </c>
      <c r="F29" s="66">
        <v>54.8414</v>
      </c>
      <c r="G29" s="66">
        <v>0</v>
      </c>
      <c r="H29" s="66">
        <v>108.32599999999999</v>
      </c>
    </row>
    <row r="30" spans="1:8">
      <c r="A30" s="66" t="s">
        <v>382</v>
      </c>
      <c r="B30" s="66">
        <v>29.735600000000002</v>
      </c>
      <c r="C30" s="66">
        <v>1.9024300000000001</v>
      </c>
      <c r="D30" s="66">
        <v>6.3978300000000002E-2</v>
      </c>
      <c r="E30" s="66">
        <v>0</v>
      </c>
      <c r="F30" s="66">
        <v>24.232099999999999</v>
      </c>
      <c r="G30" s="66">
        <v>0</v>
      </c>
      <c r="H30" s="66">
        <v>33.366199999999999</v>
      </c>
    </row>
    <row r="31" spans="1:8">
      <c r="A31" s="66" t="s">
        <v>383</v>
      </c>
      <c r="B31" s="66">
        <v>102.297</v>
      </c>
      <c r="C31" s="66">
        <v>21.7986</v>
      </c>
      <c r="D31" s="66">
        <v>0.213091</v>
      </c>
      <c r="E31" s="66">
        <v>0</v>
      </c>
      <c r="F31" s="66">
        <v>64.686300000000003</v>
      </c>
      <c r="G31" s="66">
        <v>0</v>
      </c>
      <c r="H31" s="66">
        <v>128.685</v>
      </c>
    </row>
    <row r="32" spans="1:8">
      <c r="A32" s="66" t="s">
        <v>384</v>
      </c>
      <c r="B32" s="66">
        <v>0.26394099999999998</v>
      </c>
      <c r="C32" s="66">
        <v>9.9476200000000001E-2</v>
      </c>
      <c r="D32" s="66">
        <v>0.376888</v>
      </c>
      <c r="E32" s="66">
        <v>0.15</v>
      </c>
      <c r="F32" s="66">
        <v>6.2787200000000001E-2</v>
      </c>
      <c r="G32" s="66">
        <v>0.4</v>
      </c>
      <c r="H32" s="66">
        <v>0.51501300000000005</v>
      </c>
    </row>
    <row r="33" spans="1:8">
      <c r="A33" s="66" t="s">
        <v>385</v>
      </c>
      <c r="B33" s="66">
        <v>0.41917199999999999</v>
      </c>
      <c r="C33" s="66">
        <v>2.92701E-2</v>
      </c>
      <c r="D33" s="66">
        <v>6.9828500000000002E-2</v>
      </c>
      <c r="E33" s="66">
        <v>0</v>
      </c>
      <c r="F33" s="66">
        <v>0.30308499999999999</v>
      </c>
      <c r="G33" s="66">
        <v>0</v>
      </c>
      <c r="H33" s="66">
        <v>0.44440200000000002</v>
      </c>
    </row>
    <row r="34" spans="1:8">
      <c r="A34" s="66" t="s">
        <v>386</v>
      </c>
      <c r="B34" s="66">
        <v>0.22533400000000001</v>
      </c>
      <c r="C34" s="66">
        <v>2.0843500000000001E-2</v>
      </c>
      <c r="D34" s="66">
        <v>9.2500299999999994E-2</v>
      </c>
      <c r="E34" s="66">
        <v>0.1</v>
      </c>
      <c r="F34" s="66">
        <v>0.18038799999999999</v>
      </c>
      <c r="G34" s="66">
        <v>0.25</v>
      </c>
      <c r="H34" s="66">
        <v>0.26982</v>
      </c>
    </row>
    <row r="35" spans="1:8">
      <c r="A35" s="66" t="s">
        <v>387</v>
      </c>
      <c r="B35" s="66">
        <v>8.2541000000000003E-2</v>
      </c>
      <c r="C35" s="66">
        <v>2.5680399999999999E-2</v>
      </c>
      <c r="D35" s="66">
        <v>0.31112299999999998</v>
      </c>
      <c r="E35" s="66">
        <v>0</v>
      </c>
      <c r="F35" s="66">
        <v>2.8344000000000001E-2</v>
      </c>
      <c r="G35" s="66">
        <v>0</v>
      </c>
      <c r="H35" s="66">
        <v>0.14031099999999999</v>
      </c>
    </row>
    <row r="36" spans="1:8">
      <c r="A36" s="66" t="s">
        <v>388</v>
      </c>
      <c r="B36" s="66">
        <v>0.202046</v>
      </c>
      <c r="C36" s="66">
        <v>9.3565499999999996E-2</v>
      </c>
      <c r="D36" s="66">
        <v>0.46309099999999997</v>
      </c>
      <c r="E36" s="66">
        <v>0</v>
      </c>
      <c r="F36" s="66">
        <v>5.1052199999999999E-2</v>
      </c>
      <c r="G36" s="66">
        <v>0</v>
      </c>
      <c r="H36" s="66">
        <v>0.55448299999999995</v>
      </c>
    </row>
    <row r="37" spans="1:8">
      <c r="A37" s="66" t="s">
        <v>389</v>
      </c>
      <c r="B37" s="66">
        <v>0.20843500000000001</v>
      </c>
      <c r="C37" s="66">
        <v>7.3683499999999999E-2</v>
      </c>
      <c r="D37" s="66">
        <v>0.35350900000000002</v>
      </c>
      <c r="E37" s="66">
        <v>0.1</v>
      </c>
      <c r="F37" s="66">
        <v>3.5356400000000003E-2</v>
      </c>
      <c r="G37" s="66">
        <v>0.5</v>
      </c>
      <c r="H37" s="66">
        <v>0.26599800000000001</v>
      </c>
    </row>
    <row r="38" spans="1:8">
      <c r="A38" s="66" t="s">
        <v>390</v>
      </c>
      <c r="B38" s="66">
        <v>-21.443999999999999</v>
      </c>
      <c r="C38" s="66">
        <v>25.357399999999998</v>
      </c>
      <c r="D38" s="66">
        <v>-1.18249</v>
      </c>
      <c r="E38" s="66">
        <v>0</v>
      </c>
      <c r="F38" s="66">
        <v>-64.720200000000006</v>
      </c>
      <c r="G38" s="66">
        <v>0</v>
      </c>
      <c r="H38" s="66">
        <v>67.034499999999994</v>
      </c>
    </row>
    <row r="39" spans="1:8">
      <c r="A39" s="66" t="s">
        <v>391</v>
      </c>
      <c r="B39" s="66">
        <v>-6.8431699999999998</v>
      </c>
      <c r="C39" s="66">
        <v>3.05606</v>
      </c>
      <c r="D39" s="66">
        <v>-0.44658500000000001</v>
      </c>
      <c r="E39" s="66">
        <v>0</v>
      </c>
      <c r="F39" s="66">
        <v>-16.198599999999999</v>
      </c>
      <c r="G39" s="66">
        <v>0</v>
      </c>
      <c r="H39" s="66">
        <v>-1.2982499999999999</v>
      </c>
    </row>
    <row r="40" spans="1:8">
      <c r="A40" s="66" t="s">
        <v>392</v>
      </c>
      <c r="B40" s="66">
        <v>-2.2806899999999999</v>
      </c>
      <c r="C40" s="66">
        <v>0.60269600000000001</v>
      </c>
      <c r="D40" s="66">
        <v>-0.26426100000000002</v>
      </c>
      <c r="E40" s="66">
        <v>0</v>
      </c>
      <c r="F40" s="66">
        <v>-3.3715600000000001</v>
      </c>
      <c r="G40" s="66">
        <v>0</v>
      </c>
      <c r="H40" s="66">
        <v>-0.811446</v>
      </c>
    </row>
    <row r="41" spans="1:8">
      <c r="A41" s="66" t="s">
        <v>393</v>
      </c>
      <c r="B41" s="66">
        <v>-0.20198099999999999</v>
      </c>
      <c r="C41" s="66">
        <v>0.34784900000000002</v>
      </c>
      <c r="D41" s="66">
        <v>-1.72218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-0.160221</v>
      </c>
      <c r="C42" s="66">
        <v>8.6227899999999996E-2</v>
      </c>
      <c r="D42" s="66">
        <v>-0.53818100000000002</v>
      </c>
      <c r="E42" s="66">
        <v>0</v>
      </c>
      <c r="F42" s="66">
        <v>-0.590341</v>
      </c>
      <c r="G42" s="66">
        <v>0</v>
      </c>
      <c r="H42" s="66">
        <v>-4.37052E-2</v>
      </c>
    </row>
    <row r="43" spans="1:8">
      <c r="A43" s="66" t="s">
        <v>395</v>
      </c>
      <c r="B43" s="66">
        <v>-7.5731199999999999E-2</v>
      </c>
      <c r="C43" s="66">
        <v>3.9160399999999998E-2</v>
      </c>
      <c r="D43" s="66">
        <v>-0.51709700000000003</v>
      </c>
      <c r="E43" s="66">
        <v>0</v>
      </c>
      <c r="F43" s="66">
        <v>-0.18526500000000001</v>
      </c>
      <c r="G43" s="66">
        <v>0</v>
      </c>
      <c r="H43" s="66">
        <v>-2.5831900000000001E-2</v>
      </c>
    </row>
    <row r="44" spans="1:8">
      <c r="A44" s="66" t="s">
        <v>396</v>
      </c>
      <c r="B44" s="66">
        <v>-7.8951000000000002</v>
      </c>
      <c r="C44" s="66">
        <v>12.4217</v>
      </c>
      <c r="D44" s="66">
        <v>-1.57334</v>
      </c>
      <c r="E44" s="66">
        <v>0</v>
      </c>
      <c r="F44" s="66">
        <v>-33.5274</v>
      </c>
      <c r="G44" s="66">
        <v>0</v>
      </c>
      <c r="H44" s="66">
        <v>10.356199999999999</v>
      </c>
    </row>
    <row r="45" spans="1:8">
      <c r="A45" s="66" t="s">
        <v>397</v>
      </c>
      <c r="B45" s="66">
        <v>64.730900000000005</v>
      </c>
      <c r="C45" s="66">
        <v>7.5847499999999997</v>
      </c>
      <c r="D45" s="66">
        <v>0.117174</v>
      </c>
      <c r="E45" s="66">
        <v>0</v>
      </c>
      <c r="F45" s="66">
        <v>45.1417</v>
      </c>
      <c r="G45" s="66">
        <v>0</v>
      </c>
      <c r="H45" s="66">
        <v>82.5989</v>
      </c>
    </row>
    <row r="46" spans="1:8">
      <c r="A46" s="66" t="s">
        <v>398</v>
      </c>
      <c r="B46" s="66">
        <v>46.414400000000001</v>
      </c>
      <c r="C46" s="66">
        <v>3.8148599999999999</v>
      </c>
      <c r="D46" s="66">
        <v>8.2191299999999995E-2</v>
      </c>
      <c r="E46" s="66">
        <v>0</v>
      </c>
      <c r="F46" s="66">
        <v>40.258000000000003</v>
      </c>
      <c r="G46" s="66">
        <v>0</v>
      </c>
      <c r="H46" s="66">
        <v>54.359099999999998</v>
      </c>
    </row>
    <row r="47" spans="1:8">
      <c r="A47" s="66" t="s">
        <v>399</v>
      </c>
      <c r="B47" s="66">
        <v>0.90526399999999996</v>
      </c>
      <c r="C47" s="66">
        <v>0.47906100000000001</v>
      </c>
      <c r="D47" s="66">
        <v>0.52919499999999997</v>
      </c>
      <c r="E47" s="66">
        <v>0</v>
      </c>
      <c r="F47" s="66">
        <v>0.400667</v>
      </c>
      <c r="G47" s="66">
        <v>0</v>
      </c>
      <c r="H47" s="66">
        <v>2.82185</v>
      </c>
    </row>
    <row r="48" spans="1:8">
      <c r="A48" s="66" t="s">
        <v>400</v>
      </c>
      <c r="B48" s="66">
        <v>0.86548800000000004</v>
      </c>
      <c r="C48" s="66">
        <v>8.0176600000000001E-2</v>
      </c>
      <c r="D48" s="66">
        <v>9.2637399999999995E-2</v>
      </c>
      <c r="E48" s="66">
        <v>0</v>
      </c>
      <c r="F48" s="66">
        <v>0.72417900000000002</v>
      </c>
      <c r="G48" s="66">
        <v>0</v>
      </c>
      <c r="H48" s="66">
        <v>1.05219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405</v>
      </c>
      <c r="B1" s="60" t="s">
        <v>406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96.988255350263202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1.8725997893099582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0.80111414610653109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24763</v>
      </c>
      <c r="B8" s="66">
        <v>24763</v>
      </c>
      <c r="D8">
        <f t="shared" si="0"/>
        <v>0.19347454117867663</v>
      </c>
      <c r="E8">
        <f t="shared" si="0"/>
        <v>0.19347454117867663</v>
      </c>
      <c r="G8">
        <f t="shared" ca="1" si="1"/>
        <v>6</v>
      </c>
      <c r="H8">
        <f t="shared" ca="1" si="2"/>
        <v>1.1608472470720597</v>
      </c>
      <c r="I8">
        <f t="shared" ca="1" si="3"/>
        <v>1601.749145276998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27251</v>
      </c>
      <c r="B10" s="66">
        <v>27251</v>
      </c>
      <c r="D10">
        <f t="shared" si="0"/>
        <v>0.21291340797399816</v>
      </c>
      <c r="E10">
        <f t="shared" si="0"/>
        <v>0.21291340797399816</v>
      </c>
      <c r="G10">
        <f t="shared" ca="1" si="1"/>
        <v>8</v>
      </c>
      <c r="H10">
        <f t="shared" ca="1" si="2"/>
        <v>1.7033072637919853</v>
      </c>
      <c r="I10">
        <f t="shared" ca="1" si="3"/>
        <v>1686.0420283052688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27215</v>
      </c>
      <c r="B13" s="66">
        <v>27215</v>
      </c>
      <c r="D13">
        <f t="shared" si="0"/>
        <v>0.21263213819721699</v>
      </c>
      <c r="E13">
        <f t="shared" si="0"/>
        <v>0.21263213819721699</v>
      </c>
      <c r="G13">
        <f t="shared" ca="1" si="1"/>
        <v>11</v>
      </c>
      <c r="H13">
        <f t="shared" ca="1" si="2"/>
        <v>2.3389535201693867</v>
      </c>
      <c r="I13">
        <f t="shared" ca="1" si="3"/>
        <v>1572.1977895588361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35092</v>
      </c>
      <c r="B15" s="66">
        <v>35092</v>
      </c>
      <c r="D15">
        <f t="shared" si="0"/>
        <v>0.27417552796681016</v>
      </c>
      <c r="E15">
        <f t="shared" si="0"/>
        <v>0.27417552796681016</v>
      </c>
      <c r="G15">
        <f t="shared" ca="1" si="1"/>
        <v>13</v>
      </c>
      <c r="H15">
        <f t="shared" ca="1" si="2"/>
        <v>3.564281863568532</v>
      </c>
      <c r="I15">
        <f t="shared" ca="1" si="3"/>
        <v>1934.0415871015882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37437</v>
      </c>
      <c r="B18" s="66">
        <v>37437</v>
      </c>
      <c r="D18">
        <f t="shared" si="0"/>
        <v>0.29249712870436201</v>
      </c>
      <c r="E18">
        <f t="shared" si="0"/>
        <v>0.29249712870436201</v>
      </c>
      <c r="G18">
        <f t="shared" ca="1" si="1"/>
        <v>16</v>
      </c>
      <c r="H18">
        <f t="shared" ca="1" si="2"/>
        <v>4.6799540592697921</v>
      </c>
      <c r="I18">
        <f t="shared" ca="1" si="3"/>
        <v>1918.5171870106808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42710</v>
      </c>
      <c r="B21" s="66">
        <v>42710</v>
      </c>
      <c r="D21">
        <f t="shared" si="0"/>
        <v>0.33369533795344986</v>
      </c>
      <c r="E21">
        <f t="shared" si="0"/>
        <v>0.33369533795344986</v>
      </c>
      <c r="G21">
        <f t="shared" ca="1" si="1"/>
        <v>19</v>
      </c>
      <c r="H21">
        <f t="shared" ca="1" si="2"/>
        <v>6.3402114211155469</v>
      </c>
      <c r="I21">
        <f t="shared" ca="1" si="3"/>
        <v>2029.5910970990169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47443</v>
      </c>
      <c r="B23" s="66">
        <v>47443</v>
      </c>
      <c r="D23">
        <f t="shared" si="0"/>
        <v>0.37067450055081996</v>
      </c>
      <c r="E23">
        <f t="shared" si="0"/>
        <v>0.37067450055081996</v>
      </c>
      <c r="G23">
        <f t="shared" ca="1" si="1"/>
        <v>21</v>
      </c>
      <c r="H23">
        <f t="shared" ca="1" si="2"/>
        <v>7.7841645115672193</v>
      </c>
      <c r="I23">
        <f t="shared" ca="1" si="3"/>
        <v>2140.354243100539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49056</v>
      </c>
      <c r="B26" s="66">
        <v>49056</v>
      </c>
      <c r="D26">
        <f t="shared" si="0"/>
        <v>0.38327694916048782</v>
      </c>
      <c r="E26">
        <f t="shared" si="0"/>
        <v>0.38327694916048782</v>
      </c>
      <c r="G26">
        <f t="shared" ca="1" si="1"/>
        <v>24</v>
      </c>
      <c r="H26">
        <f t="shared" ca="1" si="2"/>
        <v>9.1986467798517069</v>
      </c>
      <c r="I26">
        <f t="shared" ca="1" si="3"/>
        <v>2041.8257027303032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52285</v>
      </c>
      <c r="B28" s="66">
        <v>52285</v>
      </c>
      <c r="D28">
        <f t="shared" si="0"/>
        <v>0.40850528552788867</v>
      </c>
      <c r="E28">
        <f t="shared" si="0"/>
        <v>0.40850528552788867</v>
      </c>
      <c r="G28">
        <f t="shared" ca="1" si="1"/>
        <v>26</v>
      </c>
      <c r="H28">
        <f t="shared" ca="1" si="2"/>
        <v>10.621137423725106</v>
      </c>
      <c r="I28">
        <f t="shared" ca="1" si="3"/>
        <v>2058.5939199818276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55521</v>
      </c>
      <c r="B31" s="66">
        <v>55521</v>
      </c>
      <c r="D31">
        <f t="shared" si="0"/>
        <v>0.43378831324077471</v>
      </c>
      <c r="E31">
        <f t="shared" si="0"/>
        <v>0.43378831324077471</v>
      </c>
      <c r="G31">
        <f t="shared" ca="1" si="1"/>
        <v>29</v>
      </c>
      <c r="H31">
        <f t="shared" ca="1" si="2"/>
        <v>12.579861083982466</v>
      </c>
      <c r="I31">
        <f t="shared" ca="1" si="3"/>
        <v>2005.1443421760587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59413</v>
      </c>
      <c r="B33" s="66">
        <v>59413</v>
      </c>
      <c r="D33">
        <f t="shared" si="0"/>
        <v>0.46419670133056229</v>
      </c>
      <c r="E33">
        <f t="shared" si="0"/>
        <v>0.46419670133056229</v>
      </c>
      <c r="G33">
        <f t="shared" ca="1" si="1"/>
        <v>31</v>
      </c>
      <c r="H33">
        <f t="shared" ca="1" si="2"/>
        <v>14.39009774124743</v>
      </c>
      <c r="I33">
        <f t="shared" ca="1" si="3"/>
        <v>2021.32125377381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63536</v>
      </c>
      <c r="B36" s="66">
        <v>63536</v>
      </c>
      <c r="D36">
        <f t="shared" si="0"/>
        <v>0.49640990382136246</v>
      </c>
      <c r="E36">
        <f t="shared" si="0"/>
        <v>0.49640990382136246</v>
      </c>
      <c r="G36">
        <f t="shared" ca="1" si="1"/>
        <v>34</v>
      </c>
      <c r="H36">
        <f t="shared" ca="1" si="2"/>
        <v>16.877936729926322</v>
      </c>
      <c r="I36">
        <f t="shared" ca="1" si="3"/>
        <v>1969.5163765239513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63919</v>
      </c>
      <c r="B39" s="66">
        <v>63919</v>
      </c>
      <c r="D39">
        <f t="shared" si="0"/>
        <v>0.49940230172433997</v>
      </c>
      <c r="E39">
        <f t="shared" si="0"/>
        <v>0.49940230172433997</v>
      </c>
      <c r="G39">
        <f t="shared" ca="1" si="1"/>
        <v>37</v>
      </c>
      <c r="H39">
        <f t="shared" ca="1" si="2"/>
        <v>18.477885163800579</v>
      </c>
      <c r="I39">
        <f t="shared" ca="1" si="3"/>
        <v>1797.1445184801978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63352</v>
      </c>
      <c r="B41" s="66">
        <v>63352</v>
      </c>
      <c r="D41">
        <f t="shared" si="0"/>
        <v>0.4949723027400364</v>
      </c>
      <c r="E41">
        <f t="shared" si="0"/>
        <v>0.4949723027400364</v>
      </c>
      <c r="G41">
        <f t="shared" ca="1" si="1"/>
        <v>39</v>
      </c>
      <c r="H41">
        <f t="shared" ca="1" si="2"/>
        <v>19.303919806861419</v>
      </c>
      <c r="I41">
        <f t="shared" ca="1" si="3"/>
        <v>1664.4125546386654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70699</v>
      </c>
      <c r="B44" s="66">
        <v>70699</v>
      </c>
      <c r="D44">
        <f t="shared" si="0"/>
        <v>0.55237477635146226</v>
      </c>
      <c r="E44">
        <f t="shared" si="0"/>
        <v>0.55237477635146226</v>
      </c>
      <c r="G44">
        <f t="shared" ca="1" si="1"/>
        <v>42</v>
      </c>
      <c r="H44">
        <f t="shared" ca="1" si="2"/>
        <v>23.199740606761416</v>
      </c>
      <c r="I44">
        <f t="shared" ca="1" si="3"/>
        <v>1670.220155346095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67614</v>
      </c>
      <c r="B46" s="66">
        <v>67614</v>
      </c>
      <c r="D46">
        <f t="shared" si="0"/>
        <v>0.52827151909118608</v>
      </c>
      <c r="E46">
        <f t="shared" si="0"/>
        <v>0.52827151909118608</v>
      </c>
      <c r="G46">
        <f t="shared" ca="1" si="1"/>
        <v>44</v>
      </c>
      <c r="H46">
        <f t="shared" ca="1" si="2"/>
        <v>23.243946840012189</v>
      </c>
      <c r="I46">
        <f t="shared" ca="1" si="3"/>
        <v>1483.2571074157122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70265</v>
      </c>
      <c r="B49" s="66">
        <v>70265</v>
      </c>
      <c r="D49">
        <f t="shared" si="0"/>
        <v>0.54898391293137794</v>
      </c>
      <c r="E49">
        <f t="shared" si="0"/>
        <v>0.54898391293137794</v>
      </c>
      <c r="G49">
        <f t="shared" ca="1" si="1"/>
        <v>47</v>
      </c>
      <c r="H49">
        <f t="shared" ca="1" si="2"/>
        <v>25.802243907774763</v>
      </c>
      <c r="I49">
        <f t="shared" ca="1" si="3"/>
        <v>1371.815095676676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72269</v>
      </c>
      <c r="B51" s="66">
        <v>72269</v>
      </c>
      <c r="D51">
        <f t="shared" si="0"/>
        <v>0.56464126383886371</v>
      </c>
      <c r="E51">
        <f t="shared" si="0"/>
        <v>0.56464126383886371</v>
      </c>
      <c r="G51">
        <f t="shared" ca="1" si="1"/>
        <v>49</v>
      </c>
      <c r="H51">
        <f t="shared" ca="1" si="2"/>
        <v>27.667421928104321</v>
      </c>
      <c r="I51">
        <f t="shared" ca="1" si="3"/>
        <v>1300.2969244379594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69460</v>
      </c>
      <c r="B54" s="66">
        <v>69460</v>
      </c>
      <c r="D54">
        <f t="shared" si="0"/>
        <v>0.54269440820057657</v>
      </c>
      <c r="E54">
        <f t="shared" si="0"/>
        <v>0.54269440820057657</v>
      </c>
      <c r="G54">
        <f t="shared" ca="1" si="1"/>
        <v>52</v>
      </c>
      <c r="H54">
        <f t="shared" ca="1" si="2"/>
        <v>28.220109226429983</v>
      </c>
      <c r="I54">
        <f t="shared" ca="1" si="3"/>
        <v>1098.3826134472372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69289</v>
      </c>
      <c r="B57" s="66">
        <v>69289</v>
      </c>
      <c r="D57">
        <f t="shared" si="0"/>
        <v>0.54135837676086596</v>
      </c>
      <c r="E57">
        <f t="shared" si="0"/>
        <v>0.54135837676086596</v>
      </c>
      <c r="G57">
        <f t="shared" ca="1" si="1"/>
        <v>55</v>
      </c>
      <c r="H57">
        <f t="shared" ca="1" si="2"/>
        <v>29.774710721847626</v>
      </c>
      <c r="I57">
        <f t="shared" ca="1" si="3"/>
        <v>954.42217385996867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66151</v>
      </c>
      <c r="B59" s="66">
        <v>66151</v>
      </c>
      <c r="D59">
        <f t="shared" si="0"/>
        <v>0.51684102788477315</v>
      </c>
      <c r="E59">
        <f t="shared" si="0"/>
        <v>0.51684102788477315</v>
      </c>
      <c r="G59">
        <f t="shared" ca="1" si="1"/>
        <v>57</v>
      </c>
      <c r="H59">
        <f t="shared" ca="1" si="2"/>
        <v>29.45993858943207</v>
      </c>
      <c r="I59">
        <f t="shared" ca="1" si="3"/>
        <v>826.46010655966415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68676</v>
      </c>
      <c r="B62" s="66">
        <v>68676</v>
      </c>
      <c r="D62">
        <f t="shared" si="0"/>
        <v>0.53656897750623089</v>
      </c>
      <c r="E62">
        <f t="shared" si="0"/>
        <v>0.53656897750623089</v>
      </c>
      <c r="G62">
        <f t="shared" ca="1" si="1"/>
        <v>60</v>
      </c>
      <c r="H62">
        <f t="shared" ca="1" si="2"/>
        <v>32.194138650373851</v>
      </c>
      <c r="I62">
        <f t="shared" ca="1" si="3"/>
        <v>734.09666993080373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77174</v>
      </c>
      <c r="B64" s="66">
        <v>77174</v>
      </c>
      <c r="D64">
        <f t="shared" si="0"/>
        <v>0.60296427092529947</v>
      </c>
      <c r="E64">
        <f t="shared" si="0"/>
        <v>0.60296427092529947</v>
      </c>
      <c r="G64">
        <f t="shared" ca="1" si="1"/>
        <v>62</v>
      </c>
      <c r="H64">
        <f t="shared" ca="1" si="2"/>
        <v>37.38378479736857</v>
      </c>
      <c r="I64">
        <f t="shared" ca="1" si="3"/>
        <v>738.13560276284477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79992</v>
      </c>
      <c r="B67" s="66">
        <v>79992</v>
      </c>
      <c r="D67">
        <f t="shared" ref="D67:E130" si="4">IFERROR( A67/MAX(A$2:A$257), 0 )</f>
        <v>0.62498144400778177</v>
      </c>
      <c r="E67">
        <f t="shared" si="4"/>
        <v>0.62498144400778177</v>
      </c>
      <c r="G67">
        <f t="shared" ref="G67:G130" ca="1" si="5">CELL("row",D67)-2</f>
        <v>65</v>
      </c>
      <c r="H67">
        <f t="shared" ref="H67:H130" ca="1" si="6">D67*G67</f>
        <v>40.623793860505813</v>
      </c>
      <c r="I67">
        <f t="shared" ref="I67:I130" ca="1" si="7">D67*((G67-$L$1)^2)</f>
        <v>639.51131283018765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78372</v>
      </c>
      <c r="B69" s="66">
        <v>78372</v>
      </c>
      <c r="D69">
        <f t="shared" si="4"/>
        <v>0.61232430405262872</v>
      </c>
      <c r="E69">
        <f t="shared" si="4"/>
        <v>0.61232430405262872</v>
      </c>
      <c r="G69">
        <f t="shared" ca="1" si="5"/>
        <v>67</v>
      </c>
      <c r="H69">
        <f t="shared" ca="1" si="6"/>
        <v>41.025728371526121</v>
      </c>
      <c r="I69">
        <f t="shared" ca="1" si="7"/>
        <v>550.66046604083374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85162</v>
      </c>
      <c r="B72" s="66">
        <v>85162</v>
      </c>
      <c r="D72">
        <f t="shared" si="4"/>
        <v>0.66537490917330122</v>
      </c>
      <c r="E72">
        <f t="shared" si="4"/>
        <v>0.66537490917330122</v>
      </c>
      <c r="G72">
        <f t="shared" ca="1" si="5"/>
        <v>70</v>
      </c>
      <c r="H72">
        <f t="shared" ca="1" si="6"/>
        <v>46.576243642131082</v>
      </c>
      <c r="I72">
        <f t="shared" ca="1" si="7"/>
        <v>484.63641242341839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93548</v>
      </c>
      <c r="B75" s="66">
        <v>93548</v>
      </c>
      <c r="D75">
        <f t="shared" si="4"/>
        <v>0.73089514106460607</v>
      </c>
      <c r="E75">
        <f t="shared" si="4"/>
        <v>0.73089514106460607</v>
      </c>
      <c r="G75">
        <f t="shared" ca="1" si="5"/>
        <v>73</v>
      </c>
      <c r="H75">
        <f t="shared" ca="1" si="6"/>
        <v>53.355345297716241</v>
      </c>
      <c r="I75">
        <f t="shared" ca="1" si="7"/>
        <v>420.58366491409379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101154</v>
      </c>
      <c r="B77" s="66">
        <v>101154</v>
      </c>
      <c r="D77">
        <f t="shared" si="4"/>
        <v>0.79032119445898541</v>
      </c>
      <c r="E77">
        <f t="shared" si="4"/>
        <v>0.79032119445898541</v>
      </c>
      <c r="G77">
        <f t="shared" ca="1" si="5"/>
        <v>75</v>
      </c>
      <c r="H77">
        <f t="shared" ca="1" si="6"/>
        <v>59.274089584423905</v>
      </c>
      <c r="I77">
        <f t="shared" ca="1" si="7"/>
        <v>382.10715712574995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107747</v>
      </c>
      <c r="B80" s="66">
        <v>107747</v>
      </c>
      <c r="D80">
        <f t="shared" si="4"/>
        <v>0.8418326288567165</v>
      </c>
      <c r="E80">
        <f t="shared" si="4"/>
        <v>0.8418326288567165</v>
      </c>
      <c r="G80">
        <f t="shared" ca="1" si="5"/>
        <v>78</v>
      </c>
      <c r="H80">
        <f t="shared" ca="1" si="6"/>
        <v>65.662945050823893</v>
      </c>
      <c r="I80">
        <f t="shared" ca="1" si="7"/>
        <v>303.52598802118013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115012</v>
      </c>
      <c r="B82" s="66">
        <v>115012</v>
      </c>
      <c r="D82">
        <f t="shared" si="4"/>
        <v>0.89859443242102965</v>
      </c>
      <c r="E82">
        <f t="shared" si="4"/>
        <v>0.89859443242102965</v>
      </c>
      <c r="G82">
        <f t="shared" ca="1" si="5"/>
        <v>80</v>
      </c>
      <c r="H82">
        <f t="shared" ca="1" si="6"/>
        <v>71.887554593682367</v>
      </c>
      <c r="I82">
        <f t="shared" ca="1" si="7"/>
        <v>259.33508990553224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118908</v>
      </c>
      <c r="B85" s="66">
        <v>118908</v>
      </c>
      <c r="D85">
        <f t="shared" si="4"/>
        <v>0.92903407270823735</v>
      </c>
      <c r="E85">
        <f t="shared" si="4"/>
        <v>0.92903407270823735</v>
      </c>
      <c r="G85">
        <f t="shared" ca="1" si="5"/>
        <v>83</v>
      </c>
      <c r="H85">
        <f t="shared" ca="1" si="6"/>
        <v>77.109828034783703</v>
      </c>
      <c r="I85">
        <f t="shared" ca="1" si="7"/>
        <v>181.78529336502896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110029</v>
      </c>
      <c r="B88" s="66">
        <v>110029</v>
      </c>
      <c r="D88">
        <f t="shared" si="4"/>
        <v>0.85966200748490129</v>
      </c>
      <c r="E88">
        <f t="shared" si="4"/>
        <v>0.85966200748490129</v>
      </c>
      <c r="G88">
        <f t="shared" ca="1" si="5"/>
        <v>86</v>
      </c>
      <c r="H88">
        <f t="shared" ca="1" si="6"/>
        <v>73.93093264370151</v>
      </c>
      <c r="I88">
        <f t="shared" ca="1" si="7"/>
        <v>103.79710004295852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116420</v>
      </c>
      <c r="B90" s="66">
        <v>116420</v>
      </c>
      <c r="D90">
        <f t="shared" si="4"/>
        <v>0.90959520591291576</v>
      </c>
      <c r="E90">
        <f t="shared" si="4"/>
        <v>0.90959520591291576</v>
      </c>
      <c r="G90">
        <f t="shared" ca="1" si="5"/>
        <v>88</v>
      </c>
      <c r="H90">
        <f t="shared" ca="1" si="6"/>
        <v>80.044378120336589</v>
      </c>
      <c r="I90">
        <f t="shared" ca="1" si="7"/>
        <v>73.485045357872934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113380</v>
      </c>
      <c r="B93" s="66">
        <v>113380</v>
      </c>
      <c r="D93">
        <f t="shared" si="4"/>
        <v>0.88584353587361608</v>
      </c>
      <c r="E93">
        <f t="shared" si="4"/>
        <v>0.88584353587361608</v>
      </c>
      <c r="G93">
        <f t="shared" ca="1" si="5"/>
        <v>91</v>
      </c>
      <c r="H93">
        <f t="shared" ca="1" si="6"/>
        <v>80.611761764499064</v>
      </c>
      <c r="I93">
        <f t="shared" ca="1" si="7"/>
        <v>31.765642417265241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118766</v>
      </c>
      <c r="B95" s="66">
        <v>118766</v>
      </c>
      <c r="D95">
        <f t="shared" si="4"/>
        <v>0.92792461969982265</v>
      </c>
      <c r="E95">
        <f t="shared" si="4"/>
        <v>0.92792461969982265</v>
      </c>
      <c r="G95">
        <f t="shared" ca="1" si="5"/>
        <v>93</v>
      </c>
      <c r="H95">
        <f t="shared" ca="1" si="6"/>
        <v>86.296989632083509</v>
      </c>
      <c r="I95">
        <f t="shared" ca="1" si="7"/>
        <v>14.759736713023264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119164</v>
      </c>
      <c r="B98" s="66">
        <v>119164</v>
      </c>
      <c r="D98">
        <f t="shared" si="4"/>
        <v>0.93103421334312564</v>
      </c>
      <c r="E98">
        <f t="shared" si="4"/>
        <v>0.93103421334312564</v>
      </c>
      <c r="G98">
        <f t="shared" ca="1" si="5"/>
        <v>96</v>
      </c>
      <c r="H98">
        <f t="shared" ca="1" si="6"/>
        <v>89.379284480940058</v>
      </c>
      <c r="I98">
        <f t="shared" ca="1" si="7"/>
        <v>0.90929329576344098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119302</v>
      </c>
      <c r="B100" s="66">
        <v>119302</v>
      </c>
      <c r="D100">
        <f t="shared" si="4"/>
        <v>0.93211241415412016</v>
      </c>
      <c r="E100">
        <f t="shared" si="4"/>
        <v>0.93211241415412016</v>
      </c>
      <c r="G100">
        <f t="shared" ca="1" si="5"/>
        <v>98</v>
      </c>
      <c r="H100">
        <f t="shared" ca="1" si="6"/>
        <v>91.347016587103781</v>
      </c>
      <c r="I100">
        <f t="shared" ca="1" si="7"/>
        <v>0.95413565439450521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117438</v>
      </c>
      <c r="B103" s="66">
        <v>117438</v>
      </c>
      <c r="D103">
        <f t="shared" si="4"/>
        <v>0.91754889015633911</v>
      </c>
      <c r="E103">
        <f t="shared" si="4"/>
        <v>0.91754889015633911</v>
      </c>
      <c r="G103">
        <f t="shared" ca="1" si="5"/>
        <v>101</v>
      </c>
      <c r="H103">
        <f t="shared" ca="1" si="6"/>
        <v>92.672437905790247</v>
      </c>
      <c r="I103">
        <f t="shared" ca="1" si="7"/>
        <v>14.767119128907019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116888</v>
      </c>
      <c r="B106" s="66">
        <v>116888</v>
      </c>
      <c r="D106">
        <f t="shared" si="4"/>
        <v>0.91325171301107111</v>
      </c>
      <c r="E106">
        <f t="shared" si="4"/>
        <v>0.91325171301107111</v>
      </c>
      <c r="G106">
        <f t="shared" ca="1" si="5"/>
        <v>104</v>
      </c>
      <c r="H106">
        <f t="shared" ca="1" si="6"/>
        <v>94.97817815315139</v>
      </c>
      <c r="I106">
        <f t="shared" ca="1" si="7"/>
        <v>44.899621409430871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115590</v>
      </c>
      <c r="B108" s="66">
        <v>115590</v>
      </c>
      <c r="D108">
        <f t="shared" si="4"/>
        <v>0.90311037494823854</v>
      </c>
      <c r="E108">
        <f t="shared" si="4"/>
        <v>0.90311037494823854</v>
      </c>
      <c r="G108">
        <f t="shared" ca="1" si="5"/>
        <v>106</v>
      </c>
      <c r="H108">
        <f t="shared" ca="1" si="6"/>
        <v>95.729699744513283</v>
      </c>
      <c r="I108">
        <f t="shared" ca="1" si="7"/>
        <v>73.342985813454021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118880</v>
      </c>
      <c r="B111" s="66">
        <v>118880</v>
      </c>
      <c r="D111">
        <f t="shared" si="4"/>
        <v>0.92881530732629636</v>
      </c>
      <c r="E111">
        <f t="shared" si="4"/>
        <v>0.92881530732629636</v>
      </c>
      <c r="G111">
        <f t="shared" ca="1" si="5"/>
        <v>109</v>
      </c>
      <c r="H111">
        <f t="shared" ca="1" si="6"/>
        <v>101.2408684985663</v>
      </c>
      <c r="I111">
        <f t="shared" ca="1" si="7"/>
        <v>134.01133902370896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126161</v>
      </c>
      <c r="B113" s="66">
        <v>126161</v>
      </c>
      <c r="D113">
        <f t="shared" si="4"/>
        <v>0.98570211968028998</v>
      </c>
      <c r="E113">
        <f t="shared" si="4"/>
        <v>0.98570211968028998</v>
      </c>
      <c r="G113">
        <f t="shared" ca="1" si="5"/>
        <v>111</v>
      </c>
      <c r="H113">
        <f t="shared" ca="1" si="6"/>
        <v>109.41293528451219</v>
      </c>
      <c r="I113">
        <f t="shared" ca="1" si="7"/>
        <v>193.52189975386347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127991</v>
      </c>
      <c r="B116" s="66">
        <v>127991</v>
      </c>
      <c r="D116">
        <f t="shared" si="4"/>
        <v>1</v>
      </c>
      <c r="E116">
        <f t="shared" si="4"/>
        <v>1</v>
      </c>
      <c r="G116">
        <f t="shared" ca="1" si="5"/>
        <v>114</v>
      </c>
      <c r="H116">
        <f t="shared" ca="1" si="6"/>
        <v>114</v>
      </c>
      <c r="I116">
        <f t="shared" ca="1" si="7"/>
        <v>289.39945602784854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122813</v>
      </c>
      <c r="B118" s="66">
        <v>122813</v>
      </c>
      <c r="D118">
        <f t="shared" si="4"/>
        <v>0.95954403043964032</v>
      </c>
      <c r="E118">
        <f t="shared" si="4"/>
        <v>0.95954403043964032</v>
      </c>
      <c r="G118">
        <f t="shared" ca="1" si="5"/>
        <v>116</v>
      </c>
      <c r="H118">
        <f t="shared" ca="1" si="6"/>
        <v>111.30710753099828</v>
      </c>
      <c r="I118">
        <f t="shared" ca="1" si="7"/>
        <v>346.82376866983356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126230</v>
      </c>
      <c r="B121" s="66">
        <v>126230</v>
      </c>
      <c r="D121">
        <f t="shared" si="4"/>
        <v>0.9862412200857873</v>
      </c>
      <c r="E121">
        <f t="shared" si="4"/>
        <v>0.9862412200857873</v>
      </c>
      <c r="G121">
        <f t="shared" ca="1" si="5"/>
        <v>119</v>
      </c>
      <c r="H121">
        <f t="shared" ca="1" si="6"/>
        <v>117.36270519020869</v>
      </c>
      <c r="I121">
        <f t="shared" ca="1" si="7"/>
        <v>477.85054109865604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118569</v>
      </c>
      <c r="B124" s="66">
        <v>118569</v>
      </c>
      <c r="D124">
        <f t="shared" si="4"/>
        <v>0.92638544897688113</v>
      </c>
      <c r="E124">
        <f t="shared" si="4"/>
        <v>0.92638544897688113</v>
      </c>
      <c r="G124">
        <f t="shared" ca="1" si="5"/>
        <v>122</v>
      </c>
      <c r="H124">
        <f t="shared" ca="1" si="6"/>
        <v>113.0190247751795</v>
      </c>
      <c r="I124">
        <f t="shared" ca="1" si="7"/>
        <v>579.53503702416776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118881</v>
      </c>
      <c r="B126" s="66">
        <v>118881</v>
      </c>
      <c r="D126">
        <f t="shared" si="4"/>
        <v>0.9288231203756514</v>
      </c>
      <c r="E126">
        <f t="shared" si="4"/>
        <v>0.9288231203756514</v>
      </c>
      <c r="G126">
        <f t="shared" ca="1" si="5"/>
        <v>124</v>
      </c>
      <c r="H126">
        <f t="shared" ca="1" si="6"/>
        <v>115.17406692658078</v>
      </c>
      <c r="I126">
        <f t="shared" ca="1" si="7"/>
        <v>677.70125279241404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118636</v>
      </c>
      <c r="B129" s="66">
        <v>118636</v>
      </c>
      <c r="D129">
        <f t="shared" si="4"/>
        <v>0.92690892328366836</v>
      </c>
      <c r="E129">
        <f t="shared" si="4"/>
        <v>0.92690892328366836</v>
      </c>
      <c r="G129">
        <f t="shared" ca="1" si="5"/>
        <v>127</v>
      </c>
      <c r="H129">
        <f t="shared" ca="1" si="6"/>
        <v>117.71743325702589</v>
      </c>
      <c r="I129">
        <f t="shared" ca="1" si="7"/>
        <v>834.87133204866268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114501</v>
      </c>
      <c r="B131" s="66">
        <v>114501</v>
      </c>
      <c r="D131">
        <f t="shared" ref="D131:E194" si="8">IFERROR( A131/MAX(A$2:A$257), 0 )</f>
        <v>0.89460196420060789</v>
      </c>
      <c r="E131">
        <f t="shared" si="8"/>
        <v>0.89460196420060789</v>
      </c>
      <c r="G131">
        <f t="shared" ref="G131:G194" ca="1" si="9">CELL("row",D131)-2</f>
        <v>129</v>
      </c>
      <c r="H131">
        <f t="shared" ref="H131:H194" ca="1" si="10">D131*G131</f>
        <v>115.40365338187841</v>
      </c>
      <c r="I131">
        <f t="shared" ref="I131:I194" ca="1" si="11">D131*((G131-$L$1)^2)</f>
        <v>916.74496909024924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112701</v>
      </c>
      <c r="B134" s="66">
        <v>112701</v>
      </c>
      <c r="D134">
        <f t="shared" si="8"/>
        <v>0.88053847536154883</v>
      </c>
      <c r="E134">
        <f t="shared" si="8"/>
        <v>0.88053847536154883</v>
      </c>
      <c r="G134">
        <f t="shared" ca="1" si="9"/>
        <v>132</v>
      </c>
      <c r="H134">
        <f t="shared" ca="1" si="10"/>
        <v>116.23107874772444</v>
      </c>
      <c r="I134">
        <f t="shared" ca="1" si="11"/>
        <v>1079.3836668946574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117965</v>
      </c>
      <c r="B136" s="66">
        <v>117965</v>
      </c>
      <c r="D136">
        <f t="shared" si="8"/>
        <v>0.92166636716644135</v>
      </c>
      <c r="E136">
        <f t="shared" si="8"/>
        <v>0.92166636716644135</v>
      </c>
      <c r="G136">
        <f t="shared" ca="1" si="9"/>
        <v>134</v>
      </c>
      <c r="H136">
        <f t="shared" ca="1" si="10"/>
        <v>123.50329320030315</v>
      </c>
      <c r="I136">
        <f t="shared" ca="1" si="11"/>
        <v>1262.5624077831503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113071</v>
      </c>
      <c r="B139" s="66">
        <v>113071</v>
      </c>
      <c r="D139">
        <f t="shared" si="8"/>
        <v>0.88342930362291094</v>
      </c>
      <c r="E139">
        <f t="shared" si="8"/>
        <v>0.88342930362291094</v>
      </c>
      <c r="G139">
        <f t="shared" ca="1" si="9"/>
        <v>137</v>
      </c>
      <c r="H139">
        <f t="shared" ca="1" si="10"/>
        <v>121.0298145963388</v>
      </c>
      <c r="I139">
        <f t="shared" ca="1" si="11"/>
        <v>1414.3170530731284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100190</v>
      </c>
      <c r="B142" s="66">
        <v>100190</v>
      </c>
      <c r="D142">
        <f t="shared" si="8"/>
        <v>0.78278941488073384</v>
      </c>
      <c r="E142">
        <f t="shared" si="8"/>
        <v>0.78278941488073384</v>
      </c>
      <c r="G142">
        <f t="shared" ca="1" si="9"/>
        <v>140</v>
      </c>
      <c r="H142">
        <f t="shared" ca="1" si="10"/>
        <v>109.59051808330274</v>
      </c>
      <c r="I142">
        <f t="shared" ca="1" si="11"/>
        <v>1448.1683846145502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100260</v>
      </c>
      <c r="B144" s="66">
        <v>100260</v>
      </c>
      <c r="D144">
        <f t="shared" si="8"/>
        <v>0.78333632833558609</v>
      </c>
      <c r="E144">
        <f t="shared" si="8"/>
        <v>0.78333632833558609</v>
      </c>
      <c r="G144">
        <f t="shared" ca="1" si="9"/>
        <v>142</v>
      </c>
      <c r="H144">
        <f t="shared" ca="1" si="10"/>
        <v>111.23375862365323</v>
      </c>
      <c r="I144">
        <f t="shared" ca="1" si="11"/>
        <v>1587.0841739026832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94318</v>
      </c>
      <c r="B147" s="66">
        <v>94318</v>
      </c>
      <c r="D147">
        <f t="shared" si="8"/>
        <v>0.73691118906798136</v>
      </c>
      <c r="E147">
        <f t="shared" si="8"/>
        <v>0.73691118906798136</v>
      </c>
      <c r="G147">
        <f t="shared" ca="1" si="9"/>
        <v>145</v>
      </c>
      <c r="H147">
        <f t="shared" ca="1" si="10"/>
        <v>106.85212241485729</v>
      </c>
      <c r="I147">
        <f t="shared" ca="1" si="11"/>
        <v>1698.6743385848606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95013</v>
      </c>
      <c r="B149" s="66">
        <v>95013</v>
      </c>
      <c r="D149">
        <f t="shared" si="8"/>
        <v>0.74234125836972908</v>
      </c>
      <c r="E149">
        <f t="shared" si="8"/>
        <v>0.74234125836972908</v>
      </c>
      <c r="G149">
        <f t="shared" ca="1" si="9"/>
        <v>147</v>
      </c>
      <c r="H149">
        <f t="shared" ca="1" si="10"/>
        <v>109.12416498035017</v>
      </c>
      <c r="I149">
        <f t="shared" ca="1" si="11"/>
        <v>1856.725102126971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83472</v>
      </c>
      <c r="B152" s="66">
        <v>83472</v>
      </c>
      <c r="D152">
        <f t="shared" si="8"/>
        <v>0.65217085576329581</v>
      </c>
      <c r="E152">
        <f t="shared" si="8"/>
        <v>0.65217085576329581</v>
      </c>
      <c r="G152">
        <f t="shared" ca="1" si="9"/>
        <v>150</v>
      </c>
      <c r="H152">
        <f t="shared" ca="1" si="10"/>
        <v>97.825628364494378</v>
      </c>
      <c r="I152">
        <f t="shared" ca="1" si="11"/>
        <v>1832.7599327340229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76041</v>
      </c>
      <c r="B154" s="66">
        <v>76041</v>
      </c>
      <c r="D154">
        <f t="shared" si="8"/>
        <v>0.59411208600604726</v>
      </c>
      <c r="E154">
        <f t="shared" si="8"/>
        <v>0.59411208600604726</v>
      </c>
      <c r="G154">
        <f t="shared" ca="1" si="9"/>
        <v>152</v>
      </c>
      <c r="H154">
        <f t="shared" ca="1" si="10"/>
        <v>90.305037072919177</v>
      </c>
      <c r="I154">
        <f t="shared" ca="1" si="11"/>
        <v>1797.9566823372109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72225</v>
      </c>
      <c r="B157" s="66">
        <v>72225</v>
      </c>
      <c r="D157">
        <f t="shared" si="8"/>
        <v>0.56429748966724225</v>
      </c>
      <c r="E157">
        <f t="shared" si="8"/>
        <v>0.56429748966724225</v>
      </c>
      <c r="G157">
        <f t="shared" ca="1" si="9"/>
        <v>155</v>
      </c>
      <c r="H157">
        <f t="shared" ca="1" si="10"/>
        <v>87.466110898422542</v>
      </c>
      <c r="I157">
        <f t="shared" ca="1" si="11"/>
        <v>1899.0656203361571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67727</v>
      </c>
      <c r="B160" s="66">
        <v>67727</v>
      </c>
      <c r="D160">
        <f t="shared" si="8"/>
        <v>0.52915439366830486</v>
      </c>
      <c r="E160">
        <f t="shared" si="8"/>
        <v>0.52915439366830486</v>
      </c>
      <c r="G160">
        <f t="shared" ca="1" si="9"/>
        <v>158</v>
      </c>
      <c r="H160">
        <f t="shared" ca="1" si="10"/>
        <v>83.606394199592174</v>
      </c>
      <c r="I160">
        <f t="shared" ca="1" si="11"/>
        <v>1969.741769256884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57157</v>
      </c>
      <c r="B162" s="66">
        <v>57157</v>
      </c>
      <c r="D162">
        <f t="shared" si="8"/>
        <v>0.44657046198560835</v>
      </c>
      <c r="E162">
        <f t="shared" si="8"/>
        <v>0.44657046198560835</v>
      </c>
      <c r="G162">
        <f t="shared" ca="1" si="9"/>
        <v>160</v>
      </c>
      <c r="H162">
        <f t="shared" ca="1" si="10"/>
        <v>71.451273917697335</v>
      </c>
      <c r="I162">
        <f t="shared" ca="1" si="11"/>
        <v>1773.0990717403902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51940</v>
      </c>
      <c r="B165" s="66">
        <v>51940</v>
      </c>
      <c r="D165">
        <f t="shared" si="8"/>
        <v>0.40580978350040237</v>
      </c>
      <c r="E165">
        <f t="shared" si="8"/>
        <v>0.40580978350040237</v>
      </c>
      <c r="G165">
        <f t="shared" ca="1" si="9"/>
        <v>163</v>
      </c>
      <c r="H165">
        <f t="shared" ca="1" si="10"/>
        <v>66.146994710565579</v>
      </c>
      <c r="I165">
        <f t="shared" ca="1" si="11"/>
        <v>1768.3365972810957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47698</v>
      </c>
      <c r="B167" s="66">
        <v>47698</v>
      </c>
      <c r="D167">
        <f t="shared" si="8"/>
        <v>0.37266682813635332</v>
      </c>
      <c r="E167">
        <f t="shared" si="8"/>
        <v>0.37266682813635332</v>
      </c>
      <c r="G167">
        <f t="shared" ca="1" si="9"/>
        <v>165</v>
      </c>
      <c r="H167">
        <f t="shared" ca="1" si="10"/>
        <v>61.4900266424983</v>
      </c>
      <c r="I167">
        <f t="shared" ca="1" si="11"/>
        <v>1723.8067151326045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41750</v>
      </c>
      <c r="B170" s="66">
        <v>41750</v>
      </c>
      <c r="D170">
        <f t="shared" si="8"/>
        <v>0.3261948105726184</v>
      </c>
      <c r="E170">
        <f t="shared" si="8"/>
        <v>0.3261948105726184</v>
      </c>
      <c r="G170">
        <f t="shared" ca="1" si="9"/>
        <v>168</v>
      </c>
      <c r="H170">
        <f t="shared" ca="1" si="10"/>
        <v>54.80072817619989</v>
      </c>
      <c r="I170">
        <f t="shared" ca="1" si="11"/>
        <v>1644.8920933098882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32649</v>
      </c>
      <c r="B173" s="66">
        <v>32649</v>
      </c>
      <c r="D173">
        <f t="shared" si="8"/>
        <v>0.25508824839246508</v>
      </c>
      <c r="E173">
        <f t="shared" si="8"/>
        <v>0.25508824839246508</v>
      </c>
      <c r="G173">
        <f t="shared" ca="1" si="9"/>
        <v>171</v>
      </c>
      <c r="H173">
        <f t="shared" ca="1" si="10"/>
        <v>43.620090475111532</v>
      </c>
      <c r="I173">
        <f t="shared" ca="1" si="11"/>
        <v>1397.3066798583375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21829</v>
      </c>
      <c r="B175" s="66">
        <v>21829</v>
      </c>
      <c r="D175">
        <f t="shared" si="8"/>
        <v>0.17055105437101045</v>
      </c>
      <c r="E175">
        <f t="shared" si="8"/>
        <v>0.17055105437101045</v>
      </c>
      <c r="G175">
        <f t="shared" ca="1" si="9"/>
        <v>173</v>
      </c>
      <c r="H175">
        <f t="shared" ca="1" si="10"/>
        <v>29.505332406184809</v>
      </c>
      <c r="I175">
        <f t="shared" ca="1" si="11"/>
        <v>985.40737905638866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16474</v>
      </c>
      <c r="B178" s="66">
        <v>16474</v>
      </c>
      <c r="D178">
        <f t="shared" si="8"/>
        <v>0.12871217507480995</v>
      </c>
      <c r="E178">
        <f t="shared" si="8"/>
        <v>0.12871217507480995</v>
      </c>
      <c r="G178">
        <f t="shared" ca="1" si="9"/>
        <v>176</v>
      </c>
      <c r="H178">
        <f t="shared" ca="1" si="10"/>
        <v>22.65334281316655</v>
      </c>
      <c r="I178">
        <f t="shared" ca="1" si="11"/>
        <v>803.53154774330631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12501</v>
      </c>
      <c r="B180" s="66">
        <v>12501</v>
      </c>
      <c r="D180">
        <f t="shared" si="8"/>
        <v>9.7670929987264732E-2</v>
      </c>
      <c r="E180">
        <f t="shared" si="8"/>
        <v>9.7670929987264732E-2</v>
      </c>
      <c r="G180">
        <f t="shared" ca="1" si="9"/>
        <v>178</v>
      </c>
      <c r="H180">
        <f t="shared" ca="1" si="10"/>
        <v>17.385425537733123</v>
      </c>
      <c r="I180">
        <f t="shared" ca="1" si="11"/>
        <v>641.00481707853044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8645</v>
      </c>
      <c r="B183" s="66">
        <v>8645</v>
      </c>
      <c r="D183">
        <f t="shared" si="8"/>
        <v>6.7543811674258353E-2</v>
      </c>
      <c r="E183">
        <f t="shared" si="8"/>
        <v>6.7543811674258353E-2</v>
      </c>
      <c r="G183">
        <f t="shared" ca="1" si="9"/>
        <v>181</v>
      </c>
      <c r="H183">
        <f t="shared" ca="1" si="10"/>
        <v>12.225429913040761</v>
      </c>
      <c r="I183">
        <f t="shared" ca="1" si="11"/>
        <v>476.72241526322438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6028</v>
      </c>
      <c r="B185" s="66">
        <v>6028</v>
      </c>
      <c r="D185">
        <f t="shared" si="8"/>
        <v>4.7097061512137571E-2</v>
      </c>
      <c r="E185">
        <f t="shared" si="8"/>
        <v>4.7097061512137571E-2</v>
      </c>
      <c r="G185">
        <f t="shared" ca="1" si="9"/>
        <v>183</v>
      </c>
      <c r="H185">
        <f t="shared" ca="1" si="10"/>
        <v>8.6187622567211761</v>
      </c>
      <c r="I185">
        <f t="shared" ca="1" si="11"/>
        <v>348.42501326065519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4088</v>
      </c>
      <c r="B188" s="66">
        <v>4088</v>
      </c>
      <c r="D188">
        <f t="shared" si="8"/>
        <v>3.1939745763373988E-2</v>
      </c>
      <c r="E188">
        <f t="shared" si="8"/>
        <v>3.1939745763373988E-2</v>
      </c>
      <c r="G188">
        <f t="shared" ca="1" si="9"/>
        <v>186</v>
      </c>
      <c r="H188">
        <f t="shared" ca="1" si="10"/>
        <v>5.9407927119875614</v>
      </c>
      <c r="I188">
        <f t="shared" ca="1" si="11"/>
        <v>253.06150215789944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1837</v>
      </c>
      <c r="B191" s="66">
        <v>1837</v>
      </c>
      <c r="D191">
        <f t="shared" si="8"/>
        <v>1.4352571665195209E-2</v>
      </c>
      <c r="E191">
        <f t="shared" si="8"/>
        <v>1.4352571665195209E-2</v>
      </c>
      <c r="G191">
        <f t="shared" ca="1" si="9"/>
        <v>189</v>
      </c>
      <c r="H191">
        <f t="shared" ca="1" si="10"/>
        <v>2.7126360447218945</v>
      </c>
      <c r="I191">
        <f t="shared" ca="1" si="11"/>
        <v>121.51118468453355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520</v>
      </c>
      <c r="B193" s="66">
        <v>520</v>
      </c>
      <c r="D193">
        <f t="shared" si="8"/>
        <v>4.062785664617043E-3</v>
      </c>
      <c r="E193">
        <f t="shared" si="8"/>
        <v>4.062785664617043E-3</v>
      </c>
      <c r="G193">
        <f t="shared" ca="1" si="9"/>
        <v>191</v>
      </c>
      <c r="H193">
        <f t="shared" ca="1" si="10"/>
        <v>0.77599206194185522</v>
      </c>
      <c r="I193">
        <f t="shared" ca="1" si="11"/>
        <v>35.907745299946114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405</v>
      </c>
      <c r="B1" s="66" t="s">
        <v>406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88.744860342094583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1.7134405210073407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0.81360929492625145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14176</v>
      </c>
      <c r="B8" s="66">
        <v>14176</v>
      </c>
      <c r="D8">
        <f t="shared" si="0"/>
        <v>23.793219201074187</v>
      </c>
      <c r="E8">
        <f t="shared" si="1"/>
        <v>23.793219201074187</v>
      </c>
      <c r="G8">
        <f t="shared" ca="1" si="2"/>
        <v>6</v>
      </c>
      <c r="H8">
        <f t="shared" ca="1" si="3"/>
        <v>142.75931520644514</v>
      </c>
      <c r="I8">
        <f t="shared" ca="1" si="4"/>
        <v>162905.31735339388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12549</v>
      </c>
      <c r="B10" s="66">
        <v>12549</v>
      </c>
      <c r="D10">
        <f t="shared" si="0"/>
        <v>21.062437059415913</v>
      </c>
      <c r="E10">
        <f t="shared" si="1"/>
        <v>21.062437059415913</v>
      </c>
      <c r="G10">
        <f t="shared" ca="1" si="2"/>
        <v>8</v>
      </c>
      <c r="H10">
        <f t="shared" ca="1" si="3"/>
        <v>168.49949647532731</v>
      </c>
      <c r="I10">
        <f t="shared" ca="1" si="4"/>
        <v>137321.4548286607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14970</v>
      </c>
      <c r="B13" s="66">
        <v>14970</v>
      </c>
      <c r="D13">
        <f t="shared" si="0"/>
        <v>25.125881168177241</v>
      </c>
      <c r="E13">
        <f t="shared" si="1"/>
        <v>25.125881168177241</v>
      </c>
      <c r="G13">
        <f t="shared" ca="1" si="2"/>
        <v>11</v>
      </c>
      <c r="H13">
        <f t="shared" ca="1" si="3"/>
        <v>276.38469284994966</v>
      </c>
      <c r="I13">
        <f t="shared" ca="1" si="4"/>
        <v>151867.44166647954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20989</v>
      </c>
      <c r="B15" s="66">
        <v>20989</v>
      </c>
      <c r="D15">
        <f t="shared" si="0"/>
        <v>35.228264518294729</v>
      </c>
      <c r="E15">
        <f t="shared" si="1"/>
        <v>35.228264518294729</v>
      </c>
      <c r="G15">
        <f t="shared" ca="1" si="2"/>
        <v>13</v>
      </c>
      <c r="H15">
        <f t="shared" ca="1" si="3"/>
        <v>457.96743873783146</v>
      </c>
      <c r="I15">
        <f t="shared" ca="1" si="4"/>
        <v>202114.55372702415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18417</v>
      </c>
      <c r="B18" s="66">
        <v>18417</v>
      </c>
      <c r="D18">
        <f t="shared" si="0"/>
        <v>30.911379657603224</v>
      </c>
      <c r="E18">
        <f t="shared" si="1"/>
        <v>30.911379657603224</v>
      </c>
      <c r="G18">
        <f t="shared" ca="1" si="2"/>
        <v>16</v>
      </c>
      <c r="H18">
        <f t="shared" ca="1" si="3"/>
        <v>494.58207452165158</v>
      </c>
      <c r="I18">
        <f t="shared" ca="1" si="4"/>
        <v>163577.29346075325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19068</v>
      </c>
      <c r="B21" s="66">
        <v>19068</v>
      </c>
      <c r="D21">
        <f t="shared" si="0"/>
        <v>32.004028197381672</v>
      </c>
      <c r="E21">
        <f t="shared" si="1"/>
        <v>32.004028197381672</v>
      </c>
      <c r="G21">
        <f t="shared" ca="1" si="2"/>
        <v>19</v>
      </c>
      <c r="H21">
        <f t="shared" ca="1" si="3"/>
        <v>608.07653575025176</v>
      </c>
      <c r="I21">
        <f t="shared" ca="1" si="4"/>
        <v>155678.65195640933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21155</v>
      </c>
      <c r="B23" s="66">
        <v>21155</v>
      </c>
      <c r="D23">
        <f t="shared" si="0"/>
        <v>35.506881503860356</v>
      </c>
      <c r="E23">
        <f t="shared" si="1"/>
        <v>35.506881503860356</v>
      </c>
      <c r="G23">
        <f t="shared" ca="1" si="2"/>
        <v>21</v>
      </c>
      <c r="H23">
        <f t="shared" ca="1" si="3"/>
        <v>745.64451158106749</v>
      </c>
      <c r="I23">
        <f t="shared" ca="1" si="4"/>
        <v>162954.07838888423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28552</v>
      </c>
      <c r="B26" s="66">
        <v>28552</v>
      </c>
      <c r="D26">
        <f t="shared" si="0"/>
        <v>47.922121517287678</v>
      </c>
      <c r="E26">
        <f t="shared" si="1"/>
        <v>47.922121517287678</v>
      </c>
      <c r="G26">
        <f t="shared" ca="1" si="2"/>
        <v>24</v>
      </c>
      <c r="H26">
        <f t="shared" ca="1" si="3"/>
        <v>1150.1309164149043</v>
      </c>
      <c r="I26">
        <f t="shared" ca="1" si="4"/>
        <v>200884.59458100243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32363</v>
      </c>
      <c r="B28" s="66">
        <v>32363</v>
      </c>
      <c r="D28">
        <f t="shared" si="0"/>
        <v>54.318563276267206</v>
      </c>
      <c r="E28">
        <f t="shared" si="1"/>
        <v>54.318563276267206</v>
      </c>
      <c r="G28">
        <f t="shared" ca="1" si="2"/>
        <v>26</v>
      </c>
      <c r="H28">
        <f t="shared" ca="1" si="3"/>
        <v>1412.2826451829474</v>
      </c>
      <c r="I28">
        <f t="shared" ca="1" si="4"/>
        <v>213847.70230182979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35609</v>
      </c>
      <c r="B31" s="66">
        <v>35609</v>
      </c>
      <c r="D31">
        <f t="shared" si="0"/>
        <v>59.766700234978181</v>
      </c>
      <c r="E31">
        <f t="shared" si="1"/>
        <v>59.766700234978181</v>
      </c>
      <c r="G31">
        <f t="shared" ca="1" si="2"/>
        <v>29</v>
      </c>
      <c r="H31">
        <f t="shared" ca="1" si="3"/>
        <v>1733.2343068143673</v>
      </c>
      <c r="I31">
        <f t="shared" ca="1" si="4"/>
        <v>213334.14877943438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39612</v>
      </c>
      <c r="B33" s="66">
        <v>39612</v>
      </c>
      <c r="D33">
        <f t="shared" si="0"/>
        <v>66.48539778449144</v>
      </c>
      <c r="E33">
        <f t="shared" si="1"/>
        <v>66.48539778449144</v>
      </c>
      <c r="G33">
        <f t="shared" ca="1" si="2"/>
        <v>31</v>
      </c>
      <c r="H33">
        <f t="shared" ca="1" si="3"/>
        <v>2061.0473313192347</v>
      </c>
      <c r="I33">
        <f t="shared" ca="1" si="4"/>
        <v>221693.49094578761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42687</v>
      </c>
      <c r="B36" s="66">
        <v>42687</v>
      </c>
      <c r="D36">
        <f t="shared" si="0"/>
        <v>71.646525679758312</v>
      </c>
      <c r="E36">
        <f t="shared" si="1"/>
        <v>71.646525679758312</v>
      </c>
      <c r="G36">
        <f t="shared" ca="1" si="2"/>
        <v>34</v>
      </c>
      <c r="H36">
        <f t="shared" ca="1" si="3"/>
        <v>2435.9818731117825</v>
      </c>
      <c r="I36">
        <f t="shared" ca="1" si="4"/>
        <v>214724.61839533554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43018</v>
      </c>
      <c r="B39" s="66">
        <v>43018</v>
      </c>
      <c r="D39">
        <f t="shared" si="0"/>
        <v>72.202081235313869</v>
      </c>
      <c r="E39">
        <f t="shared" si="1"/>
        <v>72.202081235313869</v>
      </c>
      <c r="G39">
        <f t="shared" ca="1" si="2"/>
        <v>37</v>
      </c>
      <c r="H39">
        <f t="shared" ca="1" si="3"/>
        <v>2671.477005706613</v>
      </c>
      <c r="I39">
        <f t="shared" ca="1" si="4"/>
        <v>193323.27985679146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41985</v>
      </c>
      <c r="B41" s="66">
        <v>41985</v>
      </c>
      <c r="D41">
        <f t="shared" si="0"/>
        <v>70.468277945619334</v>
      </c>
      <c r="E41">
        <f t="shared" si="1"/>
        <v>70.468277945619334</v>
      </c>
      <c r="G41">
        <f t="shared" ca="1" si="2"/>
        <v>39</v>
      </c>
      <c r="H41">
        <f t="shared" ca="1" si="3"/>
        <v>2748.2628398791539</v>
      </c>
      <c r="I41">
        <f t="shared" ca="1" si="4"/>
        <v>174377.35685151385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46130</v>
      </c>
      <c r="B44" s="66">
        <v>46130</v>
      </c>
      <c r="D44">
        <f t="shared" si="0"/>
        <v>77.425310506881502</v>
      </c>
      <c r="E44">
        <f t="shared" si="1"/>
        <v>77.425310506881502</v>
      </c>
      <c r="G44">
        <f t="shared" ca="1" si="2"/>
        <v>42</v>
      </c>
      <c r="H44">
        <f t="shared" ca="1" si="3"/>
        <v>3251.8630412890229</v>
      </c>
      <c r="I44">
        <f t="shared" ca="1" si="4"/>
        <v>169180.64988650705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44265</v>
      </c>
      <c r="B46" s="66">
        <v>44265</v>
      </c>
      <c r="D46">
        <f t="shared" si="0"/>
        <v>74.295065458207446</v>
      </c>
      <c r="E46">
        <f t="shared" si="1"/>
        <v>74.295065458207446</v>
      </c>
      <c r="G46">
        <f t="shared" ca="1" si="2"/>
        <v>44</v>
      </c>
      <c r="H46">
        <f t="shared" ca="1" si="3"/>
        <v>3268.9828801611275</v>
      </c>
      <c r="I46">
        <f t="shared" ca="1" si="4"/>
        <v>148746.33830000003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47733</v>
      </c>
      <c r="B49" s="66">
        <v>47733</v>
      </c>
      <c r="D49">
        <f t="shared" si="0"/>
        <v>80.115810674723065</v>
      </c>
      <c r="E49">
        <f t="shared" si="1"/>
        <v>80.115810674723065</v>
      </c>
      <c r="G49">
        <f t="shared" ca="1" si="2"/>
        <v>47</v>
      </c>
      <c r="H49">
        <f t="shared" ca="1" si="3"/>
        <v>3765.4431017119841</v>
      </c>
      <c r="I49">
        <f t="shared" ca="1" si="4"/>
        <v>139612.48474427185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46954</v>
      </c>
      <c r="B51" s="66">
        <v>46954</v>
      </c>
      <c r="D51">
        <f t="shared" si="0"/>
        <v>78.808324941255449</v>
      </c>
      <c r="E51">
        <f t="shared" si="1"/>
        <v>78.808324941255449</v>
      </c>
      <c r="G51">
        <f t="shared" ca="1" si="2"/>
        <v>49</v>
      </c>
      <c r="H51">
        <f t="shared" ca="1" si="3"/>
        <v>3861.6079221215168</v>
      </c>
      <c r="I51">
        <f t="shared" ca="1" si="4"/>
        <v>124489.87970679111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45982</v>
      </c>
      <c r="B54" s="66">
        <v>45982</v>
      </c>
      <c r="D54">
        <f t="shared" si="0"/>
        <v>77.176905001678421</v>
      </c>
      <c r="E54">
        <f t="shared" si="1"/>
        <v>77.176905001678421</v>
      </c>
      <c r="G54">
        <f t="shared" ca="1" si="2"/>
        <v>52</v>
      </c>
      <c r="H54">
        <f t="shared" ca="1" si="3"/>
        <v>4013.1990600872778</v>
      </c>
      <c r="I54">
        <f t="shared" ca="1" si="4"/>
        <v>104203.08107763267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46103</v>
      </c>
      <c r="B57" s="66">
        <v>46103</v>
      </c>
      <c r="D57">
        <f t="shared" si="0"/>
        <v>77.379993286337694</v>
      </c>
      <c r="E57">
        <f t="shared" si="1"/>
        <v>77.379993286337694</v>
      </c>
      <c r="G57">
        <f t="shared" ca="1" si="2"/>
        <v>55</v>
      </c>
      <c r="H57">
        <f t="shared" ca="1" si="3"/>
        <v>4255.8996307485731</v>
      </c>
      <c r="I57">
        <f t="shared" ca="1" si="4"/>
        <v>88113.805444935846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42029</v>
      </c>
      <c r="B59" s="66">
        <v>42029</v>
      </c>
      <c r="D59">
        <f t="shared" si="0"/>
        <v>70.542128230949984</v>
      </c>
      <c r="E59">
        <f t="shared" si="1"/>
        <v>70.542128230949984</v>
      </c>
      <c r="G59">
        <f t="shared" ca="1" si="2"/>
        <v>57</v>
      </c>
      <c r="H59">
        <f t="shared" ca="1" si="3"/>
        <v>4020.9013091641491</v>
      </c>
      <c r="I59">
        <f t="shared" ca="1" si="4"/>
        <v>71087.853290412531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43973</v>
      </c>
      <c r="B62" s="66">
        <v>43973</v>
      </c>
      <c r="D62">
        <f t="shared" si="0"/>
        <v>73.804968110104056</v>
      </c>
      <c r="E62">
        <f t="shared" si="1"/>
        <v>73.804968110104056</v>
      </c>
      <c r="G62">
        <f t="shared" ca="1" si="2"/>
        <v>60</v>
      </c>
      <c r="H62">
        <f t="shared" ca="1" si="3"/>
        <v>4428.2980866062435</v>
      </c>
      <c r="I62">
        <f t="shared" ca="1" si="4"/>
        <v>60982.60929659722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47778</v>
      </c>
      <c r="B64" s="66">
        <v>47778</v>
      </c>
      <c r="D64">
        <f t="shared" si="0"/>
        <v>80.191339375629411</v>
      </c>
      <c r="E64">
        <f t="shared" si="1"/>
        <v>80.191339375629411</v>
      </c>
      <c r="G64">
        <f t="shared" ca="1" si="2"/>
        <v>62</v>
      </c>
      <c r="H64">
        <f t="shared" ca="1" si="3"/>
        <v>4971.8630412890234</v>
      </c>
      <c r="I64">
        <f t="shared" ca="1" si="4"/>
        <v>57359.867051566747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52230</v>
      </c>
      <c r="B67" s="66">
        <v>52230</v>
      </c>
      <c r="D67">
        <f t="shared" ref="D67:D130" si="5">IFERROR( 100*A67/MAX(A$2:A$257), 0 )</f>
        <v>87.663645518630418</v>
      </c>
      <c r="E67">
        <f t="shared" ref="E67:E130" si="6">IFERROR( 100*B67/MAX(B$2:B$257), 0 )</f>
        <v>87.663645518630418</v>
      </c>
      <c r="G67">
        <f t="shared" ref="G67:G130" ca="1" si="7">CELL("row",D67)-2</f>
        <v>65</v>
      </c>
      <c r="H67">
        <f t="shared" ref="H67:H130" ca="1" si="8">D67*G67</f>
        <v>5698.1369587109775</v>
      </c>
      <c r="I67">
        <f t="shared" ref="I67:I130" ca="1" si="9">D67*((G67-$L$1)^2)</f>
        <v>49426.375711519031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45816</v>
      </c>
      <c r="B69" s="66">
        <v>45816</v>
      </c>
      <c r="D69">
        <f t="shared" si="5"/>
        <v>76.898288016112787</v>
      </c>
      <c r="E69">
        <f t="shared" si="6"/>
        <v>76.898288016112787</v>
      </c>
      <c r="G69">
        <f t="shared" ca="1" si="7"/>
        <v>67</v>
      </c>
      <c r="H69">
        <f t="shared" ca="1" si="8"/>
        <v>5152.1852970795571</v>
      </c>
      <c r="I69">
        <f t="shared" ca="1" si="9"/>
        <v>36360.505862088641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46797</v>
      </c>
      <c r="B72" s="66">
        <v>46797</v>
      </c>
      <c r="D72">
        <f t="shared" si="5"/>
        <v>78.544813695871099</v>
      </c>
      <c r="E72">
        <f t="shared" si="6"/>
        <v>78.544813695871099</v>
      </c>
      <c r="G72">
        <f t="shared" ca="1" si="7"/>
        <v>70</v>
      </c>
      <c r="H72">
        <f t="shared" ca="1" si="8"/>
        <v>5498.1369587109766</v>
      </c>
      <c r="I72">
        <f t="shared" ca="1" si="9"/>
        <v>27598.274634576974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51754</v>
      </c>
      <c r="B75" s="66">
        <v>51754</v>
      </c>
      <c r="D75">
        <f t="shared" si="5"/>
        <v>86.864719704598855</v>
      </c>
      <c r="E75">
        <f t="shared" si="6"/>
        <v>86.864719704598855</v>
      </c>
      <c r="G75">
        <f t="shared" ca="1" si="7"/>
        <v>73</v>
      </c>
      <c r="H75">
        <f t="shared" ca="1" si="8"/>
        <v>6341.1245384357162</v>
      </c>
      <c r="I75">
        <f t="shared" ca="1" si="9"/>
        <v>21533.81849563279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51823</v>
      </c>
      <c r="B77" s="66">
        <v>51823</v>
      </c>
      <c r="D77">
        <f t="shared" si="5"/>
        <v>86.98053037932192</v>
      </c>
      <c r="E77">
        <f t="shared" si="6"/>
        <v>86.98053037932192</v>
      </c>
      <c r="G77">
        <f t="shared" ca="1" si="7"/>
        <v>75</v>
      </c>
      <c r="H77">
        <f t="shared" ca="1" si="8"/>
        <v>6523.5397784491443</v>
      </c>
      <c r="I77">
        <f t="shared" ca="1" si="9"/>
        <v>16432.464942834504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52893</v>
      </c>
      <c r="B80" s="66">
        <v>52893</v>
      </c>
      <c r="D80">
        <f t="shared" si="5"/>
        <v>88.776435045317214</v>
      </c>
      <c r="E80">
        <f t="shared" si="6"/>
        <v>88.776435045317214</v>
      </c>
      <c r="G80">
        <f t="shared" ca="1" si="7"/>
        <v>78</v>
      </c>
      <c r="H80">
        <f t="shared" ca="1" si="8"/>
        <v>6924.5619335347428</v>
      </c>
      <c r="I80">
        <f t="shared" ca="1" si="9"/>
        <v>10249.41908916698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56799</v>
      </c>
      <c r="B82" s="66">
        <v>56799</v>
      </c>
      <c r="D82">
        <f t="shared" si="5"/>
        <v>95.332326283987911</v>
      </c>
      <c r="E82">
        <f t="shared" si="6"/>
        <v>95.332326283987911</v>
      </c>
      <c r="G82">
        <f t="shared" ca="1" si="7"/>
        <v>80</v>
      </c>
      <c r="H82">
        <f t="shared" ca="1" si="8"/>
        <v>7626.5861027190331</v>
      </c>
      <c r="I82">
        <f t="shared" ca="1" si="9"/>
        <v>7290.3091773970264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58800</v>
      </c>
      <c r="B85" s="66">
        <v>58800</v>
      </c>
      <c r="D85">
        <f t="shared" si="5"/>
        <v>98.690835850956702</v>
      </c>
      <c r="E85">
        <f t="shared" si="6"/>
        <v>98.690835850956702</v>
      </c>
      <c r="G85">
        <f t="shared" ca="1" si="7"/>
        <v>83</v>
      </c>
      <c r="H85">
        <f t="shared" ca="1" si="8"/>
        <v>8191.3393756294063</v>
      </c>
      <c r="I85">
        <f t="shared" ca="1" si="9"/>
        <v>3257.1351402988589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53977</v>
      </c>
      <c r="B88" s="66">
        <v>53977</v>
      </c>
      <c r="D88">
        <f t="shared" si="5"/>
        <v>90.595837529372275</v>
      </c>
      <c r="E88">
        <f t="shared" si="6"/>
        <v>90.595837529372275</v>
      </c>
      <c r="G88">
        <f t="shared" ca="1" si="7"/>
        <v>86</v>
      </c>
      <c r="H88">
        <f t="shared" ca="1" si="8"/>
        <v>7791.2420275260156</v>
      </c>
      <c r="I88">
        <f t="shared" ca="1" si="9"/>
        <v>682.57244063401993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59580</v>
      </c>
      <c r="B90" s="66">
        <v>59580</v>
      </c>
      <c r="D90">
        <f t="shared" si="5"/>
        <v>100</v>
      </c>
      <c r="E90">
        <f t="shared" si="6"/>
        <v>100</v>
      </c>
      <c r="G90">
        <f t="shared" ca="1" si="7"/>
        <v>88</v>
      </c>
      <c r="H90">
        <f t="shared" ca="1" si="8"/>
        <v>8800</v>
      </c>
      <c r="I90">
        <f t="shared" ca="1" si="9"/>
        <v>55.481692922525916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54140</v>
      </c>
      <c r="B93" s="66">
        <v>54140</v>
      </c>
      <c r="D93">
        <f t="shared" si="5"/>
        <v>90.869419268210805</v>
      </c>
      <c r="E93">
        <f t="shared" si="6"/>
        <v>90.869419268210805</v>
      </c>
      <c r="G93">
        <f t="shared" ca="1" si="7"/>
        <v>91</v>
      </c>
      <c r="H93">
        <f t="shared" ca="1" si="8"/>
        <v>8269.1171534071837</v>
      </c>
      <c r="I93">
        <f t="shared" ca="1" si="9"/>
        <v>462.13050524043501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53178</v>
      </c>
      <c r="B95" s="66">
        <v>53178</v>
      </c>
      <c r="D95">
        <f t="shared" si="5"/>
        <v>89.254783484390728</v>
      </c>
      <c r="E95">
        <f t="shared" si="6"/>
        <v>89.254783484390728</v>
      </c>
      <c r="G95">
        <f t="shared" ca="1" si="7"/>
        <v>93</v>
      </c>
      <c r="H95">
        <f t="shared" ca="1" si="8"/>
        <v>8300.694864048337</v>
      </c>
      <c r="I95">
        <f t="shared" ca="1" si="9"/>
        <v>1616.0661664036311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54459</v>
      </c>
      <c r="B98" s="66">
        <v>54459</v>
      </c>
      <c r="D98">
        <f t="shared" si="5"/>
        <v>91.404833836858003</v>
      </c>
      <c r="E98">
        <f t="shared" si="6"/>
        <v>91.404833836858003</v>
      </c>
      <c r="G98">
        <f t="shared" ca="1" si="7"/>
        <v>96</v>
      </c>
      <c r="H98">
        <f t="shared" ca="1" si="8"/>
        <v>8774.8640483383679</v>
      </c>
      <c r="I98">
        <f t="shared" ca="1" si="9"/>
        <v>4811.280941971494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51125</v>
      </c>
      <c r="B100" s="66">
        <v>51125</v>
      </c>
      <c r="D100">
        <f t="shared" si="5"/>
        <v>85.808996307485728</v>
      </c>
      <c r="E100">
        <f t="shared" si="6"/>
        <v>85.808996307485728</v>
      </c>
      <c r="G100">
        <f t="shared" ca="1" si="7"/>
        <v>98</v>
      </c>
      <c r="H100">
        <f t="shared" ca="1" si="8"/>
        <v>8409.2816381336015</v>
      </c>
      <c r="I100">
        <f t="shared" ca="1" si="9"/>
        <v>7350.1935476920607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45894</v>
      </c>
      <c r="B103" s="66">
        <v>45894</v>
      </c>
      <c r="D103">
        <f t="shared" si="5"/>
        <v>77.029204431017121</v>
      </c>
      <c r="E103">
        <f t="shared" si="6"/>
        <v>77.029204431017121</v>
      </c>
      <c r="G103">
        <f t="shared" ca="1" si="7"/>
        <v>101</v>
      </c>
      <c r="H103">
        <f t="shared" ca="1" si="8"/>
        <v>7779.9496475327296</v>
      </c>
      <c r="I103">
        <f t="shared" ca="1" si="9"/>
        <v>11568.896666847189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45245</v>
      </c>
      <c r="B106" s="66">
        <v>45245</v>
      </c>
      <c r="D106">
        <f t="shared" si="5"/>
        <v>75.939912722390062</v>
      </c>
      <c r="E106">
        <f t="shared" si="6"/>
        <v>75.939912722390062</v>
      </c>
      <c r="G106">
        <f t="shared" ca="1" si="7"/>
        <v>104</v>
      </c>
      <c r="H106">
        <f t="shared" ca="1" si="8"/>
        <v>7897.7509231285667</v>
      </c>
      <c r="I106">
        <f t="shared" ca="1" si="9"/>
        <v>17672.682266305095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45636</v>
      </c>
      <c r="B108" s="66">
        <v>45636</v>
      </c>
      <c r="D108">
        <f t="shared" si="5"/>
        <v>76.596173212487415</v>
      </c>
      <c r="E108">
        <f t="shared" si="6"/>
        <v>76.596173212487415</v>
      </c>
      <c r="G108">
        <f t="shared" ca="1" si="7"/>
        <v>106</v>
      </c>
      <c r="H108">
        <f t="shared" ca="1" si="8"/>
        <v>8119.1943605236656</v>
      </c>
      <c r="I108">
        <f t="shared" ca="1" si="9"/>
        <v>22805.732710299264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46240</v>
      </c>
      <c r="B111" s="66">
        <v>46240</v>
      </c>
      <c r="D111">
        <f t="shared" si="5"/>
        <v>77.609936220208127</v>
      </c>
      <c r="E111">
        <f t="shared" si="6"/>
        <v>77.609936220208127</v>
      </c>
      <c r="G111">
        <f t="shared" ca="1" si="7"/>
        <v>109</v>
      </c>
      <c r="H111">
        <f t="shared" ca="1" si="8"/>
        <v>8459.4830480026867</v>
      </c>
      <c r="I111">
        <f t="shared" ca="1" si="9"/>
        <v>31841.081506600083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46562</v>
      </c>
      <c r="B113" s="66">
        <v>46562</v>
      </c>
      <c r="D113">
        <f t="shared" si="5"/>
        <v>78.150386035582414</v>
      </c>
      <c r="E113">
        <f t="shared" si="6"/>
        <v>78.150386035582414</v>
      </c>
      <c r="G113">
        <f t="shared" ca="1" si="7"/>
        <v>111</v>
      </c>
      <c r="H113">
        <f t="shared" ca="1" si="8"/>
        <v>8674.692849949648</v>
      </c>
      <c r="I113">
        <f t="shared" ca="1" si="9"/>
        <v>38707.201699265897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46156</v>
      </c>
      <c r="B116" s="66">
        <v>46156</v>
      </c>
      <c r="D116">
        <f t="shared" si="5"/>
        <v>77.468949311849613</v>
      </c>
      <c r="E116">
        <f t="shared" si="6"/>
        <v>77.468949311849613</v>
      </c>
      <c r="G116">
        <f t="shared" ca="1" si="7"/>
        <v>114</v>
      </c>
      <c r="H116">
        <f t="shared" ca="1" si="8"/>
        <v>8831.4602215508567</v>
      </c>
      <c r="I116">
        <f t="shared" ca="1" si="9"/>
        <v>49411.406318898975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45651</v>
      </c>
      <c r="B118" s="66">
        <v>45651</v>
      </c>
      <c r="D118">
        <f t="shared" si="5"/>
        <v>76.621349446122863</v>
      </c>
      <c r="E118">
        <f t="shared" si="6"/>
        <v>76.621349446122863</v>
      </c>
      <c r="G118">
        <f t="shared" ca="1" si="7"/>
        <v>116</v>
      </c>
      <c r="H118">
        <f t="shared" ca="1" si="8"/>
        <v>8888.0765357502514</v>
      </c>
      <c r="I118">
        <f t="shared" ca="1" si="9"/>
        <v>56917.605332202605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46622</v>
      </c>
      <c r="B121" s="66">
        <v>46622</v>
      </c>
      <c r="D121">
        <f t="shared" si="5"/>
        <v>78.251090970124196</v>
      </c>
      <c r="E121">
        <f t="shared" si="6"/>
        <v>78.251090970124196</v>
      </c>
      <c r="G121">
        <f t="shared" ca="1" si="7"/>
        <v>119</v>
      </c>
      <c r="H121">
        <f t="shared" ca="1" si="8"/>
        <v>9311.8798254447793</v>
      </c>
      <c r="I121">
        <f t="shared" ca="1" si="9"/>
        <v>71628.973120154493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42729</v>
      </c>
      <c r="B124" s="66">
        <v>42729</v>
      </c>
      <c r="D124">
        <f t="shared" si="5"/>
        <v>71.717019133937569</v>
      </c>
      <c r="E124">
        <f t="shared" si="6"/>
        <v>71.717019133937569</v>
      </c>
      <c r="G124">
        <f t="shared" ca="1" si="7"/>
        <v>122</v>
      </c>
      <c r="H124">
        <f t="shared" ca="1" si="8"/>
        <v>8749.4763343403829</v>
      </c>
      <c r="I124">
        <f t="shared" ca="1" si="9"/>
        <v>79312.160823545521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45172</v>
      </c>
      <c r="B126" s="66">
        <v>45172</v>
      </c>
      <c r="D126">
        <f t="shared" si="5"/>
        <v>75.817388385364211</v>
      </c>
      <c r="E126">
        <f t="shared" si="6"/>
        <v>75.817388385364211</v>
      </c>
      <c r="G126">
        <f t="shared" ca="1" si="7"/>
        <v>124</v>
      </c>
      <c r="H126">
        <f t="shared" ca="1" si="8"/>
        <v>9401.3561597851622</v>
      </c>
      <c r="I126">
        <f t="shared" ca="1" si="9"/>
        <v>94235.317776878161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44625</v>
      </c>
      <c r="B129" s="66">
        <v>44625</v>
      </c>
      <c r="D129">
        <f t="shared" si="5"/>
        <v>74.899295065458205</v>
      </c>
      <c r="E129">
        <f t="shared" si="6"/>
        <v>74.899295065458205</v>
      </c>
      <c r="G129">
        <f t="shared" ca="1" si="7"/>
        <v>127</v>
      </c>
      <c r="H129">
        <f t="shared" ca="1" si="8"/>
        <v>9512.2104733131928</v>
      </c>
      <c r="I129">
        <f t="shared" ca="1" si="9"/>
        <v>109611.80105693346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42191</v>
      </c>
      <c r="B131" s="66">
        <v>42191</v>
      </c>
      <c r="D131">
        <f t="shared" ref="D131:D194" si="10">IFERROR( 100*A131/MAX(A$2:A$257), 0 )</f>
        <v>70.814031554212818</v>
      </c>
      <c r="E131">
        <f t="shared" ref="E131:E194" si="11">IFERROR( 100*B131/MAX(B$2:B$257), 0 )</f>
        <v>70.814031554212818</v>
      </c>
      <c r="G131">
        <f t="shared" ref="G131:G194" ca="1" si="12">CELL("row",D131)-2</f>
        <v>129</v>
      </c>
      <c r="H131">
        <f t="shared" ref="H131:H194" ca="1" si="13">D131*G131</f>
        <v>9135.0100704934539</v>
      </c>
      <c r="I131">
        <f t="shared" ref="I131:I194" ca="1" si="14">D131*((G131-$L$1)^2)</f>
        <v>114752.45763714217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39480</v>
      </c>
      <c r="B134" s="66">
        <v>39480</v>
      </c>
      <c r="D134">
        <f t="shared" si="10"/>
        <v>66.26384692849949</v>
      </c>
      <c r="E134">
        <f t="shared" si="11"/>
        <v>66.26384692849949</v>
      </c>
      <c r="G134">
        <f t="shared" ca="1" si="12"/>
        <v>132</v>
      </c>
      <c r="H134">
        <f t="shared" ca="1" si="13"/>
        <v>8746.827794561932</v>
      </c>
      <c r="I134">
        <f t="shared" ca="1" si="14"/>
        <v>123980.12852878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41865</v>
      </c>
      <c r="B136" s="66">
        <v>41865</v>
      </c>
      <c r="D136">
        <f t="shared" si="10"/>
        <v>70.266868076535744</v>
      </c>
      <c r="E136">
        <f t="shared" si="11"/>
        <v>70.266868076535744</v>
      </c>
      <c r="G136">
        <f t="shared" ca="1" si="12"/>
        <v>134</v>
      </c>
      <c r="H136">
        <f t="shared" ca="1" si="13"/>
        <v>9415.76032225579</v>
      </c>
      <c r="I136">
        <f t="shared" ca="1" si="14"/>
        <v>143908.48978572903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36745</v>
      </c>
      <c r="B139" s="66">
        <v>36745</v>
      </c>
      <c r="D139">
        <f t="shared" si="10"/>
        <v>61.673380328969451</v>
      </c>
      <c r="E139">
        <f t="shared" si="11"/>
        <v>61.673380328969451</v>
      </c>
      <c r="G139">
        <f t="shared" ca="1" si="12"/>
        <v>137</v>
      </c>
      <c r="H139">
        <f t="shared" ca="1" si="13"/>
        <v>8449.253105068814</v>
      </c>
      <c r="I139">
        <f t="shared" ca="1" si="14"/>
        <v>143610.07419868809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33250</v>
      </c>
      <c r="B142" s="66">
        <v>33250</v>
      </c>
      <c r="D142">
        <f t="shared" si="10"/>
        <v>55.807317891910039</v>
      </c>
      <c r="E142">
        <f t="shared" si="11"/>
        <v>55.807317891910039</v>
      </c>
      <c r="G142">
        <f t="shared" ca="1" si="12"/>
        <v>140</v>
      </c>
      <c r="H142">
        <f t="shared" ca="1" si="13"/>
        <v>7813.0245048674051</v>
      </c>
      <c r="I142">
        <f t="shared" ca="1" si="14"/>
        <v>146610.81000324551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28533</v>
      </c>
      <c r="B144" s="66">
        <v>28533</v>
      </c>
      <c r="D144">
        <f t="shared" si="10"/>
        <v>47.890231621349443</v>
      </c>
      <c r="E144">
        <f t="shared" si="11"/>
        <v>47.890231621349443</v>
      </c>
      <c r="G144">
        <f t="shared" ca="1" si="12"/>
        <v>142</v>
      </c>
      <c r="H144">
        <f t="shared" ca="1" si="13"/>
        <v>6800.4128902316206</v>
      </c>
      <c r="I144">
        <f t="shared" ca="1" si="14"/>
        <v>135821.96001378854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28450</v>
      </c>
      <c r="B147" s="66">
        <v>28450</v>
      </c>
      <c r="D147">
        <f t="shared" si="10"/>
        <v>47.750923128566633</v>
      </c>
      <c r="E147">
        <f t="shared" si="11"/>
        <v>47.750923128566633</v>
      </c>
      <c r="G147">
        <f t="shared" ca="1" si="12"/>
        <v>145</v>
      </c>
      <c r="H147">
        <f t="shared" ca="1" si="13"/>
        <v>6923.8838536421617</v>
      </c>
      <c r="I147">
        <f t="shared" ca="1" si="14"/>
        <v>151114.51660644697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28044</v>
      </c>
      <c r="B149" s="66">
        <v>28044</v>
      </c>
      <c r="D149">
        <f t="shared" si="10"/>
        <v>47.069486404833839</v>
      </c>
      <c r="E149">
        <f t="shared" si="11"/>
        <v>47.069486404833839</v>
      </c>
      <c r="G149">
        <f t="shared" ca="1" si="12"/>
        <v>147</v>
      </c>
      <c r="H149">
        <f t="shared" ca="1" si="13"/>
        <v>6919.2145015105743</v>
      </c>
      <c r="I149">
        <f t="shared" ca="1" si="14"/>
        <v>159737.89426113886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26348</v>
      </c>
      <c r="B152" s="66">
        <v>26348</v>
      </c>
      <c r="D152">
        <f t="shared" si="10"/>
        <v>44.2228935884525</v>
      </c>
      <c r="E152">
        <f t="shared" si="11"/>
        <v>44.2228935884525</v>
      </c>
      <c r="G152">
        <f t="shared" ca="1" si="12"/>
        <v>150</v>
      </c>
      <c r="H152">
        <f t="shared" ca="1" si="13"/>
        <v>6633.4340382678747</v>
      </c>
      <c r="I152">
        <f t="shared" ca="1" si="14"/>
        <v>165932.79348784193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26696</v>
      </c>
      <c r="B154" s="66">
        <v>26696</v>
      </c>
      <c r="D154">
        <f t="shared" si="10"/>
        <v>44.806982208794899</v>
      </c>
      <c r="E154">
        <f t="shared" si="11"/>
        <v>44.806982208794899</v>
      </c>
      <c r="G154">
        <f t="shared" ca="1" si="12"/>
        <v>152</v>
      </c>
      <c r="H154">
        <f t="shared" ca="1" si="13"/>
        <v>6810.6612957368243</v>
      </c>
      <c r="I154">
        <f t="shared" ca="1" si="14"/>
        <v>179282.26595517842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27957</v>
      </c>
      <c r="B157" s="66">
        <v>27957</v>
      </c>
      <c r="D157">
        <f t="shared" si="10"/>
        <v>46.923464249748235</v>
      </c>
      <c r="E157">
        <f t="shared" si="11"/>
        <v>46.923464249748235</v>
      </c>
      <c r="G157">
        <f t="shared" ca="1" si="12"/>
        <v>155</v>
      </c>
      <c r="H157">
        <f t="shared" ca="1" si="13"/>
        <v>7273.1369587109766</v>
      </c>
      <c r="I157">
        <f t="shared" ca="1" si="14"/>
        <v>205981.97364659721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27277</v>
      </c>
      <c r="B160" s="66">
        <v>27277</v>
      </c>
      <c r="D160">
        <f t="shared" si="10"/>
        <v>45.78214165827459</v>
      </c>
      <c r="E160">
        <f t="shared" si="11"/>
        <v>45.78214165827459</v>
      </c>
      <c r="G160">
        <f t="shared" ca="1" si="12"/>
        <v>158</v>
      </c>
      <c r="H160">
        <f t="shared" ca="1" si="13"/>
        <v>7233.5783820073848</v>
      </c>
      <c r="I160">
        <f t="shared" ca="1" si="14"/>
        <v>219583.71259515701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26659</v>
      </c>
      <c r="B162" s="66">
        <v>26659</v>
      </c>
      <c r="D162">
        <f t="shared" si="10"/>
        <v>44.744880832494125</v>
      </c>
      <c r="E162">
        <f t="shared" si="11"/>
        <v>44.744880832494125</v>
      </c>
      <c r="G162">
        <f t="shared" ca="1" si="12"/>
        <v>160</v>
      </c>
      <c r="H162">
        <f t="shared" ca="1" si="13"/>
        <v>7159.1809331990598</v>
      </c>
      <c r="I162">
        <f t="shared" ca="1" si="14"/>
        <v>227182.95648991389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25512</v>
      </c>
      <c r="B165" s="66">
        <v>25512</v>
      </c>
      <c r="D165">
        <f t="shared" si="10"/>
        <v>42.819738167170193</v>
      </c>
      <c r="E165">
        <f t="shared" si="11"/>
        <v>42.819738167170193</v>
      </c>
      <c r="G165">
        <f t="shared" ca="1" si="12"/>
        <v>163</v>
      </c>
      <c r="H165">
        <f t="shared" ca="1" si="13"/>
        <v>6979.6173212487411</v>
      </c>
      <c r="I165">
        <f t="shared" ca="1" si="14"/>
        <v>236100.57558303265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24008</v>
      </c>
      <c r="B167" s="66">
        <v>24008</v>
      </c>
      <c r="D167">
        <f t="shared" si="10"/>
        <v>40.295401141322593</v>
      </c>
      <c r="E167">
        <f t="shared" si="11"/>
        <v>40.295401141322593</v>
      </c>
      <c r="G167">
        <f t="shared" ca="1" si="12"/>
        <v>165</v>
      </c>
      <c r="H167">
        <f t="shared" ca="1" si="13"/>
        <v>6648.7411883182276</v>
      </c>
      <c r="I167">
        <f t="shared" ca="1" si="14"/>
        <v>234311.56521066432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20053</v>
      </c>
      <c r="B170" s="66">
        <v>20053</v>
      </c>
      <c r="D170">
        <f t="shared" si="10"/>
        <v>33.657267539442763</v>
      </c>
      <c r="E170">
        <f t="shared" si="11"/>
        <v>33.657267539442763</v>
      </c>
      <c r="G170">
        <f t="shared" ca="1" si="12"/>
        <v>168</v>
      </c>
      <c r="H170">
        <f t="shared" ca="1" si="13"/>
        <v>5654.4209466263846</v>
      </c>
      <c r="I170">
        <f t="shared" ca="1" si="14"/>
        <v>211413.99166411231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14477</v>
      </c>
      <c r="B173" s="66">
        <v>14477</v>
      </c>
      <c r="D173">
        <f t="shared" si="10"/>
        <v>24.298422289358847</v>
      </c>
      <c r="E173">
        <f t="shared" si="11"/>
        <v>24.298422289358847</v>
      </c>
      <c r="G173">
        <f t="shared" ca="1" si="12"/>
        <v>171</v>
      </c>
      <c r="H173">
        <f t="shared" ca="1" si="13"/>
        <v>4155.0302114803626</v>
      </c>
      <c r="I173">
        <f t="shared" ca="1" si="14"/>
        <v>164400.88975839014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10411</v>
      </c>
      <c r="B175" s="66">
        <v>10411</v>
      </c>
      <c r="D175">
        <f t="shared" si="10"/>
        <v>17.473984558576703</v>
      </c>
      <c r="E175">
        <f t="shared" si="11"/>
        <v>17.473984558576703</v>
      </c>
      <c r="G175">
        <f t="shared" ca="1" si="12"/>
        <v>173</v>
      </c>
      <c r="H175">
        <f t="shared" ca="1" si="13"/>
        <v>3022.9993286337694</v>
      </c>
      <c r="I175">
        <f t="shared" ca="1" si="14"/>
        <v>124046.56801844113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7267</v>
      </c>
      <c r="B178" s="66">
        <v>7267</v>
      </c>
      <c r="D178">
        <f t="shared" si="10"/>
        <v>12.197045988586774</v>
      </c>
      <c r="E178">
        <f t="shared" si="11"/>
        <v>12.197045988586774</v>
      </c>
      <c r="G178">
        <f t="shared" ca="1" si="12"/>
        <v>176</v>
      </c>
      <c r="H178">
        <f t="shared" ca="1" si="13"/>
        <v>2146.6800939912723</v>
      </c>
      <c r="I178">
        <f t="shared" ca="1" si="14"/>
        <v>92861.714394039009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5159</v>
      </c>
      <c r="B180" s="66">
        <v>5159</v>
      </c>
      <c r="D180">
        <f t="shared" si="10"/>
        <v>8.6589459550184618</v>
      </c>
      <c r="E180">
        <f t="shared" si="11"/>
        <v>8.6589459550184618</v>
      </c>
      <c r="G180">
        <f t="shared" ca="1" si="12"/>
        <v>178</v>
      </c>
      <c r="H180">
        <f t="shared" ca="1" si="13"/>
        <v>1541.2923799932862</v>
      </c>
      <c r="I180">
        <f t="shared" ca="1" si="14"/>
        <v>68981.319385132592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3569</v>
      </c>
      <c r="B183" s="66">
        <v>3569</v>
      </c>
      <c r="D183">
        <f t="shared" si="10"/>
        <v>5.9902651896609598</v>
      </c>
      <c r="E183">
        <f t="shared" si="11"/>
        <v>5.9902651896609598</v>
      </c>
      <c r="G183">
        <f t="shared" ca="1" si="12"/>
        <v>181</v>
      </c>
      <c r="H183">
        <f t="shared" ca="1" si="13"/>
        <v>1084.2379993286338</v>
      </c>
      <c r="I183">
        <f t="shared" ca="1" si="14"/>
        <v>50983.211683931499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1669</v>
      </c>
      <c r="B185" s="66">
        <v>1669</v>
      </c>
      <c r="D185">
        <f t="shared" si="10"/>
        <v>2.8012755958375295</v>
      </c>
      <c r="E185">
        <f t="shared" si="11"/>
        <v>2.8012755958375295</v>
      </c>
      <c r="G185">
        <f t="shared" ca="1" si="12"/>
        <v>183</v>
      </c>
      <c r="H185">
        <f t="shared" ca="1" si="13"/>
        <v>512.63343403826786</v>
      </c>
      <c r="I185">
        <f t="shared" ca="1" si="14"/>
        <v>24886.620218820517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625</v>
      </c>
      <c r="B188" s="66">
        <v>625</v>
      </c>
      <c r="D188">
        <f t="shared" si="10"/>
        <v>1.0490097348103391</v>
      </c>
      <c r="E188">
        <f t="shared" si="11"/>
        <v>1.0490097348103391</v>
      </c>
      <c r="G188">
        <f t="shared" ca="1" si="12"/>
        <v>186</v>
      </c>
      <c r="H188">
        <f t="shared" ca="1" si="13"/>
        <v>195.11581067472306</v>
      </c>
      <c r="I188">
        <f t="shared" ca="1" si="14"/>
        <v>9922.1238144917406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570</v>
      </c>
      <c r="B191" s="66">
        <v>570</v>
      </c>
      <c r="D191">
        <f t="shared" si="10"/>
        <v>0.95669687814702919</v>
      </c>
      <c r="E191">
        <f t="shared" si="11"/>
        <v>0.95669687814702919</v>
      </c>
      <c r="G191">
        <f t="shared" ca="1" si="12"/>
        <v>189</v>
      </c>
      <c r="H191">
        <f t="shared" ca="1" si="13"/>
        <v>180.81570996978851</v>
      </c>
      <c r="I191">
        <f t="shared" ca="1" si="14"/>
        <v>9615.8493216866209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136</v>
      </c>
      <c r="B193" s="66">
        <v>136</v>
      </c>
      <c r="D193">
        <f t="shared" si="10"/>
        <v>0.22826451829472977</v>
      </c>
      <c r="E193">
        <f t="shared" si="11"/>
        <v>0.22826451829472977</v>
      </c>
      <c r="G193">
        <f t="shared" ca="1" si="12"/>
        <v>191</v>
      </c>
      <c r="H193">
        <f t="shared" ca="1" si="13"/>
        <v>43.598522994293383</v>
      </c>
      <c r="I193">
        <f t="shared" ca="1" si="14"/>
        <v>2386.7597310477554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405</v>
      </c>
      <c r="B1" s="66" t="s">
        <v>406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104.01801053697589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2.0083267186582452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0.763809505438243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10807</v>
      </c>
      <c r="B8" s="66">
        <v>10807</v>
      </c>
      <c r="D8">
        <f t="shared" si="0"/>
        <v>13.029901133349409</v>
      </c>
      <c r="E8">
        <f t="shared" si="1"/>
        <v>13.029901133349409</v>
      </c>
      <c r="G8">
        <f t="shared" ca="1" si="2"/>
        <v>6</v>
      </c>
      <c r="H8">
        <f t="shared" ca="1" si="3"/>
        <v>78.179406800096444</v>
      </c>
      <c r="I8">
        <f t="shared" ca="1" si="4"/>
        <v>125185.17111248606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14846</v>
      </c>
      <c r="B10" s="66">
        <v>14846</v>
      </c>
      <c r="D10">
        <f t="shared" si="0"/>
        <v>17.899686520376175</v>
      </c>
      <c r="E10">
        <f t="shared" si="1"/>
        <v>17.899686520376175</v>
      </c>
      <c r="G10">
        <f t="shared" ca="1" si="2"/>
        <v>8</v>
      </c>
      <c r="H10">
        <f t="shared" ca="1" si="3"/>
        <v>143.1974921630094</v>
      </c>
      <c r="I10">
        <f t="shared" ca="1" si="4"/>
        <v>165025.41430753615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12381</v>
      </c>
      <c r="B13" s="66">
        <v>12381</v>
      </c>
      <c r="D13">
        <f t="shared" si="0"/>
        <v>14.927658548348203</v>
      </c>
      <c r="E13">
        <f t="shared" si="1"/>
        <v>14.927658548348203</v>
      </c>
      <c r="G13">
        <f t="shared" ca="1" si="2"/>
        <v>11</v>
      </c>
      <c r="H13">
        <f t="shared" ca="1" si="3"/>
        <v>164.20424403183023</v>
      </c>
      <c r="I13">
        <f t="shared" ca="1" si="4"/>
        <v>129159.33068409139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14247</v>
      </c>
      <c r="B15" s="66">
        <v>14247</v>
      </c>
      <c r="D15">
        <f t="shared" si="0"/>
        <v>17.177477694719073</v>
      </c>
      <c r="E15">
        <f t="shared" si="1"/>
        <v>17.177477694719073</v>
      </c>
      <c r="G15">
        <f t="shared" ca="1" si="2"/>
        <v>13</v>
      </c>
      <c r="H15">
        <f t="shared" ca="1" si="3"/>
        <v>223.30721003134795</v>
      </c>
      <c r="I15">
        <f t="shared" ca="1" si="4"/>
        <v>142303.0047206748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19130</v>
      </c>
      <c r="B18" s="66">
        <v>19130</v>
      </c>
      <c r="D18">
        <f t="shared" si="0"/>
        <v>23.064866168314445</v>
      </c>
      <c r="E18">
        <f t="shared" si="1"/>
        <v>23.064866168314445</v>
      </c>
      <c r="G18">
        <f t="shared" ca="1" si="2"/>
        <v>16</v>
      </c>
      <c r="H18">
        <f t="shared" ca="1" si="3"/>
        <v>369.03785869303113</v>
      </c>
      <c r="I18">
        <f t="shared" ca="1" si="4"/>
        <v>178687.44335918993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23902</v>
      </c>
      <c r="B21" s="66">
        <v>23902</v>
      </c>
      <c r="D21">
        <f t="shared" si="0"/>
        <v>28.818422956353992</v>
      </c>
      <c r="E21">
        <f t="shared" si="1"/>
        <v>28.818422956353992</v>
      </c>
      <c r="G21">
        <f t="shared" ca="1" si="2"/>
        <v>19</v>
      </c>
      <c r="H21">
        <f t="shared" ca="1" si="3"/>
        <v>547.55003617072589</v>
      </c>
      <c r="I21">
        <f t="shared" ca="1" si="4"/>
        <v>208301.35120404276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26536</v>
      </c>
      <c r="B23" s="66">
        <v>26536</v>
      </c>
      <c r="D23">
        <f t="shared" si="0"/>
        <v>31.994212683867858</v>
      </c>
      <c r="E23">
        <f t="shared" si="1"/>
        <v>31.994212683867858</v>
      </c>
      <c r="G23">
        <f t="shared" ca="1" si="2"/>
        <v>21</v>
      </c>
      <c r="H23">
        <f t="shared" ca="1" si="3"/>
        <v>671.87846636122504</v>
      </c>
      <c r="I23">
        <f t="shared" ca="1" si="4"/>
        <v>220503.79622722307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20806</v>
      </c>
      <c r="B26" s="66">
        <v>20806</v>
      </c>
      <c r="D26">
        <f t="shared" si="0"/>
        <v>25.085604051121294</v>
      </c>
      <c r="E26">
        <f t="shared" si="1"/>
        <v>25.085604051121294</v>
      </c>
      <c r="G26">
        <f t="shared" ca="1" si="2"/>
        <v>24</v>
      </c>
      <c r="H26">
        <f t="shared" ca="1" si="3"/>
        <v>602.05449722691105</v>
      </c>
      <c r="I26">
        <f t="shared" ca="1" si="4"/>
        <v>160620.16289632258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20153</v>
      </c>
      <c r="B28" s="66">
        <v>20153</v>
      </c>
      <c r="D28">
        <f t="shared" si="0"/>
        <v>24.298287918977575</v>
      </c>
      <c r="E28">
        <f t="shared" si="1"/>
        <v>24.298287918977575</v>
      </c>
      <c r="G28">
        <f t="shared" ca="1" si="2"/>
        <v>26</v>
      </c>
      <c r="H28">
        <f t="shared" ca="1" si="3"/>
        <v>631.7554858934169</v>
      </c>
      <c r="I28">
        <f t="shared" ca="1" si="4"/>
        <v>147899.06111415508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20215</v>
      </c>
      <c r="B31" s="66">
        <v>20215</v>
      </c>
      <c r="D31">
        <f t="shared" si="0"/>
        <v>24.373040752351098</v>
      </c>
      <c r="E31">
        <f t="shared" si="1"/>
        <v>24.373040752351098</v>
      </c>
      <c r="G31">
        <f t="shared" ca="1" si="2"/>
        <v>29</v>
      </c>
      <c r="H31">
        <f t="shared" ca="1" si="3"/>
        <v>706.81818181818187</v>
      </c>
      <c r="I31">
        <f t="shared" ca="1" si="4"/>
        <v>137164.20787084106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20157</v>
      </c>
      <c r="B33" s="66">
        <v>20157</v>
      </c>
      <c r="D33">
        <f t="shared" si="0"/>
        <v>24.303110682421028</v>
      </c>
      <c r="E33">
        <f t="shared" si="1"/>
        <v>24.303110682421028</v>
      </c>
      <c r="G33">
        <f t="shared" ca="1" si="2"/>
        <v>31</v>
      </c>
      <c r="H33">
        <f t="shared" ca="1" si="3"/>
        <v>753.39643115505191</v>
      </c>
      <c r="I33">
        <f t="shared" ca="1" si="4"/>
        <v>129575.19067279309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21225</v>
      </c>
      <c r="B36" s="66">
        <v>21225</v>
      </c>
      <c r="D36">
        <f t="shared" si="0"/>
        <v>25.590788521823004</v>
      </c>
      <c r="E36">
        <f t="shared" si="1"/>
        <v>25.590788521823004</v>
      </c>
      <c r="G36">
        <f t="shared" ca="1" si="2"/>
        <v>34</v>
      </c>
      <c r="H36">
        <f t="shared" ca="1" si="3"/>
        <v>870.08680974198217</v>
      </c>
      <c r="I36">
        <f t="shared" ca="1" si="4"/>
        <v>125459.39859606646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21195</v>
      </c>
      <c r="B39" s="66">
        <v>21195</v>
      </c>
      <c r="D39">
        <f t="shared" si="0"/>
        <v>25.554617795997107</v>
      </c>
      <c r="E39">
        <f t="shared" si="1"/>
        <v>25.554617795997107</v>
      </c>
      <c r="G39">
        <f t="shared" ca="1" si="2"/>
        <v>37</v>
      </c>
      <c r="H39">
        <f t="shared" ca="1" si="3"/>
        <v>945.52085845189299</v>
      </c>
      <c r="I39">
        <f t="shared" ca="1" si="4"/>
        <v>114776.3613957121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21559</v>
      </c>
      <c r="B41" s="66">
        <v>21559</v>
      </c>
      <c r="D41">
        <f t="shared" si="0"/>
        <v>25.99348926935134</v>
      </c>
      <c r="E41">
        <f t="shared" si="1"/>
        <v>25.99348926935134</v>
      </c>
      <c r="G41">
        <f t="shared" ca="1" si="2"/>
        <v>39</v>
      </c>
      <c r="H41">
        <f t="shared" ca="1" si="3"/>
        <v>1013.7460815047023</v>
      </c>
      <c r="I41">
        <f t="shared" ca="1" si="4"/>
        <v>109883.36096571331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25366</v>
      </c>
      <c r="B44" s="66">
        <v>25366</v>
      </c>
      <c r="D44">
        <f t="shared" si="0"/>
        <v>30.583554376657826</v>
      </c>
      <c r="E44">
        <f t="shared" si="1"/>
        <v>30.583554376657826</v>
      </c>
      <c r="G44">
        <f t="shared" ca="1" si="2"/>
        <v>42</v>
      </c>
      <c r="H44">
        <f t="shared" ca="1" si="3"/>
        <v>1284.5092838196288</v>
      </c>
      <c r="I44">
        <f t="shared" ca="1" si="4"/>
        <v>117631.49539793142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23711</v>
      </c>
      <c r="B46" s="66">
        <v>23711</v>
      </c>
      <c r="D46">
        <f t="shared" si="0"/>
        <v>28.588136001929104</v>
      </c>
      <c r="E46">
        <f t="shared" si="1"/>
        <v>28.588136001929104</v>
      </c>
      <c r="G46">
        <f t="shared" ca="1" si="2"/>
        <v>44</v>
      </c>
      <c r="H46">
        <f t="shared" ca="1" si="3"/>
        <v>1257.8779840848806</v>
      </c>
      <c r="I46">
        <f t="shared" ca="1" si="4"/>
        <v>102979.08540201254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22967</v>
      </c>
      <c r="B49" s="66">
        <v>22967</v>
      </c>
      <c r="D49">
        <f t="shared" si="0"/>
        <v>27.691102001446829</v>
      </c>
      <c r="E49">
        <f t="shared" si="1"/>
        <v>27.691102001446829</v>
      </c>
      <c r="G49">
        <f t="shared" ca="1" si="2"/>
        <v>47</v>
      </c>
      <c r="H49">
        <f t="shared" ca="1" si="3"/>
        <v>1301.4817940680009</v>
      </c>
      <c r="I49">
        <f t="shared" ca="1" si="4"/>
        <v>90025.254789405997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25577</v>
      </c>
      <c r="B51" s="66">
        <v>25577</v>
      </c>
      <c r="D51">
        <f t="shared" si="0"/>
        <v>30.837955148299976</v>
      </c>
      <c r="E51">
        <f t="shared" si="1"/>
        <v>30.837955148299976</v>
      </c>
      <c r="G51">
        <f t="shared" ca="1" si="2"/>
        <v>49</v>
      </c>
      <c r="H51">
        <f t="shared" ca="1" si="3"/>
        <v>1511.0598022666989</v>
      </c>
      <c r="I51">
        <f t="shared" ca="1" si="4"/>
        <v>93345.919221266638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23877</v>
      </c>
      <c r="B54" s="66">
        <v>23877</v>
      </c>
      <c r="D54">
        <f t="shared" si="0"/>
        <v>28.788280684832408</v>
      </c>
      <c r="E54">
        <f t="shared" si="1"/>
        <v>28.788280684832408</v>
      </c>
      <c r="G54">
        <f t="shared" ca="1" si="2"/>
        <v>52</v>
      </c>
      <c r="H54">
        <f t="shared" ca="1" si="3"/>
        <v>1496.9905956112852</v>
      </c>
      <c r="I54">
        <f t="shared" ca="1" si="4"/>
        <v>77897.443519062901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23728</v>
      </c>
      <c r="B57" s="66">
        <v>23728</v>
      </c>
      <c r="D57">
        <f t="shared" si="0"/>
        <v>28.608632746563782</v>
      </c>
      <c r="E57">
        <f t="shared" si="1"/>
        <v>28.608632746563782</v>
      </c>
      <c r="G57">
        <f t="shared" ca="1" si="2"/>
        <v>55</v>
      </c>
      <c r="H57">
        <f t="shared" ca="1" si="3"/>
        <v>1573.4748010610081</v>
      </c>
      <c r="I57">
        <f t="shared" ca="1" si="4"/>
        <v>68739.831674667323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24595</v>
      </c>
      <c r="B59" s="66">
        <v>24595</v>
      </c>
      <c r="D59">
        <f t="shared" si="0"/>
        <v>29.653966722932239</v>
      </c>
      <c r="E59">
        <f t="shared" si="1"/>
        <v>29.653966722932239</v>
      </c>
      <c r="G59">
        <f t="shared" ca="1" si="2"/>
        <v>57</v>
      </c>
      <c r="H59">
        <f t="shared" ca="1" si="3"/>
        <v>1690.2761032071376</v>
      </c>
      <c r="I59">
        <f t="shared" ca="1" si="4"/>
        <v>65555.82599332415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25149</v>
      </c>
      <c r="B62" s="66">
        <v>25149</v>
      </c>
      <c r="D62">
        <f t="shared" si="0"/>
        <v>30.321919459850495</v>
      </c>
      <c r="E62">
        <f t="shared" si="1"/>
        <v>30.321919459850495</v>
      </c>
      <c r="G62">
        <f t="shared" ca="1" si="2"/>
        <v>60</v>
      </c>
      <c r="H62">
        <f t="shared" ca="1" si="3"/>
        <v>1819.3151675910296</v>
      </c>
      <c r="I62">
        <f t="shared" ca="1" si="4"/>
        <v>58751.303946619708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29977</v>
      </c>
      <c r="B64" s="66">
        <v>29977</v>
      </c>
      <c r="D64">
        <f t="shared" si="0"/>
        <v>36.142994936098383</v>
      </c>
      <c r="E64">
        <f t="shared" si="1"/>
        <v>36.142994936098383</v>
      </c>
      <c r="G64">
        <f t="shared" ca="1" si="2"/>
        <v>62</v>
      </c>
      <c r="H64">
        <f t="shared" ca="1" si="3"/>
        <v>2240.8656860380997</v>
      </c>
      <c r="I64">
        <f t="shared" ca="1" si="4"/>
        <v>63810.93499004624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28524</v>
      </c>
      <c r="B67" s="66">
        <v>28524</v>
      </c>
      <c r="D67">
        <f t="shared" ref="D67:D130" si="5">IFERROR(100*A67/MAX(A$2:A$257), 0 )</f>
        <v>34.391126115264044</v>
      </c>
      <c r="E67">
        <f t="shared" ref="E67:E130" si="6">IFERROR(100*B67/MAX(B$2:B$257), 0 )</f>
        <v>34.391126115264044</v>
      </c>
      <c r="G67">
        <f t="shared" ref="G67:G130" ca="1" si="7">CELL("row",D67)-2</f>
        <v>65</v>
      </c>
      <c r="H67">
        <f t="shared" ref="H67:H130" ca="1" si="8">D67*G67</f>
        <v>2235.4231974921627</v>
      </c>
      <c r="I67">
        <f t="shared" ref="I67:I130" ca="1" si="9">D67*((G67-$L$1)^2)</f>
        <v>52357.227383677156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32766</v>
      </c>
      <c r="B69" s="66">
        <v>32766</v>
      </c>
      <c r="D69">
        <f t="shared" si="5"/>
        <v>39.505666747046057</v>
      </c>
      <c r="E69">
        <f t="shared" si="6"/>
        <v>39.505666747046057</v>
      </c>
      <c r="G69">
        <f t="shared" ca="1" si="7"/>
        <v>67</v>
      </c>
      <c r="H69">
        <f t="shared" ca="1" si="8"/>
        <v>2646.8796720520859</v>
      </c>
      <c r="I69">
        <f t="shared" ca="1" si="9"/>
        <v>54135.922943638361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39093</v>
      </c>
      <c r="B72" s="66">
        <v>39093</v>
      </c>
      <c r="D72">
        <f t="shared" si="5"/>
        <v>47.134072823727998</v>
      </c>
      <c r="E72">
        <f t="shared" si="6"/>
        <v>47.134072823727998</v>
      </c>
      <c r="G72">
        <f t="shared" ca="1" si="7"/>
        <v>70</v>
      </c>
      <c r="H72">
        <f t="shared" ca="1" si="8"/>
        <v>3299.3850976609597</v>
      </c>
      <c r="I72">
        <f t="shared" ca="1" si="9"/>
        <v>54544.729350930123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42492</v>
      </c>
      <c r="B75" s="66">
        <v>42492</v>
      </c>
      <c r="D75">
        <f t="shared" si="5"/>
        <v>51.232216059802269</v>
      </c>
      <c r="E75">
        <f t="shared" si="6"/>
        <v>51.232216059802269</v>
      </c>
      <c r="G75">
        <f t="shared" ca="1" si="7"/>
        <v>73</v>
      </c>
      <c r="H75">
        <f t="shared" ca="1" si="8"/>
        <v>3739.9517723655658</v>
      </c>
      <c r="I75">
        <f t="shared" ca="1" si="9"/>
        <v>49291.38487489317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50045</v>
      </c>
      <c r="B77" s="66">
        <v>50045</v>
      </c>
      <c r="D77">
        <f t="shared" si="5"/>
        <v>60.338799131902583</v>
      </c>
      <c r="E77">
        <f t="shared" si="6"/>
        <v>60.338799131902583</v>
      </c>
      <c r="G77">
        <f t="shared" ca="1" si="7"/>
        <v>75</v>
      </c>
      <c r="H77">
        <f t="shared" ca="1" si="8"/>
        <v>4525.4099348926939</v>
      </c>
      <c r="I77">
        <f t="shared" ca="1" si="9"/>
        <v>50807.980224621147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55515</v>
      </c>
      <c r="B80" s="66">
        <v>55515</v>
      </c>
      <c r="D80">
        <f t="shared" si="5"/>
        <v>66.93392814082469</v>
      </c>
      <c r="E80">
        <f t="shared" si="6"/>
        <v>66.93392814082469</v>
      </c>
      <c r="G80">
        <f t="shared" ca="1" si="7"/>
        <v>78</v>
      </c>
      <c r="H80">
        <f t="shared" ca="1" si="8"/>
        <v>5220.8463949843263</v>
      </c>
      <c r="I80">
        <f t="shared" ca="1" si="9"/>
        <v>45310.04396654931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59483</v>
      </c>
      <c r="B82" s="66">
        <v>59483</v>
      </c>
      <c r="D82">
        <f t="shared" si="5"/>
        <v>71.718109476730163</v>
      </c>
      <c r="E82">
        <f t="shared" si="6"/>
        <v>71.718109476730163</v>
      </c>
      <c r="G82">
        <f t="shared" ca="1" si="7"/>
        <v>80</v>
      </c>
      <c r="H82">
        <f t="shared" ca="1" si="8"/>
        <v>5737.4487581384128</v>
      </c>
      <c r="I82">
        <f t="shared" ca="1" si="9"/>
        <v>41371.65504228037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61047</v>
      </c>
      <c r="B85" s="66">
        <v>61047</v>
      </c>
      <c r="D85">
        <f t="shared" si="5"/>
        <v>73.603809983120328</v>
      </c>
      <c r="E85">
        <f t="shared" si="6"/>
        <v>73.603809983120328</v>
      </c>
      <c r="G85">
        <f t="shared" ca="1" si="7"/>
        <v>83</v>
      </c>
      <c r="H85">
        <f t="shared" ca="1" si="8"/>
        <v>6109.1162285989876</v>
      </c>
      <c r="I85">
        <f t="shared" ca="1" si="9"/>
        <v>32514.981132052129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56973</v>
      </c>
      <c r="B88" s="66">
        <v>56973</v>
      </c>
      <c r="D88">
        <f t="shared" si="5"/>
        <v>68.691825415963351</v>
      </c>
      <c r="E88">
        <f t="shared" si="6"/>
        <v>68.691825415963351</v>
      </c>
      <c r="G88">
        <f t="shared" ca="1" si="7"/>
        <v>86</v>
      </c>
      <c r="H88">
        <f t="shared" ca="1" si="8"/>
        <v>5907.4969857728483</v>
      </c>
      <c r="I88">
        <f t="shared" ca="1" si="9"/>
        <v>22300.712076805583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57715</v>
      </c>
      <c r="B90" s="66">
        <v>57715</v>
      </c>
      <c r="D90">
        <f t="shared" si="5"/>
        <v>69.586448034723901</v>
      </c>
      <c r="E90">
        <f t="shared" si="6"/>
        <v>69.586448034723901</v>
      </c>
      <c r="G90">
        <f t="shared" ca="1" si="7"/>
        <v>88</v>
      </c>
      <c r="H90">
        <f t="shared" ca="1" si="8"/>
        <v>6123.6074270557037</v>
      </c>
      <c r="I90">
        <f t="shared" ca="1" si="9"/>
        <v>17854.258526753729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60684</v>
      </c>
      <c r="B93" s="66">
        <v>60684</v>
      </c>
      <c r="D93">
        <f t="shared" si="5"/>
        <v>73.16614420062696</v>
      </c>
      <c r="E93">
        <f t="shared" si="6"/>
        <v>73.16614420062696</v>
      </c>
      <c r="G93">
        <f t="shared" ca="1" si="7"/>
        <v>91</v>
      </c>
      <c r="H93">
        <f t="shared" ca="1" si="8"/>
        <v>6658.1191222570533</v>
      </c>
      <c r="I93">
        <f t="shared" ca="1" si="9"/>
        <v>12399.36390368223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66649</v>
      </c>
      <c r="B95" s="66">
        <v>66649</v>
      </c>
      <c r="D95">
        <f t="shared" si="5"/>
        <v>80.358090185676389</v>
      </c>
      <c r="E95">
        <f t="shared" si="6"/>
        <v>80.358090185676389</v>
      </c>
      <c r="G95">
        <f t="shared" ca="1" si="7"/>
        <v>93</v>
      </c>
      <c r="H95">
        <f t="shared" ca="1" si="8"/>
        <v>7473.3023872679041</v>
      </c>
      <c r="I95">
        <f t="shared" ca="1" si="9"/>
        <v>9755.1954107805395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65406</v>
      </c>
      <c r="B98" s="66">
        <v>65406</v>
      </c>
      <c r="D98">
        <f t="shared" si="5"/>
        <v>78.859416445623339</v>
      </c>
      <c r="E98">
        <f t="shared" si="6"/>
        <v>78.859416445623339</v>
      </c>
      <c r="G98">
        <f t="shared" ca="1" si="7"/>
        <v>96</v>
      </c>
      <c r="H98">
        <f t="shared" ca="1" si="8"/>
        <v>7570.5039787798405</v>
      </c>
      <c r="I98">
        <f t="shared" ca="1" si="9"/>
        <v>5069.7530398660701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68907</v>
      </c>
      <c r="B100" s="66">
        <v>68907</v>
      </c>
      <c r="D100">
        <f t="shared" si="5"/>
        <v>83.080540149505666</v>
      </c>
      <c r="E100">
        <f t="shared" si="6"/>
        <v>83.080540149505666</v>
      </c>
      <c r="G100">
        <f t="shared" ca="1" si="7"/>
        <v>98</v>
      </c>
      <c r="H100">
        <f t="shared" ca="1" si="8"/>
        <v>8141.8929346515552</v>
      </c>
      <c r="I100">
        <f t="shared" ca="1" si="9"/>
        <v>3008.8822966855505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72412</v>
      </c>
      <c r="B103" s="66">
        <v>72412</v>
      </c>
      <c r="D103">
        <f t="shared" si="5"/>
        <v>87.30648661683145</v>
      </c>
      <c r="E103">
        <f t="shared" si="6"/>
        <v>87.30648661683145</v>
      </c>
      <c r="G103">
        <f t="shared" ca="1" si="7"/>
        <v>101</v>
      </c>
      <c r="H103">
        <f t="shared" ca="1" si="8"/>
        <v>8817.9551482999759</v>
      </c>
      <c r="I103">
        <f t="shared" ca="1" si="9"/>
        <v>795.2213202135955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72220</v>
      </c>
      <c r="B106" s="66">
        <v>72220</v>
      </c>
      <c r="D106">
        <f t="shared" si="5"/>
        <v>87.074993971545695</v>
      </c>
      <c r="E106">
        <f t="shared" si="6"/>
        <v>87.074993971545695</v>
      </c>
      <c r="G106">
        <f t="shared" ca="1" si="7"/>
        <v>104</v>
      </c>
      <c r="H106">
        <f t="shared" ca="1" si="8"/>
        <v>9055.7993730407525</v>
      </c>
      <c r="I106">
        <f t="shared" ca="1" si="9"/>
        <v>2.824533797057735E-2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70798</v>
      </c>
      <c r="B108" s="66">
        <v>70798</v>
      </c>
      <c r="D108">
        <f t="shared" si="5"/>
        <v>85.360501567398117</v>
      </c>
      <c r="E108">
        <f t="shared" si="6"/>
        <v>85.360501567398117</v>
      </c>
      <c r="G108">
        <f t="shared" ca="1" si="7"/>
        <v>106</v>
      </c>
      <c r="H108">
        <f t="shared" ca="1" si="8"/>
        <v>9048.2131661441999</v>
      </c>
      <c r="I108">
        <f t="shared" ca="1" si="9"/>
        <v>335.32014158243169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73411</v>
      </c>
      <c r="B111" s="66">
        <v>73411</v>
      </c>
      <c r="D111">
        <f t="shared" si="5"/>
        <v>88.510971786833849</v>
      </c>
      <c r="E111">
        <f t="shared" si="6"/>
        <v>88.510971786833849</v>
      </c>
      <c r="G111">
        <f t="shared" ca="1" si="7"/>
        <v>109</v>
      </c>
      <c r="H111">
        <f t="shared" ca="1" si="8"/>
        <v>9647.6959247648902</v>
      </c>
      <c r="I111">
        <f t="shared" ca="1" si="9"/>
        <v>2196.8617045091091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80341</v>
      </c>
      <c r="B113" s="66">
        <v>80341</v>
      </c>
      <c r="D113">
        <f t="shared" si="5"/>
        <v>96.866409452616352</v>
      </c>
      <c r="E113">
        <f t="shared" si="6"/>
        <v>96.866409452616352</v>
      </c>
      <c r="G113">
        <f t="shared" ca="1" si="7"/>
        <v>111</v>
      </c>
      <c r="H113">
        <f t="shared" ca="1" si="8"/>
        <v>10752.171449240415</v>
      </c>
      <c r="I113">
        <f t="shared" ca="1" si="9"/>
        <v>4722.0608599617062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82940</v>
      </c>
      <c r="B116" s="66">
        <v>82940</v>
      </c>
      <c r="D116">
        <f t="shared" si="5"/>
        <v>100</v>
      </c>
      <c r="E116">
        <f t="shared" si="6"/>
        <v>100</v>
      </c>
      <c r="G116">
        <f t="shared" ca="1" si="7"/>
        <v>114</v>
      </c>
      <c r="H116">
        <f t="shared" ca="1" si="8"/>
        <v>11400</v>
      </c>
      <c r="I116">
        <f t="shared" ca="1" si="9"/>
        <v>9964.0113639924293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77925</v>
      </c>
      <c r="B118" s="66">
        <v>77925</v>
      </c>
      <c r="D118">
        <f t="shared" si="5"/>
        <v>93.953460332770675</v>
      </c>
      <c r="E118">
        <f t="shared" si="6"/>
        <v>93.953460332770675</v>
      </c>
      <c r="G118">
        <f t="shared" ca="1" si="7"/>
        <v>116</v>
      </c>
      <c r="H118">
        <f t="shared" ca="1" si="8"/>
        <v>10898.601398601399</v>
      </c>
      <c r="I118">
        <f t="shared" ca="1" si="9"/>
        <v>13488.717109977953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80176</v>
      </c>
      <c r="B121" s="66">
        <v>80176</v>
      </c>
      <c r="D121">
        <f t="shared" si="5"/>
        <v>96.667470460573909</v>
      </c>
      <c r="E121">
        <f t="shared" si="6"/>
        <v>96.667470460573909</v>
      </c>
      <c r="G121">
        <f t="shared" ca="1" si="7"/>
        <v>119</v>
      </c>
      <c r="H121">
        <f t="shared" ca="1" si="8"/>
        <v>11503.428984808295</v>
      </c>
      <c r="I121">
        <f t="shared" ca="1" si="9"/>
        <v>21697.981219036385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76490</v>
      </c>
      <c r="B124" s="66">
        <v>76490</v>
      </c>
      <c r="D124">
        <f t="shared" si="5"/>
        <v>92.223293947431884</v>
      </c>
      <c r="E124">
        <f t="shared" si="6"/>
        <v>92.223293947431884</v>
      </c>
      <c r="G124">
        <f t="shared" ca="1" si="7"/>
        <v>122</v>
      </c>
      <c r="H124">
        <f t="shared" ca="1" si="8"/>
        <v>11251.24186158669</v>
      </c>
      <c r="I124">
        <f t="shared" ca="1" si="9"/>
        <v>29820.581476664131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74379</v>
      </c>
      <c r="B126" s="66">
        <v>74379</v>
      </c>
      <c r="D126">
        <f t="shared" si="5"/>
        <v>89.678080540149509</v>
      </c>
      <c r="E126">
        <f t="shared" si="6"/>
        <v>89.678080540149509</v>
      </c>
      <c r="G126">
        <f t="shared" ca="1" si="7"/>
        <v>124</v>
      </c>
      <c r="H126">
        <f t="shared" ca="1" si="8"/>
        <v>11120.081986978539</v>
      </c>
      <c r="I126">
        <f t="shared" ca="1" si="9"/>
        <v>35806.655290365721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74777</v>
      </c>
      <c r="B129" s="66">
        <v>74777</v>
      </c>
      <c r="D129">
        <f t="shared" si="5"/>
        <v>90.157945502773089</v>
      </c>
      <c r="E129">
        <f t="shared" si="6"/>
        <v>90.157945502773089</v>
      </c>
      <c r="G129">
        <f t="shared" ca="1" si="7"/>
        <v>127</v>
      </c>
      <c r="H129">
        <f t="shared" ca="1" si="8"/>
        <v>11450.059078852182</v>
      </c>
      <c r="I129">
        <f t="shared" ca="1" si="9"/>
        <v>47618.887937838204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72995</v>
      </c>
      <c r="B131" s="66">
        <v>72995</v>
      </c>
      <c r="D131">
        <f t="shared" ref="D131:D194" si="10">IFERROR(100*A131/MAX(A$2:A$257), 0 )</f>
        <v>88.009404388714728</v>
      </c>
      <c r="E131">
        <f t="shared" ref="E131:E194" si="11">IFERROR(100*B131/MAX(B$2:B$257), 0 )</f>
        <v>88.009404388714728</v>
      </c>
      <c r="G131">
        <f t="shared" ref="G131:G194" ca="1" si="12">CELL("row",D131)-2</f>
        <v>129</v>
      </c>
      <c r="H131">
        <f t="shared" ref="H131:H194" ca="1" si="13">D131*G131</f>
        <v>11353.2131661442</v>
      </c>
      <c r="I131">
        <f t="shared" ref="I131:I194" ca="1" si="14">D131*((G131-$L$1)^2)</f>
        <v>54926.65145978974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74137</v>
      </c>
      <c r="B134" s="66">
        <v>74137</v>
      </c>
      <c r="D134">
        <f t="shared" si="10"/>
        <v>89.386303351820587</v>
      </c>
      <c r="E134">
        <f t="shared" si="11"/>
        <v>89.386303351820587</v>
      </c>
      <c r="G134">
        <f t="shared" ca="1" si="12"/>
        <v>132</v>
      </c>
      <c r="H134">
        <f t="shared" ca="1" si="13"/>
        <v>11798.992042440317</v>
      </c>
      <c r="I134">
        <f t="shared" ca="1" si="14"/>
        <v>69988.736684893796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76728</v>
      </c>
      <c r="B136" s="66">
        <v>76728</v>
      </c>
      <c r="D136">
        <f t="shared" si="10"/>
        <v>92.510248372317335</v>
      </c>
      <c r="E136">
        <f t="shared" si="11"/>
        <v>92.510248372317335</v>
      </c>
      <c r="G136">
        <f t="shared" ca="1" si="12"/>
        <v>134</v>
      </c>
      <c r="H136">
        <f t="shared" ca="1" si="13"/>
        <v>12396.373281890523</v>
      </c>
      <c r="I136">
        <f t="shared" ca="1" si="14"/>
        <v>83159.283988570838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76786</v>
      </c>
      <c r="B139" s="66">
        <v>76786</v>
      </c>
      <c r="D139">
        <f t="shared" si="10"/>
        <v>92.580178442247401</v>
      </c>
      <c r="E139">
        <f t="shared" si="11"/>
        <v>92.580178442247401</v>
      </c>
      <c r="G139">
        <f t="shared" ca="1" si="12"/>
        <v>137</v>
      </c>
      <c r="H139">
        <f t="shared" ca="1" si="13"/>
        <v>12683.484446587894</v>
      </c>
      <c r="I139">
        <f t="shared" ca="1" si="14"/>
        <v>100709.79471872751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67703</v>
      </c>
      <c r="B142" s="66">
        <v>67703</v>
      </c>
      <c r="D142">
        <f t="shared" si="10"/>
        <v>81.628888353026284</v>
      </c>
      <c r="E142">
        <f t="shared" si="11"/>
        <v>81.628888353026284</v>
      </c>
      <c r="G142">
        <f t="shared" ca="1" si="12"/>
        <v>140</v>
      </c>
      <c r="H142">
        <f t="shared" ca="1" si="13"/>
        <v>11428.04436942368</v>
      </c>
      <c r="I142">
        <f t="shared" ca="1" si="14"/>
        <v>105685.21281619254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72312</v>
      </c>
      <c r="B144" s="66">
        <v>72312</v>
      </c>
      <c r="D144">
        <f t="shared" si="10"/>
        <v>87.185917530745115</v>
      </c>
      <c r="E144">
        <f t="shared" si="11"/>
        <v>87.185917530745115</v>
      </c>
      <c r="G144">
        <f t="shared" ca="1" si="12"/>
        <v>142</v>
      </c>
      <c r="H144">
        <f t="shared" ca="1" si="13"/>
        <v>12380.400289365807</v>
      </c>
      <c r="I144">
        <f t="shared" ca="1" si="14"/>
        <v>125777.15304116393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66375</v>
      </c>
      <c r="B147" s="66">
        <v>66375</v>
      </c>
      <c r="D147">
        <f t="shared" si="10"/>
        <v>80.027730889799855</v>
      </c>
      <c r="E147">
        <f t="shared" si="11"/>
        <v>80.027730889799855</v>
      </c>
      <c r="G147">
        <f t="shared" ca="1" si="12"/>
        <v>145</v>
      </c>
      <c r="H147">
        <f t="shared" ca="1" si="13"/>
        <v>11604.020979020979</v>
      </c>
      <c r="I147">
        <f t="shared" ca="1" si="14"/>
        <v>134408.45150778868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67777</v>
      </c>
      <c r="B149" s="66">
        <v>67777</v>
      </c>
      <c r="D149">
        <f t="shared" si="10"/>
        <v>81.718109476730163</v>
      </c>
      <c r="E149">
        <f t="shared" si="11"/>
        <v>81.718109476730163</v>
      </c>
      <c r="G149">
        <f t="shared" ca="1" si="12"/>
        <v>147</v>
      </c>
      <c r="H149">
        <f t="shared" ca="1" si="13"/>
        <v>12012.562093079334</v>
      </c>
      <c r="I149">
        <f t="shared" ca="1" si="14"/>
        <v>150970.23724536839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57579</v>
      </c>
      <c r="B152" s="66">
        <v>57579</v>
      </c>
      <c r="D152">
        <f t="shared" si="10"/>
        <v>69.422474077646498</v>
      </c>
      <c r="E152">
        <f t="shared" si="11"/>
        <v>69.422474077646498</v>
      </c>
      <c r="G152">
        <f t="shared" ca="1" si="12"/>
        <v>150</v>
      </c>
      <c r="H152">
        <f t="shared" ca="1" si="13"/>
        <v>10413.371111646975</v>
      </c>
      <c r="I152">
        <f t="shared" ca="1" si="14"/>
        <v>146782.94675218072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50005</v>
      </c>
      <c r="B154" s="66">
        <v>50005</v>
      </c>
      <c r="D154">
        <f t="shared" si="10"/>
        <v>60.290571497468051</v>
      </c>
      <c r="E154">
        <f t="shared" si="11"/>
        <v>60.290571497468051</v>
      </c>
      <c r="G154">
        <f t="shared" ca="1" si="12"/>
        <v>152</v>
      </c>
      <c r="H154">
        <f t="shared" ca="1" si="13"/>
        <v>9164.1668676151439</v>
      </c>
      <c r="I154">
        <f t="shared" ca="1" si="14"/>
        <v>138805.25319273205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45418</v>
      </c>
      <c r="B157" s="66">
        <v>45418</v>
      </c>
      <c r="D157">
        <f t="shared" si="10"/>
        <v>54.76006751868821</v>
      </c>
      <c r="E157">
        <f t="shared" si="11"/>
        <v>54.76006751868821</v>
      </c>
      <c r="G157">
        <f t="shared" ca="1" si="12"/>
        <v>155</v>
      </c>
      <c r="H157">
        <f t="shared" ca="1" si="13"/>
        <v>8487.810465396673</v>
      </c>
      <c r="I157">
        <f t="shared" ca="1" si="14"/>
        <v>142330.35504062171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40939</v>
      </c>
      <c r="B160" s="66">
        <v>40939</v>
      </c>
      <c r="D160">
        <f t="shared" si="10"/>
        <v>49.359778152881603</v>
      </c>
      <c r="E160">
        <f t="shared" si="11"/>
        <v>49.359778152881603</v>
      </c>
      <c r="G160">
        <f t="shared" ca="1" si="12"/>
        <v>158</v>
      </c>
      <c r="H160">
        <f t="shared" ca="1" si="13"/>
        <v>7798.8449481552934</v>
      </c>
      <c r="I160">
        <f t="shared" ca="1" si="14"/>
        <v>143837.11752526925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30991</v>
      </c>
      <c r="B162" s="66">
        <v>30991</v>
      </c>
      <c r="D162">
        <f t="shared" si="10"/>
        <v>37.365565469013745</v>
      </c>
      <c r="E162">
        <f t="shared" si="11"/>
        <v>37.365565469013745</v>
      </c>
      <c r="G162">
        <f t="shared" ca="1" si="12"/>
        <v>160</v>
      </c>
      <c r="H162">
        <f t="shared" ca="1" si="13"/>
        <v>5978.4904750421993</v>
      </c>
      <c r="I162">
        <f t="shared" ca="1" si="14"/>
        <v>117103.05235481584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26576</v>
      </c>
      <c r="B165" s="66">
        <v>26576</v>
      </c>
      <c r="D165">
        <f t="shared" si="10"/>
        <v>32.04244031830239</v>
      </c>
      <c r="E165">
        <f t="shared" si="11"/>
        <v>32.04244031830239</v>
      </c>
      <c r="G165">
        <f t="shared" ca="1" si="12"/>
        <v>163</v>
      </c>
      <c r="H165">
        <f t="shared" ca="1" si="13"/>
        <v>5222.9177718832898</v>
      </c>
      <c r="I165">
        <f t="shared" ca="1" si="14"/>
        <v>111471.64715829377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23816</v>
      </c>
      <c r="B167" s="66">
        <v>23816</v>
      </c>
      <c r="D167">
        <f t="shared" si="10"/>
        <v>28.714733542319749</v>
      </c>
      <c r="E167">
        <f t="shared" si="11"/>
        <v>28.714733542319749</v>
      </c>
      <c r="G167">
        <f t="shared" ca="1" si="12"/>
        <v>165</v>
      </c>
      <c r="H167">
        <f t="shared" ca="1" si="13"/>
        <v>4737.9310344827582</v>
      </c>
      <c r="I167">
        <f t="shared" ca="1" si="14"/>
        <v>106784.43835747457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21697</v>
      </c>
      <c r="B170" s="66">
        <v>21697</v>
      </c>
      <c r="D170">
        <f t="shared" si="10"/>
        <v>26.159874608150471</v>
      </c>
      <c r="E170">
        <f t="shared" si="11"/>
        <v>26.159874608150471</v>
      </c>
      <c r="G170">
        <f t="shared" ca="1" si="12"/>
        <v>168</v>
      </c>
      <c r="H170">
        <f t="shared" ca="1" si="13"/>
        <v>4394.8589341692787</v>
      </c>
      <c r="I170">
        <f t="shared" ca="1" si="14"/>
        <v>107090.54724692876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18172</v>
      </c>
      <c r="B173" s="66">
        <v>18172</v>
      </c>
      <c r="D173">
        <f t="shared" si="10"/>
        <v>21.909814323607428</v>
      </c>
      <c r="E173">
        <f t="shared" si="11"/>
        <v>21.909814323607428</v>
      </c>
      <c r="G173">
        <f t="shared" ca="1" si="12"/>
        <v>171</v>
      </c>
      <c r="H173">
        <f t="shared" ca="1" si="13"/>
        <v>3746.5782493368702</v>
      </c>
      <c r="I173">
        <f t="shared" ca="1" si="14"/>
        <v>98300.286197951718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11418</v>
      </c>
      <c r="B175" s="66">
        <v>11418</v>
      </c>
      <c r="D175">
        <f t="shared" si="10"/>
        <v>13.76657824933687</v>
      </c>
      <c r="E175">
        <f t="shared" si="11"/>
        <v>13.76657824933687</v>
      </c>
      <c r="G175">
        <f t="shared" ca="1" si="12"/>
        <v>173</v>
      </c>
      <c r="H175">
        <f t="shared" ca="1" si="13"/>
        <v>2381.6180371352784</v>
      </c>
      <c r="I175">
        <f t="shared" ca="1" si="14"/>
        <v>65508.467312298228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9207</v>
      </c>
      <c r="B178" s="66">
        <v>9207</v>
      </c>
      <c r="D178">
        <f t="shared" si="10"/>
        <v>11.10079575596817</v>
      </c>
      <c r="E178">
        <f t="shared" si="11"/>
        <v>11.10079575596817</v>
      </c>
      <c r="G178">
        <f t="shared" ca="1" si="12"/>
        <v>176</v>
      </c>
      <c r="H178">
        <f t="shared" ca="1" si="13"/>
        <v>1953.7400530503978</v>
      </c>
      <c r="I178">
        <f t="shared" ca="1" si="14"/>
        <v>57517.738693699772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7342</v>
      </c>
      <c r="B180" s="66">
        <v>7342</v>
      </c>
      <c r="D180">
        <f t="shared" si="10"/>
        <v>8.8521823004581623</v>
      </c>
      <c r="E180">
        <f t="shared" si="11"/>
        <v>8.8521823004581623</v>
      </c>
      <c r="G180">
        <f t="shared" ca="1" si="12"/>
        <v>178</v>
      </c>
      <c r="H180">
        <f t="shared" ca="1" si="13"/>
        <v>1575.6884494815529</v>
      </c>
      <c r="I180">
        <f t="shared" ca="1" si="14"/>
        <v>48450.957130392169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5076</v>
      </c>
      <c r="B183" s="66">
        <v>5076</v>
      </c>
      <c r="D183">
        <f t="shared" si="10"/>
        <v>6.1200868097419825</v>
      </c>
      <c r="E183">
        <f t="shared" si="11"/>
        <v>6.1200868097419825</v>
      </c>
      <c r="G183">
        <f t="shared" ca="1" si="12"/>
        <v>181</v>
      </c>
      <c r="H183">
        <f t="shared" ca="1" si="13"/>
        <v>1107.7357125632989</v>
      </c>
      <c r="I183">
        <f t="shared" ca="1" si="14"/>
        <v>36269.021868524047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4359</v>
      </c>
      <c r="B185" s="66">
        <v>4359</v>
      </c>
      <c r="D185">
        <f t="shared" si="10"/>
        <v>5.2556064625030139</v>
      </c>
      <c r="E185">
        <f t="shared" si="11"/>
        <v>5.2556064625030139</v>
      </c>
      <c r="G185">
        <f t="shared" ca="1" si="12"/>
        <v>183</v>
      </c>
      <c r="H185">
        <f t="shared" ca="1" si="13"/>
        <v>961.77598263805157</v>
      </c>
      <c r="I185">
        <f t="shared" ca="1" si="14"/>
        <v>32785.285942757262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3463</v>
      </c>
      <c r="B188" s="66">
        <v>3463</v>
      </c>
      <c r="D188">
        <f t="shared" si="10"/>
        <v>4.1753074511695205</v>
      </c>
      <c r="E188">
        <f t="shared" si="11"/>
        <v>4.1753074511695205</v>
      </c>
      <c r="G188">
        <f t="shared" ca="1" si="12"/>
        <v>186</v>
      </c>
      <c r="H188">
        <f t="shared" ca="1" si="13"/>
        <v>776.60718591753084</v>
      </c>
      <c r="I188">
        <f t="shared" ca="1" si="14"/>
        <v>28062.435933253215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1267</v>
      </c>
      <c r="B191" s="66">
        <v>1267</v>
      </c>
      <c r="D191">
        <f t="shared" si="10"/>
        <v>1.527610320713769</v>
      </c>
      <c r="E191">
        <f t="shared" si="11"/>
        <v>1.527610320713769</v>
      </c>
      <c r="G191">
        <f t="shared" ca="1" si="12"/>
        <v>189</v>
      </c>
      <c r="H191">
        <f t="shared" ca="1" si="13"/>
        <v>288.71835061490236</v>
      </c>
      <c r="I191">
        <f t="shared" ca="1" si="14"/>
        <v>11032.307838714149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384</v>
      </c>
      <c r="B193" s="66">
        <v>384</v>
      </c>
      <c r="D193">
        <f t="shared" si="10"/>
        <v>0.46298529057149745</v>
      </c>
      <c r="E193">
        <f t="shared" si="11"/>
        <v>0.46298529057149745</v>
      </c>
      <c r="G193">
        <f t="shared" ca="1" si="12"/>
        <v>191</v>
      </c>
      <c r="H193">
        <f t="shared" ca="1" si="13"/>
        <v>88.430190499156012</v>
      </c>
      <c r="I193">
        <f t="shared" ca="1" si="14"/>
        <v>3502.8848957356213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407</v>
      </c>
      <c r="B1" s="68" t="s">
        <v>408</v>
      </c>
      <c r="C1" s="32" t="s">
        <v>409</v>
      </c>
      <c r="D1" s="32" t="s">
        <v>410</v>
      </c>
      <c r="E1" s="32" t="s">
        <v>411</v>
      </c>
    </row>
    <row r="2" spans="1:5">
      <c r="A2" s="68">
        <v>0.20922499999999999</v>
      </c>
      <c r="B2" s="68">
        <v>0.50450799999999996</v>
      </c>
      <c r="C2" s="68">
        <v>0</v>
      </c>
      <c r="D2" s="68">
        <v>1</v>
      </c>
      <c r="E2" s="68" t="s">
        <v>412</v>
      </c>
    </row>
    <row r="3" spans="1:5">
      <c r="A3" s="68">
        <v>0.217615</v>
      </c>
      <c r="B3" s="68">
        <v>0.488508</v>
      </c>
      <c r="C3" s="68">
        <v>0.38324900000000001</v>
      </c>
      <c r="D3" s="89">
        <v>1</v>
      </c>
      <c r="E3" s="68" t="s">
        <v>413</v>
      </c>
    </row>
    <row r="4" spans="1:5">
      <c r="A4" s="68">
        <v>0.22597300000000001</v>
      </c>
      <c r="B4" s="68">
        <v>0.47206500000000001</v>
      </c>
      <c r="C4" s="68">
        <v>0.787999</v>
      </c>
      <c r="D4" s="89">
        <v>1</v>
      </c>
      <c r="E4" s="68" t="s">
        <v>414</v>
      </c>
    </row>
    <row r="5" spans="1:5">
      <c r="A5" s="89">
        <v>0.23418900000000001</v>
      </c>
      <c r="B5" s="89">
        <v>0.45677200000000001</v>
      </c>
      <c r="C5" s="89">
        <v>1.19784</v>
      </c>
      <c r="D5" s="89">
        <v>1</v>
      </c>
      <c r="E5" s="68" t="s">
        <v>415</v>
      </c>
    </row>
    <row r="6" spans="1:5">
      <c r="A6" s="68">
        <v>0.24219099999999999</v>
      </c>
      <c r="B6" s="68">
        <v>0.44195800000000002</v>
      </c>
      <c r="C6" s="68">
        <v>1.6207400000000001</v>
      </c>
      <c r="D6" s="68">
        <v>1</v>
      </c>
      <c r="E6" s="68" t="s">
        <v>416</v>
      </c>
    </row>
    <row r="7" spans="1:5">
      <c r="A7" s="68">
        <v>0.25070399999999998</v>
      </c>
      <c r="B7" s="68">
        <v>0.42465000000000003</v>
      </c>
      <c r="C7" s="68">
        <v>2.0032100000000002</v>
      </c>
      <c r="D7" s="68">
        <v>1</v>
      </c>
      <c r="E7" s="68" t="s">
        <v>417</v>
      </c>
    </row>
    <row r="8" spans="1:5">
      <c r="A8" s="68">
        <v>0.25958999999999999</v>
      </c>
      <c r="B8" s="68">
        <v>0.40698200000000001</v>
      </c>
      <c r="C8" s="68">
        <v>2.41561</v>
      </c>
      <c r="D8" s="68">
        <v>1</v>
      </c>
      <c r="E8" s="68" t="s">
        <v>418</v>
      </c>
    </row>
    <row r="9" spans="1:5">
      <c r="A9" s="68">
        <v>0.26812200000000003</v>
      </c>
      <c r="B9" s="68">
        <v>0.39152700000000001</v>
      </c>
      <c r="C9" s="68">
        <v>2.8244600000000002</v>
      </c>
      <c r="D9" s="68">
        <v>1</v>
      </c>
      <c r="E9" s="68" t="s">
        <v>419</v>
      </c>
    </row>
    <row r="10" spans="1:5">
      <c r="A10" s="68">
        <v>0.27672999999999998</v>
      </c>
      <c r="B10" s="68">
        <v>0.37660199999999999</v>
      </c>
      <c r="C10" s="68">
        <v>3.2214200000000002</v>
      </c>
      <c r="D10" s="68">
        <v>1</v>
      </c>
      <c r="E10" s="68" t="s">
        <v>420</v>
      </c>
    </row>
    <row r="11" spans="1:5">
      <c r="A11" s="68">
        <v>0.28568500000000002</v>
      </c>
      <c r="B11" s="68">
        <v>0.36095699999999997</v>
      </c>
      <c r="C11" s="68">
        <v>3.6326900000000002</v>
      </c>
      <c r="D11" s="68">
        <v>1</v>
      </c>
      <c r="E11" s="68" t="s">
        <v>421</v>
      </c>
    </row>
    <row r="12" spans="1:5">
      <c r="A12" s="68">
        <v>0.29491699999999998</v>
      </c>
      <c r="B12" s="68">
        <v>0.344557</v>
      </c>
      <c r="C12" s="68">
        <v>4.0392799999999998</v>
      </c>
      <c r="D12" s="68">
        <v>1</v>
      </c>
      <c r="E12" s="68" t="s">
        <v>422</v>
      </c>
    </row>
    <row r="13" spans="1:5">
      <c r="A13" s="68">
        <v>0.30385600000000001</v>
      </c>
      <c r="B13" s="68">
        <v>0.33020300000000002</v>
      </c>
      <c r="C13" s="68">
        <v>4.4421299999999997</v>
      </c>
      <c r="D13" s="68">
        <v>1</v>
      </c>
      <c r="E13" s="68" t="s">
        <v>423</v>
      </c>
    </row>
    <row r="14" spans="1:5">
      <c r="A14" s="68">
        <v>0.31237100000000001</v>
      </c>
      <c r="B14" s="68">
        <v>0.31767299999999998</v>
      </c>
      <c r="C14" s="68">
        <v>4.8510600000000004</v>
      </c>
      <c r="D14" s="68">
        <v>1</v>
      </c>
      <c r="E14" s="68" t="s">
        <v>424</v>
      </c>
    </row>
    <row r="15" spans="1:5">
      <c r="A15" s="68">
        <v>0.32063599999999998</v>
      </c>
      <c r="B15" s="68">
        <v>0.30571199999999998</v>
      </c>
      <c r="C15" s="68">
        <v>5.2569999999999997</v>
      </c>
      <c r="D15" s="68">
        <v>1</v>
      </c>
      <c r="E15" s="68" t="s">
        <v>425</v>
      </c>
    </row>
    <row r="16" spans="1:5">
      <c r="A16" s="68">
        <v>0.329156</v>
      </c>
      <c r="B16" s="68">
        <v>0.29201100000000002</v>
      </c>
      <c r="C16" s="68">
        <v>5.6646999999999998</v>
      </c>
      <c r="D16" s="68">
        <v>1</v>
      </c>
      <c r="E16" s="68" t="s">
        <v>426</v>
      </c>
    </row>
    <row r="17" spans="1:5">
      <c r="A17" s="68">
        <v>0.33766400000000002</v>
      </c>
      <c r="B17" s="68">
        <v>0.27751500000000001</v>
      </c>
      <c r="C17" s="68">
        <v>6.0717800000000004</v>
      </c>
      <c r="D17" s="68">
        <v>1</v>
      </c>
      <c r="E17" s="68" t="s">
        <v>427</v>
      </c>
    </row>
    <row r="18" spans="1:5">
      <c r="A18" s="68">
        <v>0.34588799999999997</v>
      </c>
      <c r="B18" s="68">
        <v>0.26356600000000002</v>
      </c>
      <c r="C18" s="68">
        <v>6.47682</v>
      </c>
      <c r="D18" s="68">
        <v>1</v>
      </c>
      <c r="E18" s="68" t="s">
        <v>428</v>
      </c>
    </row>
    <row r="19" spans="1:5">
      <c r="A19" s="68">
        <v>0.35395700000000002</v>
      </c>
      <c r="B19" s="68">
        <v>0.25019799999999998</v>
      </c>
      <c r="C19" s="68">
        <v>6.88462</v>
      </c>
      <c r="D19" s="68">
        <v>1</v>
      </c>
      <c r="E19" s="68" t="s">
        <v>429</v>
      </c>
    </row>
    <row r="20" spans="1:5">
      <c r="A20" s="68">
        <v>0.36155799999999999</v>
      </c>
      <c r="B20" s="68">
        <v>0.23830000000000001</v>
      </c>
      <c r="C20" s="68">
        <v>7.2875500000000004</v>
      </c>
      <c r="D20" s="68">
        <v>1</v>
      </c>
      <c r="E20" s="68" t="s">
        <v>430</v>
      </c>
    </row>
    <row r="21" spans="1:5">
      <c r="A21" s="68">
        <v>0.368371</v>
      </c>
      <c r="B21" s="68">
        <v>0.22947699999999999</v>
      </c>
      <c r="C21" s="68">
        <v>7.6939000000000002</v>
      </c>
      <c r="D21" s="68">
        <v>1</v>
      </c>
      <c r="E21" s="68" t="s">
        <v>431</v>
      </c>
    </row>
    <row r="22" spans="1:5">
      <c r="A22" s="68">
        <v>0.37474800000000003</v>
      </c>
      <c r="B22" s="68">
        <v>0.223052</v>
      </c>
      <c r="C22" s="68">
        <v>8.1024100000000008</v>
      </c>
      <c r="D22" s="68">
        <v>1</v>
      </c>
      <c r="E22" s="68" t="s">
        <v>432</v>
      </c>
    </row>
    <row r="23" spans="1:5">
      <c r="A23" s="68">
        <v>0.38051200000000002</v>
      </c>
      <c r="B23" s="68">
        <v>0.21810099999999999</v>
      </c>
      <c r="C23" s="68">
        <v>8.5082799999999992</v>
      </c>
      <c r="D23" s="68">
        <v>1</v>
      </c>
      <c r="E23" s="68" t="s">
        <v>433</v>
      </c>
    </row>
    <row r="24" spans="1:5">
      <c r="A24" s="68">
        <v>0.38549899999999998</v>
      </c>
      <c r="B24" s="68">
        <v>0.21428900000000001</v>
      </c>
      <c r="C24" s="68">
        <v>8.9118700000000004</v>
      </c>
      <c r="D24" s="68">
        <v>1</v>
      </c>
      <c r="E24" s="68" t="s">
        <v>434</v>
      </c>
    </row>
    <row r="25" spans="1:5">
      <c r="A25" s="68">
        <v>0.38994899999999999</v>
      </c>
      <c r="B25" s="68">
        <v>0.21102899999999999</v>
      </c>
      <c r="C25" s="68">
        <v>9.3192000000000004</v>
      </c>
      <c r="D25" s="68">
        <v>1</v>
      </c>
      <c r="E25" s="68" t="s">
        <v>435</v>
      </c>
    </row>
    <row r="26" spans="1:5">
      <c r="A26" s="68">
        <v>0.39393099999999998</v>
      </c>
      <c r="B26" s="68">
        <v>0.20808099999999999</v>
      </c>
      <c r="C26" s="68">
        <v>9.7241</v>
      </c>
      <c r="D26" s="68">
        <v>1</v>
      </c>
      <c r="E26" s="68" t="s">
        <v>436</v>
      </c>
    </row>
    <row r="27" spans="1:5">
      <c r="A27" s="68">
        <v>0.39738499999999999</v>
      </c>
      <c r="B27" s="68">
        <v>0.20503199999999999</v>
      </c>
      <c r="C27" s="68">
        <v>10.129</v>
      </c>
      <c r="D27" s="68">
        <v>1</v>
      </c>
      <c r="E27" s="68" t="s">
        <v>437</v>
      </c>
    </row>
    <row r="28" spans="1:5">
      <c r="A28" s="68">
        <v>0.400283</v>
      </c>
      <c r="B28" s="68">
        <v>0.202518</v>
      </c>
      <c r="C28" s="68">
        <v>10.535500000000001</v>
      </c>
      <c r="D28" s="68">
        <v>1</v>
      </c>
      <c r="E28" s="68" t="s">
        <v>438</v>
      </c>
    </row>
    <row r="29" spans="1:5">
      <c r="A29" s="68">
        <v>0.40265299999999998</v>
      </c>
      <c r="B29" s="68">
        <v>0.200378</v>
      </c>
      <c r="C29" s="68">
        <v>10.9404</v>
      </c>
      <c r="D29" s="68">
        <v>1</v>
      </c>
      <c r="E29" s="68" t="s">
        <v>439</v>
      </c>
    </row>
    <row r="30" spans="1:5">
      <c r="A30" s="68">
        <v>0.40485700000000002</v>
      </c>
      <c r="B30" s="68">
        <v>0.198269</v>
      </c>
      <c r="C30" s="68">
        <v>11.3528</v>
      </c>
      <c r="D30" s="68">
        <v>1</v>
      </c>
      <c r="E30" s="68" t="s">
        <v>440</v>
      </c>
    </row>
    <row r="31" spans="1:5">
      <c r="A31" s="68">
        <v>0.40666000000000002</v>
      </c>
      <c r="B31" s="68">
        <v>0.19679099999999999</v>
      </c>
      <c r="C31" s="68">
        <v>11.759600000000001</v>
      </c>
      <c r="D31" s="68">
        <v>1</v>
      </c>
      <c r="E31" s="68" t="s">
        <v>441</v>
      </c>
    </row>
    <row r="32" spans="1:5">
      <c r="A32" s="68">
        <v>0.40808</v>
      </c>
      <c r="B32" s="68">
        <v>0.19433800000000001</v>
      </c>
      <c r="C32" s="68">
        <v>12.166600000000001</v>
      </c>
      <c r="D32" s="68">
        <v>1</v>
      </c>
      <c r="E32" s="68" t="s">
        <v>442</v>
      </c>
    </row>
    <row r="33" spans="1:5">
      <c r="A33" s="68">
        <v>0.409219</v>
      </c>
      <c r="B33" s="68">
        <v>0.19078600000000001</v>
      </c>
      <c r="C33" s="68">
        <v>12.5684</v>
      </c>
      <c r="D33" s="68">
        <v>1</v>
      </c>
      <c r="E33" s="68" t="s">
        <v>443</v>
      </c>
    </row>
    <row r="34" spans="1:5">
      <c r="A34" s="68">
        <v>0.41027400000000003</v>
      </c>
      <c r="B34" s="68">
        <v>0.187831</v>
      </c>
      <c r="C34" s="68">
        <v>12.974399999999999</v>
      </c>
      <c r="D34" s="68">
        <v>1</v>
      </c>
      <c r="E34" s="68" t="s">
        <v>444</v>
      </c>
    </row>
    <row r="35" spans="1:5">
      <c r="A35" s="68">
        <v>0.41095500000000001</v>
      </c>
      <c r="B35" s="68">
        <v>0.185334</v>
      </c>
      <c r="C35" s="68">
        <v>13.3833</v>
      </c>
      <c r="D35" s="68">
        <v>1</v>
      </c>
      <c r="E35" s="68" t="s">
        <v>445</v>
      </c>
    </row>
    <row r="36" spans="1:5">
      <c r="A36" s="68">
        <v>0.41112500000000002</v>
      </c>
      <c r="B36" s="68">
        <v>0.18334600000000001</v>
      </c>
      <c r="C36" s="68">
        <v>13.7883</v>
      </c>
      <c r="D36" s="68">
        <v>1</v>
      </c>
      <c r="E36" s="68" t="s">
        <v>446</v>
      </c>
    </row>
    <row r="37" spans="1:5">
      <c r="A37" s="68">
        <v>0.41070000000000001</v>
      </c>
      <c r="B37" s="68">
        <v>0.182175</v>
      </c>
      <c r="C37" s="68">
        <v>14.2119</v>
      </c>
      <c r="D37" s="68">
        <v>1</v>
      </c>
      <c r="E37" s="68" t="s">
        <v>447</v>
      </c>
    </row>
    <row r="38" spans="1:5">
      <c r="A38" s="68">
        <v>0.41026200000000002</v>
      </c>
      <c r="B38" s="68">
        <v>0.181038</v>
      </c>
      <c r="C38" s="68">
        <v>14.605700000000001</v>
      </c>
      <c r="D38" s="68">
        <v>1</v>
      </c>
      <c r="E38" s="68" t="s">
        <v>448</v>
      </c>
    </row>
    <row r="39" spans="1:5">
      <c r="A39" s="68">
        <v>0.40969499999999998</v>
      </c>
      <c r="B39" s="68">
        <v>0.18027399999999999</v>
      </c>
      <c r="C39" s="68">
        <v>15.009399999999999</v>
      </c>
      <c r="D39" s="68">
        <v>1</v>
      </c>
      <c r="E39" s="68" t="s">
        <v>449</v>
      </c>
    </row>
    <row r="40" spans="1:5">
      <c r="A40" s="68">
        <v>0.40886400000000001</v>
      </c>
      <c r="B40" s="68">
        <v>0.179787</v>
      </c>
      <c r="C40" s="68">
        <v>15.408300000000001</v>
      </c>
      <c r="D40" s="68">
        <v>1</v>
      </c>
      <c r="E40" s="68" t="s">
        <v>450</v>
      </c>
    </row>
    <row r="41" spans="1:5">
      <c r="A41" s="68">
        <v>0.40726899999999999</v>
      </c>
      <c r="B41" s="68">
        <v>0.18082500000000001</v>
      </c>
      <c r="C41" s="68">
        <v>15.8171</v>
      </c>
      <c r="D41" s="68">
        <v>1</v>
      </c>
      <c r="E41" s="68" t="s">
        <v>451</v>
      </c>
    </row>
    <row r="42" spans="1:5">
      <c r="A42" s="68">
        <v>0.40527099999999999</v>
      </c>
      <c r="B42" s="68">
        <v>0.182918</v>
      </c>
      <c r="C42" s="68">
        <v>16.227900000000002</v>
      </c>
      <c r="D42" s="68">
        <v>1</v>
      </c>
      <c r="E42" s="68" t="s">
        <v>452</v>
      </c>
    </row>
    <row r="43" spans="1:5">
      <c r="A43" s="68">
        <v>0.40314299999999997</v>
      </c>
      <c r="B43" s="68">
        <v>0.18593199999999999</v>
      </c>
      <c r="C43" s="68">
        <v>16.6328</v>
      </c>
      <c r="D43" s="68">
        <v>1</v>
      </c>
      <c r="E43" s="68" t="s">
        <v>453</v>
      </c>
    </row>
    <row r="44" spans="1:5">
      <c r="A44" s="68">
        <v>0.40077499999999999</v>
      </c>
      <c r="B44" s="68">
        <v>0.19018499999999999</v>
      </c>
      <c r="C44" s="68">
        <v>17.0349</v>
      </c>
      <c r="D44" s="68">
        <v>1</v>
      </c>
      <c r="E44" s="68" t="s">
        <v>454</v>
      </c>
    </row>
    <row r="45" spans="1:5">
      <c r="A45" s="68">
        <v>0.39829799999999999</v>
      </c>
      <c r="B45" s="68">
        <v>0.19509899999999999</v>
      </c>
      <c r="C45" s="68">
        <v>17.442699999999999</v>
      </c>
      <c r="D45" s="68">
        <v>1</v>
      </c>
      <c r="E45" s="68" t="s">
        <v>455</v>
      </c>
    </row>
    <row r="46" spans="1:5">
      <c r="A46" s="68">
        <v>0.396034</v>
      </c>
      <c r="B46" s="68">
        <v>0.199153</v>
      </c>
      <c r="C46" s="68">
        <v>17.849599999999999</v>
      </c>
      <c r="D46" s="68">
        <v>1</v>
      </c>
      <c r="E46" s="68" t="s">
        <v>456</v>
      </c>
    </row>
    <row r="47" spans="1:5">
      <c r="A47" s="68">
        <v>0.39387699999999998</v>
      </c>
      <c r="B47" s="68">
        <v>0.202574</v>
      </c>
      <c r="C47" s="68">
        <v>18.2805</v>
      </c>
      <c r="D47" s="68">
        <v>1</v>
      </c>
      <c r="E47" s="68" t="s">
        <v>457</v>
      </c>
    </row>
    <row r="48" spans="1:5">
      <c r="A48" s="68">
        <v>0.39201999999999998</v>
      </c>
      <c r="B48" s="68">
        <v>0.20522199999999999</v>
      </c>
      <c r="C48" s="68">
        <v>18.6586</v>
      </c>
      <c r="D48" s="68">
        <v>1</v>
      </c>
      <c r="E48" s="68" t="s">
        <v>458</v>
      </c>
    </row>
    <row r="49" spans="1:5">
      <c r="A49" s="68">
        <v>0.39060899999999998</v>
      </c>
      <c r="B49" s="68">
        <v>0.20743900000000001</v>
      </c>
      <c r="C49" s="68">
        <v>19.072299999999998</v>
      </c>
      <c r="D49" s="68">
        <v>1</v>
      </c>
      <c r="E49" s="68" t="s">
        <v>459</v>
      </c>
    </row>
    <row r="50" spans="1:5">
      <c r="A50" s="68">
        <v>0.38927600000000001</v>
      </c>
      <c r="B50" s="68">
        <v>0.20971300000000001</v>
      </c>
      <c r="C50" s="68">
        <v>19.476299999999998</v>
      </c>
      <c r="D50" s="68">
        <v>1</v>
      </c>
      <c r="E50" s="68" t="s">
        <v>460</v>
      </c>
    </row>
    <row r="51" spans="1:5">
      <c r="A51" s="68">
        <v>0.38788</v>
      </c>
      <c r="B51" s="68">
        <v>0.211754</v>
      </c>
      <c r="C51" s="68">
        <v>19.882200000000001</v>
      </c>
      <c r="D51" s="68">
        <v>1</v>
      </c>
      <c r="E51" s="68" t="s">
        <v>461</v>
      </c>
    </row>
    <row r="52" spans="1:5">
      <c r="A52" s="68">
        <v>0.386689</v>
      </c>
      <c r="B52" s="68">
        <v>0.213837</v>
      </c>
      <c r="C52" s="68">
        <v>20.2851</v>
      </c>
      <c r="D52" s="68">
        <v>1</v>
      </c>
      <c r="E52" s="68" t="s">
        <v>462</v>
      </c>
    </row>
    <row r="53" spans="1:5">
      <c r="A53" s="68">
        <v>0.38583099999999998</v>
      </c>
      <c r="B53" s="68">
        <v>0.21581600000000001</v>
      </c>
      <c r="C53" s="68">
        <v>20.694099999999999</v>
      </c>
      <c r="D53" s="68">
        <v>1</v>
      </c>
      <c r="E53" s="68" t="s">
        <v>463</v>
      </c>
    </row>
    <row r="54" spans="1:5">
      <c r="A54" s="68">
        <v>0.38514399999999999</v>
      </c>
      <c r="B54" s="68">
        <v>0.217414</v>
      </c>
      <c r="C54" s="68">
        <v>21.100899999999999</v>
      </c>
      <c r="D54" s="68">
        <v>1</v>
      </c>
      <c r="E54" s="68" t="s">
        <v>464</v>
      </c>
    </row>
    <row r="55" spans="1:5">
      <c r="A55" s="68">
        <v>0.38480799999999998</v>
      </c>
      <c r="B55" s="68">
        <v>0.21917300000000001</v>
      </c>
      <c r="C55" s="68">
        <v>21.5031</v>
      </c>
      <c r="D55" s="68">
        <v>1</v>
      </c>
      <c r="E55" s="68" t="s">
        <v>465</v>
      </c>
    </row>
    <row r="56" spans="1:5">
      <c r="A56" s="68">
        <v>0.38458900000000001</v>
      </c>
      <c r="B56" s="68">
        <v>0.22033</v>
      </c>
      <c r="C56" s="68">
        <v>21.912700000000001</v>
      </c>
      <c r="D56" s="68">
        <v>1</v>
      </c>
      <c r="E56" s="68" t="s">
        <v>466</v>
      </c>
    </row>
    <row r="57" spans="1:5">
      <c r="A57" s="68">
        <v>0.38406800000000002</v>
      </c>
      <c r="B57" s="68">
        <v>0.22291</v>
      </c>
      <c r="C57" s="68">
        <v>22.3186</v>
      </c>
      <c r="D57" s="68">
        <v>1</v>
      </c>
      <c r="E57" s="68" t="s">
        <v>467</v>
      </c>
    </row>
    <row r="58" spans="1:5">
      <c r="A58" s="68">
        <v>0.38323099999999999</v>
      </c>
      <c r="B58" s="68">
        <v>0.227635</v>
      </c>
      <c r="C58" s="68">
        <v>22.720800000000001</v>
      </c>
      <c r="D58" s="68">
        <v>1</v>
      </c>
      <c r="E58" s="68" t="s">
        <v>468</v>
      </c>
    </row>
    <row r="59" spans="1:5">
      <c r="A59" s="68">
        <v>0.38228600000000001</v>
      </c>
      <c r="B59" s="68">
        <v>0.23214499999999999</v>
      </c>
      <c r="C59" s="68">
        <v>23.1325</v>
      </c>
      <c r="D59" s="68">
        <v>1</v>
      </c>
      <c r="E59" s="68" t="s">
        <v>469</v>
      </c>
    </row>
    <row r="60" spans="1:5">
      <c r="A60" s="68">
        <v>0.38126300000000002</v>
      </c>
      <c r="B60" s="68">
        <v>0.23675299999999999</v>
      </c>
      <c r="C60" s="68">
        <v>23.537500000000001</v>
      </c>
      <c r="D60" s="68">
        <v>1</v>
      </c>
      <c r="E60" s="68" t="s">
        <v>470</v>
      </c>
    </row>
    <row r="61" spans="1:5">
      <c r="A61" s="68">
        <v>0.38002000000000002</v>
      </c>
      <c r="B61" s="68">
        <v>0.24177999999999999</v>
      </c>
      <c r="C61" s="68">
        <v>23.9453</v>
      </c>
      <c r="D61" s="68">
        <v>1</v>
      </c>
      <c r="E61" s="68" t="s">
        <v>471</v>
      </c>
    </row>
    <row r="62" spans="1:5">
      <c r="A62" s="68">
        <v>0.37884699999999999</v>
      </c>
      <c r="B62" s="68">
        <v>0.24642800000000001</v>
      </c>
      <c r="C62" s="68">
        <v>24.349399999999999</v>
      </c>
      <c r="D62" s="68">
        <v>1</v>
      </c>
      <c r="E62" s="68" t="s">
        <v>472</v>
      </c>
    </row>
    <row r="63" spans="1:5">
      <c r="A63" s="68">
        <v>0.37774799999999997</v>
      </c>
      <c r="B63" s="68">
        <v>0.25151099999999998</v>
      </c>
      <c r="C63" s="68">
        <v>24.755299999999998</v>
      </c>
      <c r="D63" s="68">
        <v>1</v>
      </c>
      <c r="E63" s="68" t="s">
        <v>473</v>
      </c>
    </row>
    <row r="64" spans="1:5">
      <c r="A64" s="68">
        <v>0.376583</v>
      </c>
      <c r="B64" s="68">
        <v>0.25704199999999999</v>
      </c>
      <c r="C64" s="68">
        <v>25.162700000000001</v>
      </c>
      <c r="D64" s="68">
        <v>1</v>
      </c>
      <c r="E64" s="68" t="s">
        <v>474</v>
      </c>
    </row>
    <row r="65" spans="1:5">
      <c r="A65" s="68">
        <v>0.37525900000000001</v>
      </c>
      <c r="B65" s="68">
        <v>0.26295200000000002</v>
      </c>
      <c r="C65" s="68">
        <v>25.5701</v>
      </c>
      <c r="D65" s="68">
        <v>1</v>
      </c>
      <c r="E65" s="68" t="s">
        <v>475</v>
      </c>
    </row>
    <row r="66" spans="1:5">
      <c r="A66" s="68">
        <v>0.37393199999999999</v>
      </c>
      <c r="B66" s="68">
        <v>0.26862000000000003</v>
      </c>
      <c r="C66" s="68">
        <v>25.9756</v>
      </c>
      <c r="D66" s="68">
        <v>1</v>
      </c>
      <c r="E66" s="68" t="s">
        <v>476</v>
      </c>
    </row>
    <row r="67" spans="1:5">
      <c r="A67" s="68">
        <v>0.37239699999999998</v>
      </c>
      <c r="B67" s="68">
        <v>0.27458199999999999</v>
      </c>
      <c r="C67" s="68">
        <v>26.380199999999999</v>
      </c>
      <c r="D67" s="68">
        <v>1</v>
      </c>
      <c r="E67" s="68" t="s">
        <v>477</v>
      </c>
    </row>
    <row r="68" spans="1:5">
      <c r="A68" s="68">
        <v>0.370726</v>
      </c>
      <c r="B68" s="68">
        <v>0.280692</v>
      </c>
      <c r="C68" s="68">
        <v>26.788</v>
      </c>
      <c r="D68" s="68">
        <v>1</v>
      </c>
      <c r="E68" s="68" t="s">
        <v>478</v>
      </c>
    </row>
    <row r="69" spans="1:5">
      <c r="A69" s="68">
        <v>0.36910500000000002</v>
      </c>
      <c r="B69" s="68">
        <v>0.28659099999999998</v>
      </c>
      <c r="C69" s="68">
        <v>27.189900000000002</v>
      </c>
      <c r="D69" s="68">
        <v>1</v>
      </c>
      <c r="E69" s="68" t="s">
        <v>479</v>
      </c>
    </row>
    <row r="70" spans="1:5">
      <c r="A70" s="68">
        <v>0.36774000000000001</v>
      </c>
      <c r="B70" s="68">
        <v>0.29211700000000002</v>
      </c>
      <c r="C70" s="68">
        <v>27.6</v>
      </c>
      <c r="D70" s="68">
        <v>1</v>
      </c>
      <c r="E70" s="68" t="s">
        <v>480</v>
      </c>
    </row>
    <row r="71" spans="1:5">
      <c r="A71" s="68">
        <v>0.36670599999999998</v>
      </c>
      <c r="B71" s="68">
        <v>0.297427</v>
      </c>
      <c r="C71" s="68">
        <v>28.004000000000001</v>
      </c>
      <c r="D71" s="68">
        <v>1</v>
      </c>
      <c r="E71" s="68" t="s">
        <v>481</v>
      </c>
    </row>
    <row r="72" spans="1:5">
      <c r="A72" s="68">
        <v>0.36585200000000001</v>
      </c>
      <c r="B72" s="68">
        <v>0.302927</v>
      </c>
      <c r="C72" s="68">
        <v>28.4117</v>
      </c>
      <c r="D72" s="68">
        <v>1</v>
      </c>
      <c r="E72" s="68" t="s">
        <v>482</v>
      </c>
    </row>
    <row r="73" spans="1:5">
      <c r="A73" s="68">
        <v>0.36530800000000002</v>
      </c>
      <c r="B73" s="68">
        <v>0.30882399999999999</v>
      </c>
      <c r="C73" s="68">
        <v>28.8185</v>
      </c>
      <c r="D73" s="68">
        <v>1</v>
      </c>
      <c r="E73" s="68" t="s">
        <v>483</v>
      </c>
    </row>
    <row r="74" spans="1:5">
      <c r="A74" s="68">
        <v>0.36512899999999998</v>
      </c>
      <c r="B74" s="68">
        <v>0.313189</v>
      </c>
      <c r="C74" s="68">
        <v>29.221599999999999</v>
      </c>
      <c r="D74" s="68">
        <v>1</v>
      </c>
      <c r="E74" s="68" t="s">
        <v>484</v>
      </c>
    </row>
    <row r="75" spans="1:5">
      <c r="A75" s="68">
        <v>0.36476599999999998</v>
      </c>
      <c r="B75" s="68">
        <v>0.31553199999999998</v>
      </c>
      <c r="C75" s="68">
        <v>29.631499999999999</v>
      </c>
      <c r="D75" s="68">
        <v>1</v>
      </c>
      <c r="E75" s="68" t="s">
        <v>485</v>
      </c>
    </row>
    <row r="76" spans="1:5">
      <c r="A76" s="68">
        <v>0.36437999999999998</v>
      </c>
      <c r="B76" s="68">
        <v>0.31781300000000001</v>
      </c>
      <c r="C76" s="68">
        <v>30.0349</v>
      </c>
      <c r="D76" s="68">
        <v>1</v>
      </c>
      <c r="E76" s="68" t="s">
        <v>486</v>
      </c>
    </row>
    <row r="77" spans="1:5">
      <c r="A77" s="68">
        <v>0.36386200000000002</v>
      </c>
      <c r="B77" s="68">
        <v>0.32028000000000001</v>
      </c>
      <c r="C77" s="68">
        <v>30.472100000000001</v>
      </c>
      <c r="D77" s="68">
        <v>2</v>
      </c>
      <c r="E77" s="68" t="s">
        <v>487</v>
      </c>
    </row>
    <row r="78" spans="1:5">
      <c r="A78" s="68">
        <v>0.36326000000000003</v>
      </c>
      <c r="B78" s="68">
        <v>0.32298900000000003</v>
      </c>
      <c r="C78" s="68">
        <v>30.880700000000001</v>
      </c>
      <c r="D78" s="68">
        <v>2</v>
      </c>
      <c r="E78" s="68" t="s">
        <v>488</v>
      </c>
    </row>
    <row r="79" spans="1:5">
      <c r="A79" s="68">
        <v>0.362981</v>
      </c>
      <c r="B79" s="68">
        <v>0.32562000000000002</v>
      </c>
      <c r="C79" s="68">
        <v>31.2879</v>
      </c>
      <c r="D79" s="68">
        <v>2</v>
      </c>
      <c r="E79" s="68" t="s">
        <v>489</v>
      </c>
    </row>
    <row r="80" spans="1:5">
      <c r="A80" s="68">
        <v>0.36257</v>
      </c>
      <c r="B80" s="68">
        <v>0.32763500000000001</v>
      </c>
      <c r="C80" s="68">
        <v>31.694099999999999</v>
      </c>
      <c r="D80" s="68">
        <v>2</v>
      </c>
      <c r="E80" s="68" t="s">
        <v>490</v>
      </c>
    </row>
    <row r="81" spans="1:5">
      <c r="A81" s="68">
        <v>0.36243900000000001</v>
      </c>
      <c r="B81" s="68">
        <v>0.32896500000000001</v>
      </c>
      <c r="C81" s="68">
        <v>32.101799999999997</v>
      </c>
      <c r="D81" s="68">
        <v>2</v>
      </c>
      <c r="E81" s="68" t="s">
        <v>491</v>
      </c>
    </row>
    <row r="82" spans="1:5">
      <c r="A82" s="68">
        <v>0.36238999999999999</v>
      </c>
      <c r="B82" s="68">
        <v>0.32975100000000002</v>
      </c>
      <c r="C82" s="68">
        <v>32.505699999999997</v>
      </c>
      <c r="D82" s="68">
        <v>2</v>
      </c>
      <c r="E82" s="68" t="s">
        <v>492</v>
      </c>
    </row>
    <row r="83" spans="1:5">
      <c r="A83" s="68">
        <v>0.362456</v>
      </c>
      <c r="B83" s="68">
        <v>0.32980700000000002</v>
      </c>
      <c r="C83" s="68">
        <v>32.910699999999999</v>
      </c>
      <c r="D83" s="68">
        <v>2</v>
      </c>
      <c r="E83" s="68" t="s">
        <v>493</v>
      </c>
    </row>
    <row r="84" spans="1:5">
      <c r="A84" s="68">
        <v>0.36286200000000002</v>
      </c>
      <c r="B84" s="68">
        <v>0.32852999999999999</v>
      </c>
      <c r="C84" s="68">
        <v>33.318600000000004</v>
      </c>
      <c r="D84" s="68">
        <v>2</v>
      </c>
      <c r="E84" s="68" t="s">
        <v>494</v>
      </c>
    </row>
    <row r="85" spans="1:5">
      <c r="A85" s="68">
        <v>0.36385800000000001</v>
      </c>
      <c r="B85" s="68">
        <v>0.325407</v>
      </c>
      <c r="C85" s="68">
        <v>33.723599999999998</v>
      </c>
      <c r="D85" s="68">
        <v>2</v>
      </c>
      <c r="E85" s="68" t="s">
        <v>495</v>
      </c>
    </row>
    <row r="86" spans="1:5">
      <c r="A86" s="68">
        <v>0.36516900000000002</v>
      </c>
      <c r="B86" s="68">
        <v>0.32159599999999999</v>
      </c>
      <c r="C86" s="68">
        <v>34.133299999999998</v>
      </c>
      <c r="D86" s="68">
        <v>2</v>
      </c>
      <c r="E86" s="68" t="s">
        <v>496</v>
      </c>
    </row>
    <row r="87" spans="1:5">
      <c r="A87" s="68">
        <v>0.366728</v>
      </c>
      <c r="B87" s="68">
        <v>0.31739299999999998</v>
      </c>
      <c r="C87" s="68">
        <v>34.534300000000002</v>
      </c>
      <c r="D87" s="68">
        <v>2</v>
      </c>
      <c r="E87" s="68" t="s">
        <v>497</v>
      </c>
    </row>
    <row r="88" spans="1:5">
      <c r="A88" s="68">
        <v>0.368172</v>
      </c>
      <c r="B88" s="68">
        <v>0.31324400000000002</v>
      </c>
      <c r="C88" s="68">
        <v>34.944400000000002</v>
      </c>
      <c r="D88" s="68">
        <v>2</v>
      </c>
      <c r="E88" s="68" t="s">
        <v>498</v>
      </c>
    </row>
    <row r="89" spans="1:5">
      <c r="A89" s="68">
        <v>0.36973899999999998</v>
      </c>
      <c r="B89" s="68">
        <v>0.308228</v>
      </c>
      <c r="C89" s="68">
        <v>35.348500000000001</v>
      </c>
      <c r="D89" s="68">
        <v>2</v>
      </c>
      <c r="E89" s="68" t="s">
        <v>499</v>
      </c>
    </row>
    <row r="90" spans="1:5">
      <c r="A90" s="68">
        <v>0.37171900000000002</v>
      </c>
      <c r="B90" s="68">
        <v>0.30213899999999999</v>
      </c>
      <c r="C90" s="68">
        <v>35.753700000000002</v>
      </c>
      <c r="D90" s="68">
        <v>2</v>
      </c>
      <c r="E90" s="68" t="s">
        <v>500</v>
      </c>
    </row>
    <row r="91" spans="1:5">
      <c r="A91" s="68">
        <v>0.374249</v>
      </c>
      <c r="B91" s="68">
        <v>0.29520000000000002</v>
      </c>
      <c r="C91" s="68">
        <v>36.1629</v>
      </c>
      <c r="D91" s="68">
        <v>2</v>
      </c>
      <c r="E91" s="68" t="s">
        <v>501</v>
      </c>
    </row>
    <row r="92" spans="1:5">
      <c r="A92" s="68">
        <v>0.37731100000000001</v>
      </c>
      <c r="B92" s="68">
        <v>0.287491</v>
      </c>
      <c r="C92" s="68">
        <v>36.569800000000001</v>
      </c>
      <c r="D92" s="68">
        <v>2</v>
      </c>
      <c r="E92" s="68" t="s">
        <v>502</v>
      </c>
    </row>
    <row r="93" spans="1:5">
      <c r="A93" s="68">
        <v>0.38046000000000002</v>
      </c>
      <c r="B93" s="68">
        <v>0.28053600000000001</v>
      </c>
      <c r="C93" s="68">
        <v>36.973700000000001</v>
      </c>
      <c r="D93" s="68">
        <v>2</v>
      </c>
      <c r="E93" s="68" t="s">
        <v>503</v>
      </c>
    </row>
    <row r="94" spans="1:5">
      <c r="A94" s="68">
        <v>0.38365700000000003</v>
      </c>
      <c r="B94" s="68">
        <v>0.27391399999999999</v>
      </c>
      <c r="C94" s="68">
        <v>37.3797</v>
      </c>
      <c r="D94" s="68">
        <v>2</v>
      </c>
      <c r="E94" s="68" t="s">
        <v>504</v>
      </c>
    </row>
    <row r="95" spans="1:5">
      <c r="A95" s="68">
        <v>0.38691700000000001</v>
      </c>
      <c r="B95" s="68">
        <v>0.26665</v>
      </c>
      <c r="C95" s="68">
        <v>37.785499999999999</v>
      </c>
      <c r="D95" s="68">
        <v>2</v>
      </c>
      <c r="E95" s="68" t="s">
        <v>505</v>
      </c>
    </row>
    <row r="96" spans="1:5">
      <c r="A96" s="68">
        <v>0.39027000000000001</v>
      </c>
      <c r="B96" s="68">
        <v>0.25854500000000002</v>
      </c>
      <c r="C96" s="68">
        <v>38.192599999999999</v>
      </c>
      <c r="D96" s="68">
        <v>2</v>
      </c>
      <c r="E96" s="68" t="s">
        <v>506</v>
      </c>
    </row>
    <row r="97" spans="1:5">
      <c r="A97" s="68">
        <v>0.393675</v>
      </c>
      <c r="B97" s="68">
        <v>0.25022499999999998</v>
      </c>
      <c r="C97" s="68">
        <v>38.6023</v>
      </c>
      <c r="D97" s="68">
        <v>2</v>
      </c>
      <c r="E97" s="68" t="s">
        <v>507</v>
      </c>
    </row>
    <row r="98" spans="1:5">
      <c r="A98" s="68">
        <v>0.39657300000000001</v>
      </c>
      <c r="B98" s="68">
        <v>0.24230399999999999</v>
      </c>
      <c r="C98" s="68">
        <v>39.005600000000001</v>
      </c>
      <c r="D98" s="68">
        <v>2</v>
      </c>
      <c r="E98" s="68" t="s">
        <v>508</v>
      </c>
    </row>
    <row r="99" spans="1:5">
      <c r="A99" s="68">
        <v>0.398706</v>
      </c>
      <c r="B99" s="68">
        <v>0.23655999999999999</v>
      </c>
      <c r="C99" s="68">
        <v>39.414200000000001</v>
      </c>
      <c r="D99" s="68">
        <v>2</v>
      </c>
      <c r="E99" s="68" t="s">
        <v>509</v>
      </c>
    </row>
    <row r="100" spans="1:5">
      <c r="A100" s="68">
        <v>0.40104699999999999</v>
      </c>
      <c r="B100" s="68">
        <v>0.23271900000000001</v>
      </c>
      <c r="C100" s="68">
        <v>39.819299999999998</v>
      </c>
      <c r="D100" s="68">
        <v>2</v>
      </c>
      <c r="E100" s="68" t="s">
        <v>510</v>
      </c>
    </row>
    <row r="101" spans="1:5">
      <c r="A101" s="68">
        <v>0.40372200000000003</v>
      </c>
      <c r="B101" s="68">
        <v>0.22882</v>
      </c>
      <c r="C101" s="68">
        <v>40.222099999999998</v>
      </c>
      <c r="D101" s="68">
        <v>2</v>
      </c>
      <c r="E101" s="68" t="s">
        <v>511</v>
      </c>
    </row>
    <row r="102" spans="1:5">
      <c r="A102" s="68">
        <v>0.40619100000000002</v>
      </c>
      <c r="B102" s="68">
        <v>0.225104</v>
      </c>
      <c r="C102" s="68">
        <v>40.633899999999997</v>
      </c>
      <c r="D102" s="68">
        <v>2</v>
      </c>
      <c r="E102" s="68" t="s">
        <v>512</v>
      </c>
    </row>
    <row r="103" spans="1:5">
      <c r="A103" s="68">
        <v>0.40914299999999998</v>
      </c>
      <c r="B103" s="68">
        <v>0.220467</v>
      </c>
      <c r="C103" s="68">
        <v>41.040900000000001</v>
      </c>
      <c r="D103" s="68">
        <v>2</v>
      </c>
      <c r="E103" s="68" t="s">
        <v>513</v>
      </c>
    </row>
    <row r="104" spans="1:5">
      <c r="A104" s="68">
        <v>0.41197600000000001</v>
      </c>
      <c r="B104" s="68">
        <v>0.21581</v>
      </c>
      <c r="C104" s="68">
        <v>41.444699999999997</v>
      </c>
      <c r="D104" s="68">
        <v>2</v>
      </c>
      <c r="E104" s="68" t="s">
        <v>514</v>
      </c>
    </row>
    <row r="105" spans="1:5">
      <c r="A105" s="68">
        <v>0.41472999999999999</v>
      </c>
      <c r="B105" s="68">
        <v>0.211672</v>
      </c>
      <c r="C105" s="68">
        <v>41.849800000000002</v>
      </c>
      <c r="D105" s="68">
        <v>2</v>
      </c>
      <c r="E105" s="68" t="s">
        <v>515</v>
      </c>
    </row>
    <row r="106" spans="1:5">
      <c r="A106" s="68">
        <v>0.41760599999999998</v>
      </c>
      <c r="B106" s="68">
        <v>0.20699600000000001</v>
      </c>
      <c r="C106" s="68">
        <v>42.256799999999998</v>
      </c>
      <c r="D106" s="68">
        <v>2</v>
      </c>
      <c r="E106" s="68" t="s">
        <v>516</v>
      </c>
    </row>
    <row r="107" spans="1:5">
      <c r="A107" s="68">
        <v>0.42066399999999998</v>
      </c>
      <c r="B107" s="68">
        <v>0.20243800000000001</v>
      </c>
      <c r="C107" s="68">
        <v>42.665500000000002</v>
      </c>
      <c r="D107" s="68">
        <v>2</v>
      </c>
      <c r="E107" s="68" t="s">
        <v>517</v>
      </c>
    </row>
    <row r="108" spans="1:5">
      <c r="A108" s="68">
        <v>0.42405300000000001</v>
      </c>
      <c r="B108" s="68">
        <v>0.19719600000000001</v>
      </c>
      <c r="C108" s="68">
        <v>43.072400000000002</v>
      </c>
      <c r="D108" s="68">
        <v>2</v>
      </c>
      <c r="E108" s="68" t="s">
        <v>518</v>
      </c>
    </row>
    <row r="109" spans="1:5">
      <c r="A109" s="68">
        <v>0.42744500000000002</v>
      </c>
      <c r="B109" s="68">
        <v>0.19220699999999999</v>
      </c>
      <c r="C109" s="68">
        <v>43.474400000000003</v>
      </c>
      <c r="D109" s="68">
        <v>2</v>
      </c>
      <c r="E109" s="68" t="s">
        <v>519</v>
      </c>
    </row>
    <row r="110" spans="1:5">
      <c r="A110" s="68">
        <v>0.43024099999999998</v>
      </c>
      <c r="B110" s="68">
        <v>0.188475</v>
      </c>
      <c r="C110" s="68">
        <v>43.8812</v>
      </c>
      <c r="D110" s="68">
        <v>2</v>
      </c>
      <c r="E110" s="68" t="s">
        <v>520</v>
      </c>
    </row>
    <row r="111" spans="1:5">
      <c r="A111" s="68">
        <v>0.43292799999999998</v>
      </c>
      <c r="B111" s="68">
        <v>0.18540799999999999</v>
      </c>
      <c r="C111" s="68">
        <v>44.287300000000002</v>
      </c>
      <c r="D111" s="68">
        <v>2</v>
      </c>
      <c r="E111" s="68" t="s">
        <v>521</v>
      </c>
    </row>
    <row r="112" spans="1:5">
      <c r="A112" s="68">
        <v>0.43519600000000003</v>
      </c>
      <c r="B112" s="68">
        <v>0.183279</v>
      </c>
      <c r="C112" s="68">
        <v>44.692</v>
      </c>
      <c r="D112" s="68">
        <v>2</v>
      </c>
      <c r="E112" s="68" t="s">
        <v>522</v>
      </c>
    </row>
    <row r="113" spans="1:5">
      <c r="A113" s="68">
        <v>0.43745899999999999</v>
      </c>
      <c r="B113" s="68">
        <v>0.18154400000000001</v>
      </c>
      <c r="C113" s="68">
        <v>45.1</v>
      </c>
      <c r="D113" s="68">
        <v>2</v>
      </c>
      <c r="E113" s="68" t="s">
        <v>523</v>
      </c>
    </row>
    <row r="114" spans="1:5">
      <c r="A114" s="68">
        <v>0.43993100000000002</v>
      </c>
      <c r="B114" s="68">
        <v>0.17996599999999999</v>
      </c>
      <c r="C114" s="68">
        <v>45.505000000000003</v>
      </c>
      <c r="D114" s="68">
        <v>2</v>
      </c>
      <c r="E114" s="68" t="s">
        <v>524</v>
      </c>
    </row>
    <row r="115" spans="1:5">
      <c r="A115" s="68">
        <v>0.44231300000000001</v>
      </c>
      <c r="B115" s="68">
        <v>0.178817</v>
      </c>
      <c r="C115" s="68">
        <v>45.913800000000002</v>
      </c>
      <c r="D115" s="68">
        <v>2</v>
      </c>
      <c r="E115" s="68" t="s">
        <v>525</v>
      </c>
    </row>
    <row r="116" spans="1:5">
      <c r="A116" s="68">
        <v>0.44459799999999999</v>
      </c>
      <c r="B116" s="68">
        <v>0.17752899999999999</v>
      </c>
      <c r="C116" s="68">
        <v>46.318300000000001</v>
      </c>
      <c r="D116" s="68">
        <v>2</v>
      </c>
      <c r="E116" s="68" t="s">
        <v>526</v>
      </c>
    </row>
    <row r="117" spans="1:5">
      <c r="A117" s="68">
        <v>0.44662800000000002</v>
      </c>
      <c r="B117" s="68">
        <v>0.176509</v>
      </c>
      <c r="C117" s="68">
        <v>46.723599999999998</v>
      </c>
      <c r="D117" s="68">
        <v>2</v>
      </c>
      <c r="E117" s="68" t="s">
        <v>527</v>
      </c>
    </row>
    <row r="118" spans="1:5">
      <c r="A118" s="68">
        <v>0.44852900000000001</v>
      </c>
      <c r="B118" s="68">
        <v>0.17560100000000001</v>
      </c>
      <c r="C118" s="68">
        <v>47.128599999999999</v>
      </c>
      <c r="D118" s="68">
        <v>2</v>
      </c>
      <c r="E118" s="68" t="s">
        <v>528</v>
      </c>
    </row>
    <row r="119" spans="1:5">
      <c r="A119" s="68">
        <v>0.45014999999999999</v>
      </c>
      <c r="B119" s="68">
        <v>0.17514099999999999</v>
      </c>
      <c r="C119" s="68">
        <v>47.537399999999998</v>
      </c>
      <c r="D119" s="68">
        <v>2</v>
      </c>
      <c r="E119" s="68" t="s">
        <v>529</v>
      </c>
    </row>
    <row r="120" spans="1:5">
      <c r="A120" s="68">
        <v>0.45109700000000003</v>
      </c>
      <c r="B120" s="68">
        <v>0.17580399999999999</v>
      </c>
      <c r="C120" s="68">
        <v>47.940300000000001</v>
      </c>
      <c r="D120" s="68">
        <v>2</v>
      </c>
      <c r="E120" s="68" t="s">
        <v>530</v>
      </c>
    </row>
    <row r="121" spans="1:5">
      <c r="A121" s="68">
        <v>0.45155000000000001</v>
      </c>
      <c r="B121" s="68">
        <v>0.176984</v>
      </c>
      <c r="C121" s="68">
        <v>48.353499999999997</v>
      </c>
      <c r="D121" s="68">
        <v>2</v>
      </c>
      <c r="E121" s="68" t="s">
        <v>531</v>
      </c>
    </row>
    <row r="122" spans="1:5">
      <c r="A122" s="68">
        <v>0.45142399999999999</v>
      </c>
      <c r="B122" s="68">
        <v>0.17835000000000001</v>
      </c>
      <c r="C122" s="68">
        <v>48.758200000000002</v>
      </c>
      <c r="D122" s="68">
        <v>2</v>
      </c>
      <c r="E122" s="68" t="s">
        <v>532</v>
      </c>
    </row>
    <row r="123" spans="1:5">
      <c r="A123" s="68">
        <v>0.45110800000000001</v>
      </c>
      <c r="B123" s="68">
        <v>0.180094</v>
      </c>
      <c r="C123" s="68">
        <v>49.162100000000002</v>
      </c>
      <c r="D123" s="68">
        <v>2</v>
      </c>
      <c r="E123" s="68" t="s">
        <v>533</v>
      </c>
    </row>
    <row r="124" spans="1:5">
      <c r="A124" s="68">
        <v>0.45073000000000002</v>
      </c>
      <c r="B124" s="68">
        <v>0.18226600000000001</v>
      </c>
      <c r="C124" s="68">
        <v>49.569299999999998</v>
      </c>
      <c r="D124" s="68">
        <v>2</v>
      </c>
      <c r="E124" s="68" t="s">
        <v>534</v>
      </c>
    </row>
    <row r="125" spans="1:5">
      <c r="A125" s="68">
        <v>0.45016</v>
      </c>
      <c r="B125" s="68">
        <v>0.18520500000000001</v>
      </c>
      <c r="C125" s="68">
        <v>49.976999999999997</v>
      </c>
      <c r="D125" s="68">
        <v>2</v>
      </c>
      <c r="E125" s="68" t="s">
        <v>535</v>
      </c>
    </row>
    <row r="126" spans="1:5">
      <c r="A126" s="68">
        <v>0.45008599999999999</v>
      </c>
      <c r="B126" s="68">
        <v>0.18683900000000001</v>
      </c>
      <c r="C126" s="68">
        <v>50.382899999999999</v>
      </c>
      <c r="D126" s="68">
        <v>2</v>
      </c>
      <c r="E126" s="68" t="s">
        <v>536</v>
      </c>
    </row>
    <row r="127" spans="1:5">
      <c r="A127" s="68">
        <v>0.45082800000000001</v>
      </c>
      <c r="B127" s="68">
        <v>0.18723899999999999</v>
      </c>
      <c r="C127" s="68">
        <v>50.788699999999999</v>
      </c>
      <c r="D127" s="68">
        <v>2</v>
      </c>
      <c r="E127" s="68" t="s">
        <v>537</v>
      </c>
    </row>
    <row r="128" spans="1:5">
      <c r="A128" s="68">
        <v>0.45118799999999998</v>
      </c>
      <c r="B128" s="68">
        <v>0.18793599999999999</v>
      </c>
      <c r="C128" s="68">
        <v>51.191800000000001</v>
      </c>
      <c r="D128" s="68">
        <v>2</v>
      </c>
      <c r="E128" s="68" t="s">
        <v>538</v>
      </c>
    </row>
    <row r="129" spans="1:5">
      <c r="A129" s="68">
        <v>0.451517</v>
      </c>
      <c r="B129" s="68">
        <v>0.188779</v>
      </c>
      <c r="C129" s="68">
        <v>51.597700000000003</v>
      </c>
      <c r="D129" s="68">
        <v>2</v>
      </c>
      <c r="E129" s="68" t="s">
        <v>539</v>
      </c>
    </row>
    <row r="130" spans="1:5">
      <c r="A130" s="68">
        <v>0.45175700000000002</v>
      </c>
      <c r="B130" s="68">
        <v>0.189606</v>
      </c>
      <c r="C130" s="68">
        <v>52.003599999999999</v>
      </c>
      <c r="D130" s="68">
        <v>2</v>
      </c>
      <c r="E130" s="68" t="s">
        <v>540</v>
      </c>
    </row>
    <row r="131" spans="1:5">
      <c r="A131" s="68">
        <v>0.45172699999999999</v>
      </c>
      <c r="B131" s="68">
        <v>0.191028</v>
      </c>
      <c r="C131" s="68">
        <v>52.410400000000003</v>
      </c>
      <c r="D131" s="68">
        <v>2</v>
      </c>
      <c r="E131" s="68" t="s">
        <v>541</v>
      </c>
    </row>
    <row r="132" spans="1:5">
      <c r="A132" s="68">
        <v>0.451517</v>
      </c>
      <c r="B132" s="68">
        <v>0.19248899999999999</v>
      </c>
      <c r="C132" s="68">
        <v>52.819499999999998</v>
      </c>
      <c r="D132" s="68">
        <v>2</v>
      </c>
      <c r="E132" s="68" t="s">
        <v>542</v>
      </c>
    </row>
    <row r="133" spans="1:5">
      <c r="A133" s="68">
        <v>0.45078299999999999</v>
      </c>
      <c r="B133" s="68">
        <v>0.19501199999999999</v>
      </c>
      <c r="C133" s="68">
        <v>53.225200000000001</v>
      </c>
      <c r="D133" s="68">
        <v>2</v>
      </c>
      <c r="E133" s="68" t="s">
        <v>543</v>
      </c>
    </row>
    <row r="134" spans="1:5">
      <c r="A134" s="68">
        <v>0.44966</v>
      </c>
      <c r="B134" s="68">
        <v>0.19831499999999999</v>
      </c>
      <c r="C134" s="68">
        <v>53.6342</v>
      </c>
      <c r="D134" s="68">
        <v>2</v>
      </c>
      <c r="E134" s="68" t="s">
        <v>544</v>
      </c>
    </row>
    <row r="135" spans="1:5">
      <c r="A135" s="68">
        <v>0.44878699999999999</v>
      </c>
      <c r="B135" s="68">
        <v>0.201018</v>
      </c>
      <c r="C135" s="68">
        <v>54.039099999999998</v>
      </c>
      <c r="D135" s="68">
        <v>2</v>
      </c>
      <c r="E135" s="68" t="s">
        <v>545</v>
      </c>
    </row>
    <row r="136" spans="1:5">
      <c r="A136" s="68">
        <v>0.44798300000000002</v>
      </c>
      <c r="B136" s="68">
        <v>0.20341100000000001</v>
      </c>
      <c r="C136" s="68">
        <v>54.445</v>
      </c>
      <c r="D136" s="68">
        <v>2</v>
      </c>
      <c r="E136" s="68" t="s">
        <v>546</v>
      </c>
    </row>
    <row r="137" spans="1:5">
      <c r="A137" s="68">
        <v>0.44758199999999998</v>
      </c>
      <c r="B137" s="68">
        <v>0.20505399999999999</v>
      </c>
      <c r="C137" s="68">
        <v>54.850999999999999</v>
      </c>
      <c r="D137" s="68">
        <v>2</v>
      </c>
      <c r="E137" s="68" t="s">
        <v>547</v>
      </c>
    </row>
    <row r="138" spans="1:5">
      <c r="A138" s="68">
        <v>0.44695600000000002</v>
      </c>
      <c r="B138" s="68">
        <v>0.20657700000000001</v>
      </c>
      <c r="C138" s="68">
        <v>55.259900000000002</v>
      </c>
      <c r="D138" s="68">
        <v>2</v>
      </c>
      <c r="E138" s="68" t="s">
        <v>548</v>
      </c>
    </row>
    <row r="139" spans="1:5">
      <c r="A139" s="68">
        <v>0.44570199999999999</v>
      </c>
      <c r="B139" s="68">
        <v>0.20896600000000001</v>
      </c>
      <c r="C139" s="68">
        <v>55.662700000000001</v>
      </c>
      <c r="D139" s="68">
        <v>2</v>
      </c>
      <c r="E139" s="68" t="s">
        <v>549</v>
      </c>
    </row>
    <row r="140" spans="1:5">
      <c r="A140" s="68">
        <v>0.443907</v>
      </c>
      <c r="B140" s="68">
        <v>0.21199000000000001</v>
      </c>
      <c r="C140" s="68">
        <v>56.070799999999998</v>
      </c>
      <c r="D140" s="68">
        <v>2</v>
      </c>
      <c r="E140" s="68" t="s">
        <v>550</v>
      </c>
    </row>
    <row r="141" spans="1:5">
      <c r="A141" s="68">
        <v>0.441386</v>
      </c>
      <c r="B141" s="68">
        <v>0.216835</v>
      </c>
      <c r="C141" s="68">
        <v>56.472700000000003</v>
      </c>
      <c r="D141" s="68">
        <v>2</v>
      </c>
      <c r="E141" s="68" t="s">
        <v>551</v>
      </c>
    </row>
    <row r="142" spans="1:5">
      <c r="A142" s="68">
        <v>0.43818200000000002</v>
      </c>
      <c r="B142" s="68">
        <v>0.22334200000000001</v>
      </c>
      <c r="C142" s="68">
        <v>56.878599999999999</v>
      </c>
      <c r="D142" s="68">
        <v>2</v>
      </c>
      <c r="E142" s="68" t="s">
        <v>552</v>
      </c>
    </row>
    <row r="143" spans="1:5">
      <c r="A143" s="68">
        <v>0.43435000000000001</v>
      </c>
      <c r="B143" s="68">
        <v>0.23102300000000001</v>
      </c>
      <c r="C143" s="68">
        <v>57.289400000000001</v>
      </c>
      <c r="D143" s="68">
        <v>2</v>
      </c>
      <c r="E143" s="68" t="s">
        <v>553</v>
      </c>
    </row>
    <row r="144" spans="1:5">
      <c r="A144" s="68">
        <v>0.43006</v>
      </c>
      <c r="B144" s="68">
        <v>0.239953</v>
      </c>
      <c r="C144" s="68">
        <v>57.696399999999997</v>
      </c>
      <c r="D144" s="68">
        <v>2</v>
      </c>
      <c r="E144" s="68" t="s">
        <v>554</v>
      </c>
    </row>
    <row r="145" spans="1:5">
      <c r="A145" s="68">
        <v>0.42628100000000002</v>
      </c>
      <c r="B145" s="68">
        <v>0.247667</v>
      </c>
      <c r="C145" s="68">
        <v>58.101100000000002</v>
      </c>
      <c r="D145" s="68">
        <v>2</v>
      </c>
      <c r="E145" s="68" t="s">
        <v>555</v>
      </c>
    </row>
    <row r="146" spans="1:5">
      <c r="A146" s="68">
        <v>0.42204900000000001</v>
      </c>
      <c r="B146" s="68">
        <v>0.257355</v>
      </c>
      <c r="C146" s="68">
        <v>58.503399999999999</v>
      </c>
      <c r="D146" s="68">
        <v>2</v>
      </c>
      <c r="E146" s="68" t="s">
        <v>556</v>
      </c>
    </row>
    <row r="147" spans="1:5">
      <c r="A147" s="68">
        <v>0.41872799999999999</v>
      </c>
      <c r="B147" s="68">
        <v>0.26810800000000001</v>
      </c>
      <c r="C147" s="68">
        <v>58.912999999999997</v>
      </c>
      <c r="D147" s="68">
        <v>2</v>
      </c>
      <c r="E147" s="68" t="s">
        <v>557</v>
      </c>
    </row>
    <row r="148" spans="1:5">
      <c r="A148" s="68">
        <v>0.41639799999999999</v>
      </c>
      <c r="B148" s="68">
        <v>0.27926400000000001</v>
      </c>
      <c r="C148" s="68">
        <v>59.316000000000003</v>
      </c>
      <c r="D148" s="68">
        <v>2</v>
      </c>
      <c r="E148" s="68" t="s">
        <v>558</v>
      </c>
    </row>
    <row r="149" spans="1:5">
      <c r="A149" s="68">
        <v>0.41628599999999999</v>
      </c>
      <c r="B149" s="68">
        <v>0.285246</v>
      </c>
      <c r="C149" s="68">
        <v>59.722900000000003</v>
      </c>
      <c r="D149" s="68">
        <v>2</v>
      </c>
      <c r="E149" s="68" t="s">
        <v>559</v>
      </c>
    </row>
    <row r="150" spans="1:5">
      <c r="A150" s="68">
        <v>0.41674</v>
      </c>
      <c r="B150" s="68">
        <v>0.28520099999999998</v>
      </c>
      <c r="C150" s="32">
        <v>60.132800000000003</v>
      </c>
      <c r="D150" s="32">
        <v>2</v>
      </c>
      <c r="E150" s="32" t="s">
        <v>560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561</v>
      </c>
      <c r="B1" s="66" t="s">
        <v>562</v>
      </c>
      <c r="C1" s="66" t="s">
        <v>564</v>
      </c>
      <c r="D1" s="66" t="s">
        <v>565</v>
      </c>
      <c r="E1" s="66" t="s">
        <v>566</v>
      </c>
      <c r="F1" s="66" t="s">
        <v>348</v>
      </c>
      <c r="G1" s="66" t="s">
        <v>567</v>
      </c>
      <c r="H1" s="66" t="s">
        <v>568</v>
      </c>
      <c r="I1" s="66" t="s">
        <v>569</v>
      </c>
      <c r="J1" s="66" t="s">
        <v>570</v>
      </c>
      <c r="K1" s="66" t="s">
        <v>571</v>
      </c>
      <c r="L1" s="66" t="s">
        <v>572</v>
      </c>
      <c r="M1" s="66" t="s">
        <v>573</v>
      </c>
      <c r="N1" s="66"/>
    </row>
    <row r="2" spans="1:14">
      <c r="A2" s="75">
        <v>43607.67695601852</v>
      </c>
      <c r="B2" s="66" t="s">
        <v>563</v>
      </c>
      <c r="C2" s="66"/>
      <c r="D2" s="66"/>
      <c r="E2" s="66">
        <v>4.9234099999999996</v>
      </c>
      <c r="F2" s="66">
        <v>2.0048900000000001</v>
      </c>
      <c r="G2" s="66">
        <v>0.767513</v>
      </c>
      <c r="H2" s="66">
        <v>0</v>
      </c>
      <c r="I2" s="66">
        <v>82940</v>
      </c>
      <c r="J2" s="66">
        <v>114</v>
      </c>
      <c r="K2" s="66">
        <v>114</v>
      </c>
      <c r="L2" s="66">
        <v>0</v>
      </c>
      <c r="M2" s="66" t="s">
        <v>574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2019-05-22T08:15:33Z</cp:lastPrinted>
  <dcterms:created xsi:type="dcterms:W3CDTF">2010-10-29T12:53:05Z</dcterms:created>
  <dcterms:modified xsi:type="dcterms:W3CDTF">2019-05-22T08:15:48Z</dcterms:modified>
</cp:coreProperties>
</file>