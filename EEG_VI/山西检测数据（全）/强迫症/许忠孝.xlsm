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<sst xmlns="http://schemas.openxmlformats.org/spreadsheetml/2006/main" count="701" uniqueCount="572">
  <si>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</si>
  <si>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</si>
  <si>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</si>
  <si>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</si>
  <si>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</si>
  <si>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</si>
  <si>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</si>
  <si>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</si>
  <si>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</si>
  <si>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</si>
  <si>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</si>
  <si>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</si>
  <si>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</si>
  <si>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</si>
  <si>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</si>
  <si>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</si>
  <si>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</si>
  <si>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</si>
  <si>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</si>
  <si>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</si>
  <si>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</si>
  <si>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</si>
  <si>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</si>
  <si>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</si>
  <si>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</si>
  <si>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</si>
  <si>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</si>
  <si>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</si>
  <si>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</si>
  <si>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</si>
  <si>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</si>
  <si>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</si>
  <si>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</si>
  <si>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</si>
  <si>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</si>
  <si>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</si>
  <si>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</si>
  <si>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</si>
  <si>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</si>
  <si>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</si>
  <si>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</si>
  <si>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</si>
  <si>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</si>
  <si>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</si>
  <si>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</si>
  <si>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</si>
  <si>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</si>
  <si>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</si>
  <si>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</si>
  <si>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</si>
  <si>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</si>
  <si>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</si>
  <si>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</si>
  <si>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</si>
  <si>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</si>
  <si>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</si>
  <si>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</si>
  <si>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</si>
  <si>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</si>
  <si>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</si>
  <si>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</si>
  <si>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</si>
  <si>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</si>
  <si>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</si>
  <si>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</si>
  <si>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</si>
  <si>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</si>
  <si>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</si>
  <si>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</si>
  <si>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</si>
  <si>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</si>
  <si>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</si>
  <si>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</si>
  <si>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</si>
  <si>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</si>
  <si>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</si>
  <si>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</si>
  <si>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</si>
  <si>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</si>
  <si>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</si>
  <si>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</si>
  <si>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</si>
  <si>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</si>
  <si>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</si>
  <si>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</si>
  <si>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</si>
  <si>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</si>
  <si>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</si>
  <si>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</si>
  <si>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</si>
  <si>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</si>
  <si>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</si>
  <si>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</si>
  <si>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</si>
  <si>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</si>
  <si>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</si>
  <si>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</si>
  <si>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</si>
  <si>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</si>
  <si>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</si>
  <si>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</si>
  <si>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</si>
  <si>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</si>
  <si>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</si>
  <si>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</si>
  <si>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</si>
  <si>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</si>
  <si>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</si>
  <si>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</si>
  <si>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</si>
  <si>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</si>
  <si>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</si>
  <si>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</si>
  <si>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</si>
  <si>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</si>
  <si>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</si>
  <si>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</si>
  <si>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</si>
  <si>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</si>
  <si>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</si>
  <si>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</si>
  <si>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</si>
  <si>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</si>
  <si>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</si>
  <si>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</si>
  <si>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</si>
  <si>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</si>
  <si>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</si>
  <si>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</si>
  <si>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</si>
  <si>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</si>
  <si>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</si>
  <si>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</si>
  <si>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</si>
  <si>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</si>
  <si>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</si>
  <si>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</si>
  <si>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</si>
  <si>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</si>
  <si>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</si>
  <si>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</si>
  <si>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</si>
  <si>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</si>
  <si>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</si>
  <si>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</si>
  <si>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</si>
  <si>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</si>
  <si>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</si>
  <si>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</si>
  <si>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</si>
  <si>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</si>
  <si>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</si>
  <si>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</si>
  <si>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</si>
  <si>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</si>
  <si>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</si>
  <si>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</si>
  <si>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</si>
  <si>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</si>
  <si>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</si>
  <si>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</si>
  <si>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</si>
  <si>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</si>
  <si>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</si>
  <si>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</si>
  <si>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</si>
  <si>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</si>
  <si>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</si>
  <si>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</si>
  <si>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</si>
  <si>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</si>
  <si>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</si>
  <si>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</si>
  <si>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</si>
  <si>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</si>
  <si>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</si>
  <si>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</si>
  <si>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</si>
  <si>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</si>
  <si>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</si>
  <si>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</si>
  <si>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</si>
  <si>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</si>
  <si>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</si>
  <si>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</si>
  <si>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</si>
  <si>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</si>
  <si>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</si>
  <si>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</si>
  <si>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</si>
  <si>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</si>
  <si>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</si>
  <si>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</si>
  <si>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</si>
  <si>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</si>
  <si>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</si>
  <si>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</si>
  <si>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</si>
  <si>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</si>
  <si>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</si>
  <si>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</si>
  <si>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</si>
  <si>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</si>
  <si>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</si>
  <si>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</si>
  <si>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</si>
  <si>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</si>
  <si>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</si>
  <si>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</si>
  <si>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</si>
  <si>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</si>
  <si>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</si>
  <si>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</si>
  <si>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</si>
  <si>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</si>
  <si>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</si>
  <si>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</si>
  <si>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</si>
  <si>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</si>
  <si>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</si>
  <si>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</si>
  <si>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</si>
  <si>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</si>
  <si>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</si>
  <si>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</si>
  <si>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</si>
  <si>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</si>
  <si>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</si>
  <si>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</si>
  <si>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</si>
  <si>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</si>
  <si>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</si>
  <si>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</si>
  <si>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</si>
  <si>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</si>
  <si>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</si>
  <si>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</si>
  <si>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</si>
  <si>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</si>
  <si>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</si>
  <si>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</si>
  <si>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</si>
  <si>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</si>
  <si>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</si>
  <si>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</si>
  <si>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</si>
  <si>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</si>
  <si>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</si>
  <si>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</si>
  <si>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</si>
  <si>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</si>
  <si>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</si>
  <si>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</si>
  <si>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</si>
  <si>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</si>
  <si>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</si>
  <si>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</si>
  <si>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</si>
  <si>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</si>
  <si>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</si>
  <si>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</si>
  <si>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</si>
  <si>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</si>
  <si>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</si>
  <si>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</si>
  <si>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</si>
  <si>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</si>
  <si>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</si>
  <si>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</si>
  <si>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</si>
  <si>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</si>
  <si>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</si>
  <si>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</si>
  <si>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</si>
  <si>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</si>
  <si>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</si>
  <si>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</si>
  <si>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</si>
  <si>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</si>
  <si>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</si>
  <si>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</si>
  <si>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</si>
  <si>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</si>
  <si>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</si>
  <si>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</si>
  <si>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</si>
  <si>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</si>
  <si>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</si>
  <si>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</si>
  <si>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</si>
  <si>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</si>
  <si>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</si>
  <si>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</si>
  <si>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</si>
  <si>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</si>
  <si>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</si>
  <si>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</si>
  <si>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</si>
  <si>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</si>
  <si>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</si>
  <si>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</si>
  <si>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</si>
  <si>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</si>
  <si>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</si>
  <si>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</si>
  <si>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</si>
  <si>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</si>
  <si>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</si>
  <si>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</si>
  <si>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</si>
  <si>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</si>
  <si>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</si>
  <si>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</si>
  <si>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</si>
  <si>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</si>
  <si>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</si>
  <si>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</si>
  <si>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</si>
  <si>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</si>
  <si>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</si>
  <si>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</si>
  <si>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</si>
  <si>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</si>
  <si>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</si>
  <si>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</si>
  <si>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</si>
  <si>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</si>
  <si>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</si>
  <si>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</si>
  <si>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</si>
  <si>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</si>
  <si>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</si>
  <si>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</si>
  <si>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</si>
  <si>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</si>
  <si>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</si>
  <si>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</si>
  <si>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</si>
  <si>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</si>
  <si>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</si>
  <si>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</si>
  <si>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</si>
  <si>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</si>
  <si>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</si>
  <si>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</si>
  <si>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</si>
  <si>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</si>
  <si>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</si>
  <si>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</si>
  <si>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</si>
  <si>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</si>
  <si>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</si>
  <si>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</si>
  <si>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</si>
  <si>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</si>
  <si>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</si>
  <si>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</si>
  <si>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</si>
  <si>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</si>
  <si>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</si>
  <si>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</si>
  <si>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</si>
  <si>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</si>
  <si>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</si>
  <si>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</si>
  <si>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</si>
  <si>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</si>
  <si>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</si>
  <si>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</si>
  <si>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</si>
  <si>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</si>
  <si>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</si>
  <si>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</si>
  <si>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</si>
  <si>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</si>
  <si>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</si>
  <si>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</si>
  <si>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</si>
  <si>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</si>
  <si>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</si>
  <si>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</si>
  <si>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</si>
  <si>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</si>
  <si>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</si>
  <si>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</si>
  <si>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</si>
  <si>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</si>
  <si>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</si>
  <si>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</si>
  <si>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</si>
  <si>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</si>
  <si>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</si>
  <si>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</si>
  <si>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</si>
  <si>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</si>
  <si>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</si>
  <si>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</si>
  <si>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</si>
  <si>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</si>
  <si>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</si>
  <si>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</si>
  <si>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</si>
  <si>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</si>
  <si>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</si>
  <si>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</si>
  <si>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</si>
  <si>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</si>
  <si>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</si>
  <si>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</si>
  <si>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</si>
  <si>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[0.404626]</t>
  </si>
  <si>
    <t>1 [0.809815]</t>
  </si>
  <si>
    <t>1 [1.216478]</t>
  </si>
  <si>
    <t>1 [1.624926]</t>
  </si>
  <si>
    <t>1 [2.029404]</t>
  </si>
  <si>
    <t>1 [2.434827]</t>
  </si>
  <si>
    <t>1 [2.841028]</t>
  </si>
  <si>
    <t>1 [3.246991]</t>
  </si>
  <si>
    <t>1 [3.656254]</t>
  </si>
  <si>
    <t>1 [4.061479]</t>
  </si>
  <si>
    <t>1 [4.464794]</t>
  </si>
  <si>
    <t>1 [4.872641]</t>
  </si>
  <si>
    <t>1 [5.277861]</t>
  </si>
  <si>
    <t>1 [5.685098]</t>
  </si>
  <si>
    <t>1 [6.092833]</t>
  </si>
  <si>
    <t>1 [6.498019]</t>
  </si>
  <si>
    <t>1 [6.903255]</t>
  </si>
  <si>
    <t>1 [7.312947]</t>
  </si>
  <si>
    <t>1 [7.717625]</t>
  </si>
  <si>
    <t>1 [8.125416]</t>
  </si>
  <si>
    <t>1 [8.529772]</t>
  </si>
  <si>
    <t>1 [8.933550]</t>
  </si>
  <si>
    <t>1 [9.342937]</t>
  </si>
  <si>
    <t>1 [9.749650]</t>
  </si>
  <si>
    <t>1 [10.156643]</t>
  </si>
  <si>
    <t>1 [10.561578]</t>
  </si>
  <si>
    <t>1 [10.965985]</t>
  </si>
  <si>
    <t>1 [11.378579]</t>
  </si>
  <si>
    <t>1 [11.779290]</t>
  </si>
  <si>
    <t>1 [12.187109]</t>
  </si>
  <si>
    <t>1 [12.601727]</t>
  </si>
  <si>
    <t>1 [13.003086]</t>
  </si>
  <si>
    <t>1 [13.404513]</t>
  </si>
  <si>
    <t>1 [13.810013]</t>
  </si>
  <si>
    <t>1 [14.214456]</t>
  </si>
  <si>
    <t>1 [14.623486]</t>
  </si>
  <si>
    <t>1 [15.027033]</t>
  </si>
  <si>
    <t>1 [15.437229]</t>
  </si>
  <si>
    <t>1 [15.841935]</t>
  </si>
  <si>
    <t>1 [16.245156]</t>
  </si>
  <si>
    <t>1 [16.653189]</t>
  </si>
  <si>
    <t>1 [17.059663]</t>
  </si>
  <si>
    <t>1 [17.467096]</t>
  </si>
  <si>
    <t>1 [17.872891]</t>
  </si>
  <si>
    <t>1 [18.278686]</t>
  </si>
  <si>
    <t>1 [18.683457]</t>
  </si>
  <si>
    <t>1 [19.090487]</t>
  </si>
  <si>
    <t>1 [19.503631]</t>
  </si>
  <si>
    <t>1 [19.907669]</t>
  </si>
  <si>
    <t>1 [20.311344]</t>
  </si>
  <si>
    <t>1 [20.717577]</t>
  </si>
  <si>
    <t>1 [21.120907]</t>
  </si>
  <si>
    <t>1 [21.529670]</t>
  </si>
  <si>
    <t>1 [21.935781]</t>
  </si>
  <si>
    <t>1 [22.340891]</t>
  </si>
  <si>
    <t>1 [22.748540]</t>
  </si>
  <si>
    <t>1 [23.155733]</t>
  </si>
  <si>
    <t>1 [23.560351]</t>
  </si>
  <si>
    <t>1 [23.966551]</t>
  </si>
  <si>
    <t>1 [24.372768]</t>
  </si>
  <si>
    <t>1 [24.777599]</t>
  </si>
  <si>
    <t>1 [25.206214]</t>
  </si>
  <si>
    <t>1 [25.607499]</t>
  </si>
  <si>
    <t>1 [26.015810]</t>
  </si>
  <si>
    <t>1 [26.412416]</t>
  </si>
  <si>
    <t>1 [26.837122]</t>
  </si>
  <si>
    <t>1 [27.229110]</t>
  </si>
  <si>
    <t>1 [27.642079]</t>
  </si>
  <si>
    <t>1 [28.048708]</t>
  </si>
  <si>
    <t>1 [28.451568]</t>
  </si>
  <si>
    <t>1 [28.860566]</t>
  </si>
  <si>
    <t>1 [29.270276]</t>
  </si>
  <si>
    <t>1 [29.677640]</t>
  </si>
  <si>
    <t>2 [30.081278]</t>
  </si>
  <si>
    <t>2 [30.704992]</t>
  </si>
  <si>
    <t>2 [31.065156]</t>
  </si>
  <si>
    <t>2 [31.463236]</t>
  </si>
  <si>
    <t>2 [31.839042]</t>
  </si>
  <si>
    <t>2 [32.210717]</t>
  </si>
  <si>
    <t>2 [32.607853]</t>
  </si>
  <si>
    <t>2 [33.021795]</t>
  </si>
  <si>
    <t>2 [33.428378]</t>
  </si>
  <si>
    <t>2 [33.828684]</t>
  </si>
  <si>
    <t>2 [34.239642]</t>
  </si>
  <si>
    <t>2 [34.630495]</t>
  </si>
  <si>
    <t>2 [35.030671]</t>
  </si>
  <si>
    <t>2 [35.439207]</t>
  </si>
  <si>
    <t>2 [35.844424]</t>
  </si>
  <si>
    <t>2 [36.268674]</t>
  </si>
  <si>
    <t>2 [36.678636]</t>
  </si>
  <si>
    <t>2 [37.064567]</t>
  </si>
  <si>
    <t>2 [37.486363]</t>
  </si>
  <si>
    <t>2 [37.883448]</t>
  </si>
  <si>
    <t>2 [38.306219]</t>
  </si>
  <si>
    <t>2 [38.690591]</t>
  </si>
  <si>
    <t>2 [39.113510]</t>
  </si>
  <si>
    <t>2 [39.527014]</t>
  </si>
  <si>
    <t>2 [39.918999]</t>
  </si>
  <si>
    <t>2 [40.334241]</t>
  </si>
  <si>
    <t>2 [40.737032]</t>
  </si>
  <si>
    <t>2 [41.147031]</t>
  </si>
  <si>
    <t>2 [41.543928]</t>
  </si>
  <si>
    <t>2 [41.960696]</t>
  </si>
  <si>
    <t>2 [42.358904]</t>
  </si>
  <si>
    <t>2 [42.771295]</t>
  </si>
  <si>
    <t>2 [43.179519]</t>
  </si>
  <si>
    <t>2 [43.583726]</t>
  </si>
  <si>
    <t>2 [43.967410]</t>
  </si>
  <si>
    <t>2 [44.394057]</t>
  </si>
  <si>
    <t>2 [44.798924]</t>
  </si>
  <si>
    <t>2 [45.202337]</t>
  </si>
  <si>
    <t>2 [45.606284]</t>
  </si>
  <si>
    <t>2 [46.015287]</t>
  </si>
  <si>
    <t>2 [46.431896]</t>
  </si>
  <si>
    <t>2 [46.819322]</t>
  </si>
  <si>
    <t>2 [47.232950]</t>
  </si>
  <si>
    <t>2 [47.629055]</t>
  </si>
  <si>
    <t>2 [48.052827]</t>
  </si>
  <si>
    <t>2 [48.454783]</t>
  </si>
  <si>
    <t>2 [48.848283]</t>
  </si>
  <si>
    <t>2 [49.248975]</t>
  </si>
  <si>
    <t>2 [49.664688]</t>
  </si>
  <si>
    <t>2 [50.084552]</t>
  </si>
  <si>
    <t>2 [50.483368]</t>
  </si>
  <si>
    <t>2 [50.898860]</t>
  </si>
  <si>
    <t>2 [51.302743]</t>
  </si>
  <si>
    <t>2 [51.711421]</t>
  </si>
  <si>
    <t>2 [52.110652]</t>
  </si>
  <si>
    <t>2 [52.511025]</t>
  </si>
  <si>
    <t>2 [52.925802]</t>
  </si>
  <si>
    <t>2 [53.334255]</t>
  </si>
  <si>
    <t>2 [53.735812]</t>
  </si>
  <si>
    <t>2 [54.144132]</t>
  </si>
  <si>
    <t>2 [54.547038]</t>
  </si>
  <si>
    <t>2 [54.945103]</t>
  </si>
  <si>
    <t>2 [55.366498]</t>
  </si>
  <si>
    <t>2 [55.766587]</t>
  </si>
  <si>
    <t>2 [56.170083]</t>
  </si>
  <si>
    <t>2 [56.569676]</t>
  </si>
  <si>
    <t>2 [56.970166]</t>
  </si>
  <si>
    <t>2 [57.397200]</t>
  </si>
  <si>
    <t>2 [57.802088]</t>
  </si>
  <si>
    <t>2 [58.187122]</t>
  </si>
  <si>
    <t>2 [58.598710]</t>
  </si>
  <si>
    <t>2 [58.996941]</t>
  </si>
  <si>
    <t>2 [59.408713]</t>
  </si>
  <si>
    <t>2 [59.823008]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</si>
  <si>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</si>
  <si>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</si>
  <si>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</si>
  <si>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</si>
  <si>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</si>
  <si>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</si>
  <si>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</si>
  <si>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</si>
  <si>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</si>
  <si>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</si>
  <si>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</si>
  <si>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</si>
  <si>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</si>
  <si>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</si>
  <si>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许忠孝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</si>
</sst>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  <xf numFmtId="0" fontId="35" fillId="0" borderId="32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32.543599999999998</c:v>
                </c:pt>
                <c:pt idx="1">
                  <c:v>32.947099999999999</c:v>
                </c:pt>
                <c:pt idx="2">
                  <c:v>33.648200000000003</c:v>
                </c:pt>
                <c:pt idx="3">
                  <c:v>34.010899999999999</c:v>
                </c:pt>
                <c:pt idx="4">
                  <c:v>67.492699999999999</c:v>
                </c:pt>
                <c:pt idx="5">
                  <c:v>72.017600000000002</c:v>
                </c:pt>
                <c:pt idx="6">
                  <c:v>15.1601</c:v>
                </c:pt>
                <c:pt idx="7">
                  <c:v>69.287199999999999</c:v>
                </c:pt>
                <c:pt idx="8">
                  <c:v>15.728899999999999</c:v>
                </c:pt>
                <c:pt idx="9">
                  <c:v>19.638500000000001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0.5234584152755386</c:v>
                </c:pt>
                <c:pt idx="1">
                  <c:v>0.31121240494743158</c:v>
                </c:pt>
                <c:pt idx="2">
                  <c:v>0.16532917977702996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18390</c:v>
                </c:pt>
                <c:pt idx="7">
                  <c:v>0</c:v>
                </c:pt>
                <c:pt idx="8">
                  <c:v>28300</c:v>
                </c:pt>
                <c:pt idx="9">
                  <c:v>0</c:v>
                </c:pt>
                <c:pt idx="10">
                  <c:v>0</c:v>
                </c:pt>
                <c:pt idx="11">
                  <c:v>42893</c:v>
                </c:pt>
                <c:pt idx="12">
                  <c:v>0</c:v>
                </c:pt>
                <c:pt idx="13">
                  <c:v>49596</c:v>
                </c:pt>
                <c:pt idx="14">
                  <c:v>0</c:v>
                </c:pt>
                <c:pt idx="15">
                  <c:v>0</c:v>
                </c:pt>
                <c:pt idx="16">
                  <c:v>46359</c:v>
                </c:pt>
                <c:pt idx="17">
                  <c:v>0</c:v>
                </c:pt>
                <c:pt idx="18">
                  <c:v>0</c:v>
                </c:pt>
                <c:pt idx="19">
                  <c:v>55083</c:v>
                </c:pt>
                <c:pt idx="20">
                  <c:v>0</c:v>
                </c:pt>
                <c:pt idx="21">
                  <c:v>61554</c:v>
                </c:pt>
                <c:pt idx="22">
                  <c:v>0</c:v>
                </c:pt>
                <c:pt idx="23">
                  <c:v>0</c:v>
                </c:pt>
                <c:pt idx="24">
                  <c:v>73984</c:v>
                </c:pt>
                <c:pt idx="25">
                  <c:v>0</c:v>
                </c:pt>
                <c:pt idx="26">
                  <c:v>90400</c:v>
                </c:pt>
                <c:pt idx="27">
                  <c:v>0</c:v>
                </c:pt>
                <c:pt idx="28">
                  <c:v>0</c:v>
                </c:pt>
                <c:pt idx="29">
                  <c:v>87663</c:v>
                </c:pt>
                <c:pt idx="30">
                  <c:v>0</c:v>
                </c:pt>
                <c:pt idx="31">
                  <c:v>102197</c:v>
                </c:pt>
                <c:pt idx="32">
                  <c:v>0</c:v>
                </c:pt>
                <c:pt idx="33">
                  <c:v>0</c:v>
                </c:pt>
                <c:pt idx="34">
                  <c:v>124527</c:v>
                </c:pt>
                <c:pt idx="35">
                  <c:v>0</c:v>
                </c:pt>
                <c:pt idx="36">
                  <c:v>0</c:v>
                </c:pt>
                <c:pt idx="37">
                  <c:v>135121</c:v>
                </c:pt>
                <c:pt idx="38">
                  <c:v>0</c:v>
                </c:pt>
                <c:pt idx="39">
                  <c:v>140675</c:v>
                </c:pt>
                <c:pt idx="40">
                  <c:v>0</c:v>
                </c:pt>
                <c:pt idx="41">
                  <c:v>0</c:v>
                </c:pt>
                <c:pt idx="42">
                  <c:v>153708</c:v>
                </c:pt>
                <c:pt idx="43">
                  <c:v>0</c:v>
                </c:pt>
                <c:pt idx="44">
                  <c:v>157943</c:v>
                </c:pt>
                <c:pt idx="45">
                  <c:v>0</c:v>
                </c:pt>
                <c:pt idx="46">
                  <c:v>0</c:v>
                </c:pt>
                <c:pt idx="47">
                  <c:v>162099</c:v>
                </c:pt>
                <c:pt idx="48">
                  <c:v>0</c:v>
                </c:pt>
                <c:pt idx="49">
                  <c:v>174570</c:v>
                </c:pt>
                <c:pt idx="50">
                  <c:v>0</c:v>
                </c:pt>
                <c:pt idx="51">
                  <c:v>0</c:v>
                </c:pt>
                <c:pt idx="52">
                  <c:v>167689</c:v>
                </c:pt>
                <c:pt idx="53">
                  <c:v>0</c:v>
                </c:pt>
                <c:pt idx="54">
                  <c:v>0</c:v>
                </c:pt>
                <c:pt idx="55">
                  <c:v>148014</c:v>
                </c:pt>
                <c:pt idx="56">
                  <c:v>0</c:v>
                </c:pt>
                <c:pt idx="57">
                  <c:v>166810</c:v>
                </c:pt>
                <c:pt idx="58">
                  <c:v>0</c:v>
                </c:pt>
                <c:pt idx="59">
                  <c:v>0</c:v>
                </c:pt>
                <c:pt idx="60">
                  <c:v>168063</c:v>
                </c:pt>
                <c:pt idx="61">
                  <c:v>0</c:v>
                </c:pt>
                <c:pt idx="62">
                  <c:v>178731</c:v>
                </c:pt>
                <c:pt idx="63">
                  <c:v>0</c:v>
                </c:pt>
                <c:pt idx="64">
                  <c:v>0</c:v>
                </c:pt>
                <c:pt idx="65">
                  <c:v>163890</c:v>
                </c:pt>
                <c:pt idx="66">
                  <c:v>0</c:v>
                </c:pt>
                <c:pt idx="67">
                  <c:v>156478</c:v>
                </c:pt>
                <c:pt idx="68">
                  <c:v>0</c:v>
                </c:pt>
                <c:pt idx="69">
                  <c:v>0</c:v>
                </c:pt>
                <c:pt idx="70">
                  <c:v>145311</c:v>
                </c:pt>
                <c:pt idx="71">
                  <c:v>0</c:v>
                </c:pt>
                <c:pt idx="72">
                  <c:v>0</c:v>
                </c:pt>
                <c:pt idx="73">
                  <c:v>138433</c:v>
                </c:pt>
                <c:pt idx="74">
                  <c:v>0</c:v>
                </c:pt>
                <c:pt idx="75">
                  <c:v>146488</c:v>
                </c:pt>
                <c:pt idx="76">
                  <c:v>0</c:v>
                </c:pt>
                <c:pt idx="77">
                  <c:v>0</c:v>
                </c:pt>
                <c:pt idx="78">
                  <c:v>150677</c:v>
                </c:pt>
                <c:pt idx="79">
                  <c:v>0</c:v>
                </c:pt>
                <c:pt idx="80">
                  <c:v>161453</c:v>
                </c:pt>
                <c:pt idx="81">
                  <c:v>0</c:v>
                </c:pt>
                <c:pt idx="82">
                  <c:v>0</c:v>
                </c:pt>
                <c:pt idx="83">
                  <c:v>165345</c:v>
                </c:pt>
                <c:pt idx="84">
                  <c:v>0</c:v>
                </c:pt>
                <c:pt idx="85">
                  <c:v>0</c:v>
                </c:pt>
                <c:pt idx="86">
                  <c:v>147543</c:v>
                </c:pt>
                <c:pt idx="87">
                  <c:v>0</c:v>
                </c:pt>
                <c:pt idx="88">
                  <c:v>134215</c:v>
                </c:pt>
                <c:pt idx="89">
                  <c:v>0</c:v>
                </c:pt>
                <c:pt idx="90">
                  <c:v>0</c:v>
                </c:pt>
                <c:pt idx="91">
                  <c:v>135709</c:v>
                </c:pt>
                <c:pt idx="92">
                  <c:v>0</c:v>
                </c:pt>
                <c:pt idx="93">
                  <c:v>122214</c:v>
                </c:pt>
                <c:pt idx="94">
                  <c:v>0</c:v>
                </c:pt>
                <c:pt idx="95">
                  <c:v>0</c:v>
                </c:pt>
                <c:pt idx="96">
                  <c:v>107978</c:v>
                </c:pt>
                <c:pt idx="97">
                  <c:v>0</c:v>
                </c:pt>
                <c:pt idx="98">
                  <c:v>94232</c:v>
                </c:pt>
                <c:pt idx="99">
                  <c:v>0</c:v>
                </c:pt>
                <c:pt idx="100">
                  <c:v>0</c:v>
                </c:pt>
                <c:pt idx="101">
                  <c:v>75759</c:v>
                </c:pt>
                <c:pt idx="102">
                  <c:v>0</c:v>
                </c:pt>
                <c:pt idx="103">
                  <c:v>0</c:v>
                </c:pt>
                <c:pt idx="104">
                  <c:v>66374</c:v>
                </c:pt>
                <c:pt idx="105">
                  <c:v>0</c:v>
                </c:pt>
                <c:pt idx="106">
                  <c:v>63528</c:v>
                </c:pt>
                <c:pt idx="107">
                  <c:v>0</c:v>
                </c:pt>
                <c:pt idx="108">
                  <c:v>0</c:v>
                </c:pt>
                <c:pt idx="109">
                  <c:v>55428</c:v>
                </c:pt>
                <c:pt idx="110">
                  <c:v>0</c:v>
                </c:pt>
                <c:pt idx="111">
                  <c:v>50242</c:v>
                </c:pt>
                <c:pt idx="112">
                  <c:v>0</c:v>
                </c:pt>
                <c:pt idx="113">
                  <c:v>0</c:v>
                </c:pt>
                <c:pt idx="114">
                  <c:v>51361</c:v>
                </c:pt>
                <c:pt idx="115">
                  <c:v>0</c:v>
                </c:pt>
                <c:pt idx="116">
                  <c:v>46714</c:v>
                </c:pt>
                <c:pt idx="117">
                  <c:v>0</c:v>
                </c:pt>
                <c:pt idx="118">
                  <c:v>0</c:v>
                </c:pt>
                <c:pt idx="119">
                  <c:v>47062</c:v>
                </c:pt>
                <c:pt idx="120">
                  <c:v>0</c:v>
                </c:pt>
                <c:pt idx="121">
                  <c:v>0</c:v>
                </c:pt>
                <c:pt idx="122">
                  <c:v>43483</c:v>
                </c:pt>
                <c:pt idx="123">
                  <c:v>0</c:v>
                </c:pt>
                <c:pt idx="124">
                  <c:v>38466</c:v>
                </c:pt>
                <c:pt idx="125">
                  <c:v>0</c:v>
                </c:pt>
                <c:pt idx="126">
                  <c:v>0</c:v>
                </c:pt>
                <c:pt idx="127">
                  <c:v>36135</c:v>
                </c:pt>
                <c:pt idx="128">
                  <c:v>0</c:v>
                </c:pt>
                <c:pt idx="129">
                  <c:v>32053</c:v>
                </c:pt>
                <c:pt idx="130">
                  <c:v>0</c:v>
                </c:pt>
                <c:pt idx="131">
                  <c:v>0</c:v>
                </c:pt>
                <c:pt idx="132">
                  <c:v>32030</c:v>
                </c:pt>
                <c:pt idx="133">
                  <c:v>0</c:v>
                </c:pt>
                <c:pt idx="134">
                  <c:v>26668</c:v>
                </c:pt>
                <c:pt idx="135">
                  <c:v>0</c:v>
                </c:pt>
                <c:pt idx="136">
                  <c:v>0</c:v>
                </c:pt>
                <c:pt idx="137">
                  <c:v>23989</c:v>
                </c:pt>
                <c:pt idx="138">
                  <c:v>0</c:v>
                </c:pt>
                <c:pt idx="139">
                  <c:v>0</c:v>
                </c:pt>
                <c:pt idx="140">
                  <c:v>21854</c:v>
                </c:pt>
                <c:pt idx="141">
                  <c:v>0</c:v>
                </c:pt>
                <c:pt idx="142">
                  <c:v>21103</c:v>
                </c:pt>
                <c:pt idx="143">
                  <c:v>0</c:v>
                </c:pt>
                <c:pt idx="144">
                  <c:v>0</c:v>
                </c:pt>
                <c:pt idx="145">
                  <c:v>16724</c:v>
                </c:pt>
                <c:pt idx="146">
                  <c:v>0</c:v>
                </c:pt>
                <c:pt idx="147">
                  <c:v>12001</c:v>
                </c:pt>
                <c:pt idx="148">
                  <c:v>0</c:v>
                </c:pt>
                <c:pt idx="149">
                  <c:v>0</c:v>
                </c:pt>
                <c:pt idx="150">
                  <c:v>11853</c:v>
                </c:pt>
                <c:pt idx="151">
                  <c:v>0</c:v>
                </c:pt>
                <c:pt idx="152">
                  <c:v>8738</c:v>
                </c:pt>
                <c:pt idx="153">
                  <c:v>0</c:v>
                </c:pt>
                <c:pt idx="154">
                  <c:v>0</c:v>
                </c:pt>
                <c:pt idx="155">
                  <c:v>6633</c:v>
                </c:pt>
                <c:pt idx="156">
                  <c:v>0</c:v>
                </c:pt>
                <c:pt idx="157">
                  <c:v>0</c:v>
                </c:pt>
                <c:pt idx="158">
                  <c:v>5903</c:v>
                </c:pt>
                <c:pt idx="159">
                  <c:v>0</c:v>
                </c:pt>
                <c:pt idx="160">
                  <c:v>5043</c:v>
                </c:pt>
                <c:pt idx="161">
                  <c:v>0</c:v>
                </c:pt>
                <c:pt idx="162">
                  <c:v>0</c:v>
                </c:pt>
                <c:pt idx="163">
                  <c:v>4814</c:v>
                </c:pt>
                <c:pt idx="164">
                  <c:v>0</c:v>
                </c:pt>
                <c:pt idx="165">
                  <c:v>2749</c:v>
                </c:pt>
                <c:pt idx="166">
                  <c:v>0</c:v>
                </c:pt>
                <c:pt idx="167">
                  <c:v>0</c:v>
                </c:pt>
                <c:pt idx="168">
                  <c:v>876</c:v>
                </c:pt>
                <c:pt idx="169">
                  <c:v>0</c:v>
                </c:pt>
                <c:pt idx="170">
                  <c:v>0</c:v>
                </c:pt>
                <c:pt idx="171">
                  <c:v>696</c:v>
                </c:pt>
                <c:pt idx="172">
                  <c:v>0</c:v>
                </c:pt>
                <c:pt idx="173">
                  <c:v>1354</c:v>
                </c:pt>
                <c:pt idx="174">
                  <c:v>0</c:v>
                </c:pt>
                <c:pt idx="175">
                  <c:v>0</c:v>
                </c:pt>
                <c:pt idx="176">
                  <c:v>902</c:v>
                </c:pt>
                <c:pt idx="177">
                  <c:v>0</c:v>
                </c:pt>
                <c:pt idx="178">
                  <c:v>424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  <c:pt idx="74">
                  <c:v>2.6845499999999998</c:v>
                </c:pt>
                <c:pt idx="75">
                  <c:v>2.7113399999999999</c:v>
                </c:pt>
                <c:pt idx="76">
                  <c:v>2.73488</c:v>
                </c:pt>
                <c:pt idx="77">
                  <c:v>2.7611699999999999</c:v>
                </c:pt>
                <c:pt idx="78">
                  <c:v>2.7864399999999998</c:v>
                </c:pt>
                <c:pt idx="79">
                  <c:v>2.81325</c:v>
                </c:pt>
                <c:pt idx="80">
                  <c:v>2.8399200000000002</c:v>
                </c:pt>
                <c:pt idx="81">
                  <c:v>2.86686</c:v>
                </c:pt>
                <c:pt idx="82">
                  <c:v>2.89567</c:v>
                </c:pt>
                <c:pt idx="83">
                  <c:v>2.9274200000000001</c:v>
                </c:pt>
                <c:pt idx="84">
                  <c:v>2.9554</c:v>
                </c:pt>
                <c:pt idx="85">
                  <c:v>2.97831</c:v>
                </c:pt>
                <c:pt idx="86">
                  <c:v>2.9967500000000005</c:v>
                </c:pt>
                <c:pt idx="87">
                  <c:v>3.0149900000000001</c:v>
                </c:pt>
                <c:pt idx="88">
                  <c:v>3.0337199999999998</c:v>
                </c:pt>
                <c:pt idx="89">
                  <c:v>3.0525500000000001</c:v>
                </c:pt>
                <c:pt idx="90">
                  <c:v>3.0697299999999998</c:v>
                </c:pt>
                <c:pt idx="91">
                  <c:v>3.0849799999999998</c:v>
                </c:pt>
                <c:pt idx="92">
                  <c:v>3.09903</c:v>
                </c:pt>
                <c:pt idx="93">
                  <c:v>3.1140600000000003</c:v>
                </c:pt>
                <c:pt idx="94">
                  <c:v>3.1312199999999999</c:v>
                </c:pt>
                <c:pt idx="95">
                  <c:v>3.1492399999999998</c:v>
                </c:pt>
                <c:pt idx="96">
                  <c:v>3.16859</c:v>
                </c:pt>
                <c:pt idx="97">
                  <c:v>3.1887700000000003</c:v>
                </c:pt>
                <c:pt idx="98">
                  <c:v>3.2058900000000001</c:v>
                </c:pt>
                <c:pt idx="99">
                  <c:v>3.2194499999999997</c:v>
                </c:pt>
                <c:pt idx="100">
                  <c:v>3.2306499999999998</c:v>
                </c:pt>
                <c:pt idx="101">
                  <c:v>3.2385199999999998</c:v>
                </c:pt>
                <c:pt idx="102">
                  <c:v>3.2419199999999999</c:v>
                </c:pt>
                <c:pt idx="103">
                  <c:v>3.2471800000000002</c:v>
                </c:pt>
                <c:pt idx="104">
                  <c:v>3.2519</c:v>
                </c:pt>
                <c:pt idx="105">
                  <c:v>3.2564599999999997</c:v>
                </c:pt>
                <c:pt idx="106">
                  <c:v>3.2571899999999996</c:v>
                </c:pt>
                <c:pt idx="107">
                  <c:v>3.2521800000000001</c:v>
                </c:pt>
                <c:pt idx="108">
                  <c:v>3.2432400000000001</c:v>
                </c:pt>
                <c:pt idx="109">
                  <c:v>3.23583</c:v>
                </c:pt>
                <c:pt idx="110">
                  <c:v>3.2267000000000001</c:v>
                </c:pt>
                <c:pt idx="111">
                  <c:v>3.2159</c:v>
                </c:pt>
                <c:pt idx="112">
                  <c:v>3.2064199999999996</c:v>
                </c:pt>
                <c:pt idx="113">
                  <c:v>3.1962700000000002</c:v>
                </c:pt>
                <c:pt idx="114">
                  <c:v>3.1844600000000001</c:v>
                </c:pt>
                <c:pt idx="115">
                  <c:v>3.1744599999999998</c:v>
                </c:pt>
                <c:pt idx="116">
                  <c:v>3.1688899999999998</c:v>
                </c:pt>
                <c:pt idx="117">
                  <c:v>3.1640200000000003</c:v>
                </c:pt>
                <c:pt idx="118">
                  <c:v>3.15787</c:v>
                </c:pt>
                <c:pt idx="119">
                  <c:v>3.1497900000000003</c:v>
                </c:pt>
                <c:pt idx="120">
                  <c:v>3.1424600000000003</c:v>
                </c:pt>
                <c:pt idx="121">
                  <c:v>3.1330299999999998</c:v>
                </c:pt>
                <c:pt idx="122">
                  <c:v>3.1217499999999996</c:v>
                </c:pt>
                <c:pt idx="123">
                  <c:v>3.1107100000000001</c:v>
                </c:pt>
                <c:pt idx="124">
                  <c:v>3.1016399999999997</c:v>
                </c:pt>
                <c:pt idx="125">
                  <c:v>3.0933699999999997</c:v>
                </c:pt>
                <c:pt idx="126">
                  <c:v>3.0863100000000001</c:v>
                </c:pt>
                <c:pt idx="127">
                  <c:v>3.0823299999999998</c:v>
                </c:pt>
                <c:pt idx="128">
                  <c:v>3.07361</c:v>
                </c:pt>
                <c:pt idx="129">
                  <c:v>3.06325</c:v>
                </c:pt>
                <c:pt idx="130">
                  <c:v>3.0515500000000002</c:v>
                </c:pt>
                <c:pt idx="131">
                  <c:v>3.0444100000000001</c:v>
                </c:pt>
                <c:pt idx="132">
                  <c:v>3.0420999999999996</c:v>
                </c:pt>
                <c:pt idx="133">
                  <c:v>3.0395699999999999</c:v>
                </c:pt>
                <c:pt idx="134">
                  <c:v>3.0355799999999999</c:v>
                </c:pt>
                <c:pt idx="135">
                  <c:v>3.0365500000000001</c:v>
                </c:pt>
                <c:pt idx="136">
                  <c:v>3.0435400000000001</c:v>
                </c:pt>
                <c:pt idx="137">
                  <c:v>3.0482500000000003</c:v>
                </c:pt>
                <c:pt idx="138">
                  <c:v>3.0548199999999999</c:v>
                </c:pt>
                <c:pt idx="139">
                  <c:v>3.06697</c:v>
                </c:pt>
                <c:pt idx="140">
                  <c:v>3.08006</c:v>
                </c:pt>
                <c:pt idx="141">
                  <c:v>3.0882500000000004</c:v>
                </c:pt>
                <c:pt idx="142">
                  <c:v>3.1011800000000003</c:v>
                </c:pt>
                <c:pt idx="143">
                  <c:v>3.1126800000000001</c:v>
                </c:pt>
                <c:pt idx="144">
                  <c:v>3.1185800000000001</c:v>
                </c:pt>
                <c:pt idx="145">
                  <c:v>3.1234999999999999</c:v>
                </c:pt>
                <c:pt idx="146">
                  <c:v>3.1217199999999998</c:v>
                </c:pt>
                <c:pt idx="147">
                  <c:v>3.0989399999999998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  <c:pt idx="74">
                  <c:v>39.662100000000002</c:v>
                </c:pt>
                <c:pt idx="75">
                  <c:v>39.280200000000001</c:v>
                </c:pt>
                <c:pt idx="76">
                  <c:v>38.9512</c:v>
                </c:pt>
                <c:pt idx="77">
                  <c:v>38.616799999999998</c:v>
                </c:pt>
                <c:pt idx="78">
                  <c:v>38.340000000000003</c:v>
                </c:pt>
                <c:pt idx="79">
                  <c:v>38.068600000000004</c:v>
                </c:pt>
                <c:pt idx="80">
                  <c:v>37.828400000000002</c:v>
                </c:pt>
                <c:pt idx="81">
                  <c:v>37.611600000000003</c:v>
                </c:pt>
                <c:pt idx="82">
                  <c:v>37.312100000000001</c:v>
                </c:pt>
                <c:pt idx="83">
                  <c:v>36.930099999999996</c:v>
                </c:pt>
                <c:pt idx="84">
                  <c:v>36.649799999999999</c:v>
                </c:pt>
                <c:pt idx="85">
                  <c:v>36.426400000000001</c:v>
                </c:pt>
                <c:pt idx="86">
                  <c:v>36.212400000000002</c:v>
                </c:pt>
                <c:pt idx="87">
                  <c:v>35.989399999999996</c:v>
                </c:pt>
                <c:pt idx="88">
                  <c:v>35.760300000000001</c:v>
                </c:pt>
                <c:pt idx="89">
                  <c:v>35.547200000000004</c:v>
                </c:pt>
                <c:pt idx="90">
                  <c:v>35.389499999999998</c:v>
                </c:pt>
                <c:pt idx="91">
                  <c:v>35.296499999999995</c:v>
                </c:pt>
                <c:pt idx="92">
                  <c:v>35.250500000000002</c:v>
                </c:pt>
                <c:pt idx="93">
                  <c:v>35.246600000000001</c:v>
                </c:pt>
                <c:pt idx="94">
                  <c:v>35.231899999999996</c:v>
                </c:pt>
                <c:pt idx="95">
                  <c:v>35.216500000000003</c:v>
                </c:pt>
                <c:pt idx="96">
                  <c:v>35.195799999999998</c:v>
                </c:pt>
                <c:pt idx="97">
                  <c:v>35.189300000000003</c:v>
                </c:pt>
                <c:pt idx="98">
                  <c:v>35.269099999999995</c:v>
                </c:pt>
                <c:pt idx="99">
                  <c:v>35.396499999999996</c:v>
                </c:pt>
                <c:pt idx="100">
                  <c:v>35.5899</c:v>
                </c:pt>
                <c:pt idx="101">
                  <c:v>35.844999999999999</c:v>
                </c:pt>
                <c:pt idx="102">
                  <c:v>36.0884</c:v>
                </c:pt>
                <c:pt idx="103">
                  <c:v>36.320500000000003</c:v>
                </c:pt>
                <c:pt idx="104">
                  <c:v>36.540700000000001</c:v>
                </c:pt>
                <c:pt idx="105">
                  <c:v>36.727900000000005</c:v>
                </c:pt>
                <c:pt idx="106">
                  <c:v>36.912800000000004</c:v>
                </c:pt>
                <c:pt idx="107">
                  <c:v>37.131799999999998</c:v>
                </c:pt>
                <c:pt idx="108">
                  <c:v>37.375300000000003</c:v>
                </c:pt>
                <c:pt idx="109">
                  <c:v>37.568600000000004</c:v>
                </c:pt>
                <c:pt idx="110">
                  <c:v>37.718600000000002</c:v>
                </c:pt>
                <c:pt idx="111">
                  <c:v>37.853300000000004</c:v>
                </c:pt>
                <c:pt idx="112">
                  <c:v>37.988999999999997</c:v>
                </c:pt>
                <c:pt idx="113">
                  <c:v>38.158299999999997</c:v>
                </c:pt>
                <c:pt idx="114">
                  <c:v>38.343400000000003</c:v>
                </c:pt>
                <c:pt idx="115">
                  <c:v>38.500799999999998</c:v>
                </c:pt>
                <c:pt idx="116">
                  <c:v>38.5959</c:v>
                </c:pt>
                <c:pt idx="117">
                  <c:v>38.649899999999995</c:v>
                </c:pt>
                <c:pt idx="118">
                  <c:v>38.6554</c:v>
                </c:pt>
                <c:pt idx="119">
                  <c:v>38.692700000000002</c:v>
                </c:pt>
                <c:pt idx="120">
                  <c:v>38.757200000000005</c:v>
                </c:pt>
                <c:pt idx="121">
                  <c:v>38.867100000000001</c:v>
                </c:pt>
                <c:pt idx="122">
                  <c:v>39.025300000000001</c:v>
                </c:pt>
                <c:pt idx="123">
                  <c:v>39.168399999999998</c:v>
                </c:pt>
                <c:pt idx="124">
                  <c:v>39.312399999999997</c:v>
                </c:pt>
                <c:pt idx="125">
                  <c:v>39.389400000000002</c:v>
                </c:pt>
                <c:pt idx="126">
                  <c:v>39.417499999999997</c:v>
                </c:pt>
                <c:pt idx="127">
                  <c:v>39.395599999999995</c:v>
                </c:pt>
                <c:pt idx="128">
                  <c:v>39.390700000000002</c:v>
                </c:pt>
                <c:pt idx="129">
                  <c:v>39.399699999999996</c:v>
                </c:pt>
                <c:pt idx="130">
                  <c:v>39.440300000000001</c:v>
                </c:pt>
                <c:pt idx="131">
                  <c:v>39.405200000000001</c:v>
                </c:pt>
                <c:pt idx="132">
                  <c:v>39.300699999999999</c:v>
                </c:pt>
                <c:pt idx="133">
                  <c:v>39.205199999999998</c:v>
                </c:pt>
                <c:pt idx="134">
                  <c:v>39.171700000000001</c:v>
                </c:pt>
                <c:pt idx="135">
                  <c:v>39.124199999999995</c:v>
                </c:pt>
                <c:pt idx="136">
                  <c:v>39.047199999999997</c:v>
                </c:pt>
                <c:pt idx="137">
                  <c:v>38.951500000000003</c:v>
                </c:pt>
                <c:pt idx="138">
                  <c:v>38.769799999999996</c:v>
                </c:pt>
                <c:pt idx="139">
                  <c:v>38.502399999999994</c:v>
                </c:pt>
                <c:pt idx="140">
                  <c:v>38.192599999999999</c:v>
                </c:pt>
                <c:pt idx="141">
                  <c:v>37.897799999999997</c:v>
                </c:pt>
                <c:pt idx="142">
                  <c:v>37.648499999999999</c:v>
                </c:pt>
                <c:pt idx="143">
                  <c:v>37.628499999999995</c:v>
                </c:pt>
                <c:pt idx="144">
                  <c:v>37.658700000000003</c:v>
                </c:pt>
                <c:pt idx="145">
                  <c:v>37.614999999999995</c:v>
                </c:pt>
                <c:pt idx="146">
                  <c:v>37.763500000000001</c:v>
                </c:pt>
                <c:pt idx="147">
                  <c:v>38.191000000000003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2.6625399999999999</c:v>
                </c:pt>
                <c:pt idx="1">
                  <c:v>2.6845499999999998</c:v>
                </c:pt>
                <c:pt idx="2">
                  <c:v>2.7113399999999999</c:v>
                </c:pt>
                <c:pt idx="3">
                  <c:v>2.73488</c:v>
                </c:pt>
                <c:pt idx="4">
                  <c:v>2.7611699999999999</c:v>
                </c:pt>
                <c:pt idx="5">
                  <c:v>2.7864399999999998</c:v>
                </c:pt>
                <c:pt idx="6">
                  <c:v>2.81325</c:v>
                </c:pt>
                <c:pt idx="7">
                  <c:v>2.8399200000000002</c:v>
                </c:pt>
                <c:pt idx="8">
                  <c:v>2.86686</c:v>
                </c:pt>
                <c:pt idx="9">
                  <c:v>2.89567</c:v>
                </c:pt>
                <c:pt idx="10">
                  <c:v>2.9274200000000001</c:v>
                </c:pt>
                <c:pt idx="11">
                  <c:v>2.9554</c:v>
                </c:pt>
                <c:pt idx="12">
                  <c:v>2.97831</c:v>
                </c:pt>
                <c:pt idx="13">
                  <c:v>2.9967500000000005</c:v>
                </c:pt>
                <c:pt idx="14">
                  <c:v>3.0149900000000001</c:v>
                </c:pt>
                <c:pt idx="15">
                  <c:v>3.0337199999999998</c:v>
                </c:pt>
                <c:pt idx="16">
                  <c:v>3.0525500000000001</c:v>
                </c:pt>
                <c:pt idx="17">
                  <c:v>3.0697299999999998</c:v>
                </c:pt>
                <c:pt idx="18">
                  <c:v>3.0849799999999998</c:v>
                </c:pt>
                <c:pt idx="19">
                  <c:v>3.09903</c:v>
                </c:pt>
                <c:pt idx="20">
                  <c:v>3.1140600000000003</c:v>
                </c:pt>
                <c:pt idx="21">
                  <c:v>3.1312199999999999</c:v>
                </c:pt>
                <c:pt idx="22">
                  <c:v>3.1492399999999998</c:v>
                </c:pt>
                <c:pt idx="23">
                  <c:v>3.16859</c:v>
                </c:pt>
                <c:pt idx="24">
                  <c:v>3.1887700000000003</c:v>
                </c:pt>
                <c:pt idx="25">
                  <c:v>3.2058900000000001</c:v>
                </c:pt>
                <c:pt idx="26">
                  <c:v>3.2194499999999997</c:v>
                </c:pt>
                <c:pt idx="27">
                  <c:v>3.2306499999999998</c:v>
                </c:pt>
                <c:pt idx="28">
                  <c:v>3.2385199999999998</c:v>
                </c:pt>
                <c:pt idx="29">
                  <c:v>3.2419199999999999</c:v>
                </c:pt>
                <c:pt idx="30">
                  <c:v>3.2471800000000002</c:v>
                </c:pt>
                <c:pt idx="31">
                  <c:v>3.2519</c:v>
                </c:pt>
                <c:pt idx="32">
                  <c:v>3.2564599999999997</c:v>
                </c:pt>
                <c:pt idx="33">
                  <c:v>3.2571899999999996</c:v>
                </c:pt>
                <c:pt idx="34">
                  <c:v>3.2521800000000001</c:v>
                </c:pt>
                <c:pt idx="35">
                  <c:v>3.2432400000000001</c:v>
                </c:pt>
                <c:pt idx="36">
                  <c:v>3.23583</c:v>
                </c:pt>
                <c:pt idx="37">
                  <c:v>3.2267000000000001</c:v>
                </c:pt>
                <c:pt idx="38">
                  <c:v>3.2159</c:v>
                </c:pt>
                <c:pt idx="39">
                  <c:v>3.2064199999999996</c:v>
                </c:pt>
                <c:pt idx="40">
                  <c:v>3.1962700000000002</c:v>
                </c:pt>
                <c:pt idx="41">
                  <c:v>3.1844600000000001</c:v>
                </c:pt>
                <c:pt idx="42">
                  <c:v>3.1744599999999998</c:v>
                </c:pt>
                <c:pt idx="43">
                  <c:v>3.1688899999999998</c:v>
                </c:pt>
                <c:pt idx="44">
                  <c:v>3.1640200000000003</c:v>
                </c:pt>
                <c:pt idx="45">
                  <c:v>3.15787</c:v>
                </c:pt>
                <c:pt idx="46">
                  <c:v>3.1497900000000003</c:v>
                </c:pt>
                <c:pt idx="47">
                  <c:v>3.1424600000000003</c:v>
                </c:pt>
                <c:pt idx="48">
                  <c:v>3.1330299999999998</c:v>
                </c:pt>
                <c:pt idx="49">
                  <c:v>3.1217499999999996</c:v>
                </c:pt>
                <c:pt idx="50">
                  <c:v>3.1107100000000001</c:v>
                </c:pt>
                <c:pt idx="51">
                  <c:v>3.1016399999999997</c:v>
                </c:pt>
                <c:pt idx="52">
                  <c:v>3.0933699999999997</c:v>
                </c:pt>
                <c:pt idx="53">
                  <c:v>3.0863100000000001</c:v>
                </c:pt>
                <c:pt idx="54">
                  <c:v>3.0823299999999998</c:v>
                </c:pt>
                <c:pt idx="55">
                  <c:v>3.07361</c:v>
                </c:pt>
                <c:pt idx="56">
                  <c:v>3.06325</c:v>
                </c:pt>
                <c:pt idx="57">
                  <c:v>3.0515500000000002</c:v>
                </c:pt>
                <c:pt idx="58">
                  <c:v>3.0444100000000001</c:v>
                </c:pt>
                <c:pt idx="59">
                  <c:v>3.0420999999999996</c:v>
                </c:pt>
                <c:pt idx="60">
                  <c:v>3.0395699999999999</c:v>
                </c:pt>
                <c:pt idx="61">
                  <c:v>3.0355799999999999</c:v>
                </c:pt>
                <c:pt idx="62">
                  <c:v>3.0365500000000001</c:v>
                </c:pt>
                <c:pt idx="63">
                  <c:v>3.0435400000000001</c:v>
                </c:pt>
                <c:pt idx="64">
                  <c:v>3.0482500000000003</c:v>
                </c:pt>
                <c:pt idx="65">
                  <c:v>3.0548199999999999</c:v>
                </c:pt>
                <c:pt idx="66">
                  <c:v>3.06697</c:v>
                </c:pt>
                <c:pt idx="67">
                  <c:v>3.08006</c:v>
                </c:pt>
                <c:pt idx="68">
                  <c:v>3.0882500000000004</c:v>
                </c:pt>
                <c:pt idx="69">
                  <c:v>3.1011800000000003</c:v>
                </c:pt>
                <c:pt idx="70">
                  <c:v>3.1126800000000001</c:v>
                </c:pt>
                <c:pt idx="71">
                  <c:v>3.1185800000000001</c:v>
                </c:pt>
                <c:pt idx="72">
                  <c:v>3.1234999999999999</c:v>
                </c:pt>
                <c:pt idx="73">
                  <c:v>3.1217199999999998</c:v>
                </c:pt>
                <c:pt idx="74">
                  <c:v>3.0989399999999998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39.912799999999997</c:v>
                </c:pt>
                <c:pt idx="1">
                  <c:v>39.662100000000002</c:v>
                </c:pt>
                <c:pt idx="2">
                  <c:v>39.280200000000001</c:v>
                </c:pt>
                <c:pt idx="3">
                  <c:v>38.9512</c:v>
                </c:pt>
                <c:pt idx="4">
                  <c:v>38.616799999999998</c:v>
                </c:pt>
                <c:pt idx="5">
                  <c:v>38.340000000000003</c:v>
                </c:pt>
                <c:pt idx="6">
                  <c:v>38.068600000000004</c:v>
                </c:pt>
                <c:pt idx="7">
                  <c:v>37.828400000000002</c:v>
                </c:pt>
                <c:pt idx="8">
                  <c:v>37.611600000000003</c:v>
                </c:pt>
                <c:pt idx="9">
                  <c:v>37.312100000000001</c:v>
                </c:pt>
                <c:pt idx="10">
                  <c:v>36.930099999999996</c:v>
                </c:pt>
                <c:pt idx="11">
                  <c:v>36.649799999999999</c:v>
                </c:pt>
                <c:pt idx="12">
                  <c:v>36.426400000000001</c:v>
                </c:pt>
                <c:pt idx="13">
                  <c:v>36.212400000000002</c:v>
                </c:pt>
                <c:pt idx="14">
                  <c:v>35.989399999999996</c:v>
                </c:pt>
                <c:pt idx="15">
                  <c:v>35.760300000000001</c:v>
                </c:pt>
                <c:pt idx="16">
                  <c:v>35.547200000000004</c:v>
                </c:pt>
                <c:pt idx="17">
                  <c:v>35.389499999999998</c:v>
                </c:pt>
                <c:pt idx="18">
                  <c:v>35.296499999999995</c:v>
                </c:pt>
                <c:pt idx="19">
                  <c:v>35.250500000000002</c:v>
                </c:pt>
                <c:pt idx="20">
                  <c:v>35.246600000000001</c:v>
                </c:pt>
                <c:pt idx="21">
                  <c:v>35.231899999999996</c:v>
                </c:pt>
                <c:pt idx="22">
                  <c:v>35.216500000000003</c:v>
                </c:pt>
                <c:pt idx="23">
                  <c:v>35.195799999999998</c:v>
                </c:pt>
                <c:pt idx="24">
                  <c:v>35.189300000000003</c:v>
                </c:pt>
                <c:pt idx="25">
                  <c:v>35.269099999999995</c:v>
                </c:pt>
                <c:pt idx="26">
                  <c:v>35.396499999999996</c:v>
                </c:pt>
                <c:pt idx="27">
                  <c:v>35.5899</c:v>
                </c:pt>
                <c:pt idx="28">
                  <c:v>35.844999999999999</c:v>
                </c:pt>
                <c:pt idx="29">
                  <c:v>36.0884</c:v>
                </c:pt>
                <c:pt idx="30">
                  <c:v>36.320500000000003</c:v>
                </c:pt>
                <c:pt idx="31">
                  <c:v>36.540700000000001</c:v>
                </c:pt>
                <c:pt idx="32">
                  <c:v>36.727900000000005</c:v>
                </c:pt>
                <c:pt idx="33">
                  <c:v>36.912800000000004</c:v>
                </c:pt>
                <c:pt idx="34">
                  <c:v>37.131799999999998</c:v>
                </c:pt>
                <c:pt idx="35">
                  <c:v>37.375300000000003</c:v>
                </c:pt>
                <c:pt idx="36">
                  <c:v>37.568600000000004</c:v>
                </c:pt>
                <c:pt idx="37">
                  <c:v>37.718600000000002</c:v>
                </c:pt>
                <c:pt idx="38">
                  <c:v>37.853300000000004</c:v>
                </c:pt>
                <c:pt idx="39">
                  <c:v>37.988999999999997</c:v>
                </c:pt>
                <c:pt idx="40">
                  <c:v>38.158299999999997</c:v>
                </c:pt>
                <c:pt idx="41">
                  <c:v>38.343400000000003</c:v>
                </c:pt>
                <c:pt idx="42">
                  <c:v>38.500799999999998</c:v>
                </c:pt>
                <c:pt idx="43">
                  <c:v>38.5959</c:v>
                </c:pt>
                <c:pt idx="44">
                  <c:v>38.649899999999995</c:v>
                </c:pt>
                <c:pt idx="45">
                  <c:v>38.6554</c:v>
                </c:pt>
                <c:pt idx="46">
                  <c:v>38.692700000000002</c:v>
                </c:pt>
                <c:pt idx="47">
                  <c:v>38.757200000000005</c:v>
                </c:pt>
                <c:pt idx="48">
                  <c:v>38.867100000000001</c:v>
                </c:pt>
                <c:pt idx="49">
                  <c:v>39.025300000000001</c:v>
                </c:pt>
                <c:pt idx="50">
                  <c:v>39.168399999999998</c:v>
                </c:pt>
                <c:pt idx="51">
                  <c:v>39.312399999999997</c:v>
                </c:pt>
                <c:pt idx="52">
                  <c:v>39.389400000000002</c:v>
                </c:pt>
                <c:pt idx="53">
                  <c:v>39.417499999999997</c:v>
                </c:pt>
                <c:pt idx="54">
                  <c:v>39.395599999999995</c:v>
                </c:pt>
                <c:pt idx="55">
                  <c:v>39.390700000000002</c:v>
                </c:pt>
                <c:pt idx="56">
                  <c:v>39.399699999999996</c:v>
                </c:pt>
                <c:pt idx="57">
                  <c:v>39.440300000000001</c:v>
                </c:pt>
                <c:pt idx="58">
                  <c:v>39.405200000000001</c:v>
                </c:pt>
                <c:pt idx="59">
                  <c:v>39.300699999999999</c:v>
                </c:pt>
                <c:pt idx="60">
                  <c:v>39.205199999999998</c:v>
                </c:pt>
                <c:pt idx="61">
                  <c:v>39.171700000000001</c:v>
                </c:pt>
                <c:pt idx="62">
                  <c:v>39.124199999999995</c:v>
                </c:pt>
                <c:pt idx="63">
                  <c:v>39.047199999999997</c:v>
                </c:pt>
                <c:pt idx="64">
                  <c:v>38.951500000000003</c:v>
                </c:pt>
                <c:pt idx="65">
                  <c:v>38.769799999999996</c:v>
                </c:pt>
                <c:pt idx="66">
                  <c:v>38.502399999999994</c:v>
                </c:pt>
                <c:pt idx="67">
                  <c:v>38.192599999999999</c:v>
                </c:pt>
                <c:pt idx="68">
                  <c:v>37.897799999999997</c:v>
                </c:pt>
                <c:pt idx="69">
                  <c:v>37.648499999999999</c:v>
                </c:pt>
                <c:pt idx="70">
                  <c:v>37.628499999999995</c:v>
                </c:pt>
                <c:pt idx="71">
                  <c:v>37.658700000000003</c:v>
                </c:pt>
                <c:pt idx="72">
                  <c:v>37.614999999999995</c:v>
                </c:pt>
                <c:pt idx="73">
                  <c:v>37.763500000000001</c:v>
                </c:pt>
                <c:pt idx="74">
                  <c:v>38.191000000000003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2.3748894594594594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49.53313783783782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3.0824424324324324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37.658974324324319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3.0824424324324324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37.658974324324319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0.20870953631770742</c:v>
                </c:pt>
                <c:pt idx="1">
                  <c:v>0.35030969336136553</c:v>
                </c:pt>
                <c:pt idx="2">
                  <c:v>0.44098077032092697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  <c:pt idx="74">
                  <c:v>30.081299999999999</c:v>
                </c:pt>
                <c:pt idx="75">
                  <c:v>30.704999999999998</c:v>
                </c:pt>
                <c:pt idx="76">
                  <c:v>31.065200000000001</c:v>
                </c:pt>
                <c:pt idx="77">
                  <c:v>31.463200000000001</c:v>
                </c:pt>
                <c:pt idx="78">
                  <c:v>31.838999999999999</c:v>
                </c:pt>
                <c:pt idx="79">
                  <c:v>32.210700000000003</c:v>
                </c:pt>
                <c:pt idx="80">
                  <c:v>32.607900000000001</c:v>
                </c:pt>
                <c:pt idx="81">
                  <c:v>33.021799999999999</c:v>
                </c:pt>
                <c:pt idx="82">
                  <c:v>33.428400000000003</c:v>
                </c:pt>
                <c:pt idx="83">
                  <c:v>33.828699999999998</c:v>
                </c:pt>
                <c:pt idx="84">
                  <c:v>34.239600000000003</c:v>
                </c:pt>
                <c:pt idx="85">
                  <c:v>34.630499999999998</c:v>
                </c:pt>
                <c:pt idx="86">
                  <c:v>35.030700000000003</c:v>
                </c:pt>
                <c:pt idx="87">
                  <c:v>35.4392</c:v>
                </c:pt>
                <c:pt idx="88">
                  <c:v>35.8444</c:v>
                </c:pt>
                <c:pt idx="89">
                  <c:v>36.268700000000003</c:v>
                </c:pt>
                <c:pt idx="90">
                  <c:v>36.678600000000003</c:v>
                </c:pt>
                <c:pt idx="91">
                  <c:v>37.064599999999999</c:v>
                </c:pt>
                <c:pt idx="92">
                  <c:v>37.486400000000003</c:v>
                </c:pt>
                <c:pt idx="93">
                  <c:v>37.883400000000002</c:v>
                </c:pt>
                <c:pt idx="94">
                  <c:v>38.306199999999997</c:v>
                </c:pt>
                <c:pt idx="95">
                  <c:v>38.690600000000003</c:v>
                </c:pt>
                <c:pt idx="96">
                  <c:v>39.113500000000002</c:v>
                </c:pt>
                <c:pt idx="97">
                  <c:v>39.527000000000001</c:v>
                </c:pt>
                <c:pt idx="98">
                  <c:v>39.918999999999997</c:v>
                </c:pt>
                <c:pt idx="99">
                  <c:v>40.334200000000003</c:v>
                </c:pt>
                <c:pt idx="100">
                  <c:v>40.737000000000002</c:v>
                </c:pt>
                <c:pt idx="101">
                  <c:v>41.146999999999998</c:v>
                </c:pt>
                <c:pt idx="102">
                  <c:v>41.543900000000001</c:v>
                </c:pt>
                <c:pt idx="103">
                  <c:v>41.960700000000003</c:v>
                </c:pt>
                <c:pt idx="104">
                  <c:v>42.358899999999998</c:v>
                </c:pt>
                <c:pt idx="105">
                  <c:v>42.771299999999997</c:v>
                </c:pt>
                <c:pt idx="106">
                  <c:v>43.179499999999997</c:v>
                </c:pt>
                <c:pt idx="107">
                  <c:v>43.5837</c:v>
                </c:pt>
                <c:pt idx="108">
                  <c:v>43.967399999999998</c:v>
                </c:pt>
                <c:pt idx="109">
                  <c:v>44.394100000000002</c:v>
                </c:pt>
                <c:pt idx="110">
                  <c:v>44.798900000000003</c:v>
                </c:pt>
                <c:pt idx="111">
                  <c:v>45.202300000000001</c:v>
                </c:pt>
                <c:pt idx="112">
                  <c:v>45.606299999999997</c:v>
                </c:pt>
                <c:pt idx="113">
                  <c:v>46.015300000000003</c:v>
                </c:pt>
                <c:pt idx="114">
                  <c:v>46.431899999999999</c:v>
                </c:pt>
                <c:pt idx="115">
                  <c:v>46.819299999999998</c:v>
                </c:pt>
                <c:pt idx="116">
                  <c:v>47.232900000000001</c:v>
                </c:pt>
                <c:pt idx="117">
                  <c:v>47.629100000000001</c:v>
                </c:pt>
                <c:pt idx="118">
                  <c:v>48.052799999999998</c:v>
                </c:pt>
                <c:pt idx="119">
                  <c:v>48.454799999999999</c:v>
                </c:pt>
                <c:pt idx="120">
                  <c:v>48.848300000000002</c:v>
                </c:pt>
                <c:pt idx="121">
                  <c:v>49.249000000000002</c:v>
                </c:pt>
                <c:pt idx="122">
                  <c:v>49.664700000000003</c:v>
                </c:pt>
                <c:pt idx="123">
                  <c:v>50.084600000000002</c:v>
                </c:pt>
                <c:pt idx="124">
                  <c:v>50.483400000000003</c:v>
                </c:pt>
                <c:pt idx="125">
                  <c:v>50.898899999999998</c:v>
                </c:pt>
                <c:pt idx="126">
                  <c:v>51.302700000000002</c:v>
                </c:pt>
                <c:pt idx="127">
                  <c:v>51.711399999999998</c:v>
                </c:pt>
                <c:pt idx="128">
                  <c:v>52.110700000000001</c:v>
                </c:pt>
                <c:pt idx="129">
                  <c:v>52.511000000000003</c:v>
                </c:pt>
                <c:pt idx="130">
                  <c:v>52.925800000000002</c:v>
                </c:pt>
                <c:pt idx="131">
                  <c:v>53.334299999999999</c:v>
                </c:pt>
                <c:pt idx="132">
                  <c:v>53.735799999999998</c:v>
                </c:pt>
                <c:pt idx="133">
                  <c:v>54.144100000000002</c:v>
                </c:pt>
                <c:pt idx="134">
                  <c:v>54.546999999999997</c:v>
                </c:pt>
                <c:pt idx="135">
                  <c:v>54.945099999999996</c:v>
                </c:pt>
                <c:pt idx="136">
                  <c:v>55.366500000000002</c:v>
                </c:pt>
                <c:pt idx="137">
                  <c:v>55.766599999999997</c:v>
                </c:pt>
                <c:pt idx="138">
                  <c:v>56.170099999999998</c:v>
                </c:pt>
                <c:pt idx="139">
                  <c:v>56.569699999999997</c:v>
                </c:pt>
                <c:pt idx="140">
                  <c:v>56.970199999999998</c:v>
                </c:pt>
                <c:pt idx="141">
                  <c:v>57.397199999999998</c:v>
                </c:pt>
                <c:pt idx="142">
                  <c:v>57.802100000000003</c:v>
                </c:pt>
                <c:pt idx="143">
                  <c:v>58.187100000000001</c:v>
                </c:pt>
                <c:pt idx="144">
                  <c:v>58.598700000000001</c:v>
                </c:pt>
                <c:pt idx="145">
                  <c:v>58.996899999999997</c:v>
                </c:pt>
                <c:pt idx="146">
                  <c:v>59.408700000000003</c:v>
                </c:pt>
                <c:pt idx="147">
                  <c:v>59.823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  <c:pt idx="74">
                  <c:v>2.6845499999999998</c:v>
                </c:pt>
                <c:pt idx="75">
                  <c:v>2.7113399999999999</c:v>
                </c:pt>
                <c:pt idx="76">
                  <c:v>2.73488</c:v>
                </c:pt>
                <c:pt idx="77">
                  <c:v>2.7611699999999999</c:v>
                </c:pt>
                <c:pt idx="78">
                  <c:v>2.7864399999999998</c:v>
                </c:pt>
                <c:pt idx="79">
                  <c:v>2.81325</c:v>
                </c:pt>
                <c:pt idx="80">
                  <c:v>2.8399200000000002</c:v>
                </c:pt>
                <c:pt idx="81">
                  <c:v>2.86686</c:v>
                </c:pt>
                <c:pt idx="82">
                  <c:v>2.89567</c:v>
                </c:pt>
                <c:pt idx="83">
                  <c:v>2.9274200000000001</c:v>
                </c:pt>
                <c:pt idx="84">
                  <c:v>2.9554</c:v>
                </c:pt>
                <c:pt idx="85">
                  <c:v>2.97831</c:v>
                </c:pt>
                <c:pt idx="86">
                  <c:v>2.9967500000000005</c:v>
                </c:pt>
                <c:pt idx="87">
                  <c:v>3.0149900000000001</c:v>
                </c:pt>
                <c:pt idx="88">
                  <c:v>3.0337199999999998</c:v>
                </c:pt>
                <c:pt idx="89">
                  <c:v>3.0525500000000001</c:v>
                </c:pt>
                <c:pt idx="90">
                  <c:v>3.0697299999999998</c:v>
                </c:pt>
                <c:pt idx="91">
                  <c:v>3.0849799999999998</c:v>
                </c:pt>
                <c:pt idx="92">
                  <c:v>3.09903</c:v>
                </c:pt>
                <c:pt idx="93">
                  <c:v>3.1140600000000003</c:v>
                </c:pt>
                <c:pt idx="94">
                  <c:v>3.1312199999999999</c:v>
                </c:pt>
                <c:pt idx="95">
                  <c:v>3.1492399999999998</c:v>
                </c:pt>
                <c:pt idx="96">
                  <c:v>3.16859</c:v>
                </c:pt>
                <c:pt idx="97">
                  <c:v>3.1887700000000003</c:v>
                </c:pt>
                <c:pt idx="98">
                  <c:v>3.2058900000000001</c:v>
                </c:pt>
                <c:pt idx="99">
                  <c:v>3.2194499999999997</c:v>
                </c:pt>
                <c:pt idx="100">
                  <c:v>3.2306499999999998</c:v>
                </c:pt>
                <c:pt idx="101">
                  <c:v>3.2385199999999998</c:v>
                </c:pt>
                <c:pt idx="102">
                  <c:v>3.2419199999999999</c:v>
                </c:pt>
                <c:pt idx="103">
                  <c:v>3.2471800000000002</c:v>
                </c:pt>
                <c:pt idx="104">
                  <c:v>3.2519</c:v>
                </c:pt>
                <c:pt idx="105">
                  <c:v>3.2564599999999997</c:v>
                </c:pt>
                <c:pt idx="106">
                  <c:v>3.2571899999999996</c:v>
                </c:pt>
                <c:pt idx="107">
                  <c:v>3.2521800000000001</c:v>
                </c:pt>
                <c:pt idx="108">
                  <c:v>3.2432400000000001</c:v>
                </c:pt>
                <c:pt idx="109">
                  <c:v>3.23583</c:v>
                </c:pt>
                <c:pt idx="110">
                  <c:v>3.2267000000000001</c:v>
                </c:pt>
                <c:pt idx="111">
                  <c:v>3.2159</c:v>
                </c:pt>
                <c:pt idx="112">
                  <c:v>3.2064199999999996</c:v>
                </c:pt>
                <c:pt idx="113">
                  <c:v>3.1962700000000002</c:v>
                </c:pt>
                <c:pt idx="114">
                  <c:v>3.1844600000000001</c:v>
                </c:pt>
                <c:pt idx="115">
                  <c:v>3.1744599999999998</c:v>
                </c:pt>
                <c:pt idx="116">
                  <c:v>3.1688899999999998</c:v>
                </c:pt>
                <c:pt idx="117">
                  <c:v>3.1640200000000003</c:v>
                </c:pt>
                <c:pt idx="118">
                  <c:v>3.15787</c:v>
                </c:pt>
                <c:pt idx="119">
                  <c:v>3.1497900000000003</c:v>
                </c:pt>
                <c:pt idx="120">
                  <c:v>3.1424600000000003</c:v>
                </c:pt>
                <c:pt idx="121">
                  <c:v>3.1330299999999998</c:v>
                </c:pt>
                <c:pt idx="122">
                  <c:v>3.1217499999999996</c:v>
                </c:pt>
                <c:pt idx="123">
                  <c:v>3.1107100000000001</c:v>
                </c:pt>
                <c:pt idx="124">
                  <c:v>3.1016399999999997</c:v>
                </c:pt>
                <c:pt idx="125">
                  <c:v>3.0933699999999997</c:v>
                </c:pt>
                <c:pt idx="126">
                  <c:v>3.0863100000000001</c:v>
                </c:pt>
                <c:pt idx="127">
                  <c:v>3.0823299999999998</c:v>
                </c:pt>
                <c:pt idx="128">
                  <c:v>3.07361</c:v>
                </c:pt>
                <c:pt idx="129">
                  <c:v>3.06325</c:v>
                </c:pt>
                <c:pt idx="130">
                  <c:v>3.0515500000000002</c:v>
                </c:pt>
                <c:pt idx="131">
                  <c:v>3.0444100000000001</c:v>
                </c:pt>
                <c:pt idx="132">
                  <c:v>3.0420999999999996</c:v>
                </c:pt>
                <c:pt idx="133">
                  <c:v>3.0395699999999999</c:v>
                </c:pt>
                <c:pt idx="134">
                  <c:v>3.0355799999999999</c:v>
                </c:pt>
                <c:pt idx="135">
                  <c:v>3.0365500000000001</c:v>
                </c:pt>
                <c:pt idx="136">
                  <c:v>3.0435400000000001</c:v>
                </c:pt>
                <c:pt idx="137">
                  <c:v>3.0482500000000003</c:v>
                </c:pt>
                <c:pt idx="138">
                  <c:v>3.0548199999999999</c:v>
                </c:pt>
                <c:pt idx="139">
                  <c:v>3.06697</c:v>
                </c:pt>
                <c:pt idx="140">
                  <c:v>3.08006</c:v>
                </c:pt>
                <c:pt idx="141">
                  <c:v>3.0882500000000004</c:v>
                </c:pt>
                <c:pt idx="142">
                  <c:v>3.1011800000000003</c:v>
                </c:pt>
                <c:pt idx="143">
                  <c:v>3.1126800000000001</c:v>
                </c:pt>
                <c:pt idx="144">
                  <c:v>3.1185800000000001</c:v>
                </c:pt>
                <c:pt idx="145">
                  <c:v>3.1234999999999999</c:v>
                </c:pt>
                <c:pt idx="146">
                  <c:v>3.1217199999999998</c:v>
                </c:pt>
                <c:pt idx="147">
                  <c:v>3.0989399999999998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29.677600000000002</c:v>
                </c:pt>
                <c:pt idx="1">
                  <c:v>30.081299999999999</c:v>
                </c:pt>
                <c:pt idx="2">
                  <c:v>30.704999999999998</c:v>
                </c:pt>
                <c:pt idx="3">
                  <c:v>31.065200000000001</c:v>
                </c:pt>
                <c:pt idx="4">
                  <c:v>31.463200000000001</c:v>
                </c:pt>
                <c:pt idx="5">
                  <c:v>31.838999999999999</c:v>
                </c:pt>
                <c:pt idx="6">
                  <c:v>32.210700000000003</c:v>
                </c:pt>
                <c:pt idx="7">
                  <c:v>32.607900000000001</c:v>
                </c:pt>
                <c:pt idx="8">
                  <c:v>33.021799999999999</c:v>
                </c:pt>
                <c:pt idx="9">
                  <c:v>33.428400000000003</c:v>
                </c:pt>
                <c:pt idx="10">
                  <c:v>33.828699999999998</c:v>
                </c:pt>
                <c:pt idx="11">
                  <c:v>34.239600000000003</c:v>
                </c:pt>
                <c:pt idx="12">
                  <c:v>34.630499999999998</c:v>
                </c:pt>
                <c:pt idx="13">
                  <c:v>35.030700000000003</c:v>
                </c:pt>
                <c:pt idx="14">
                  <c:v>35.4392</c:v>
                </c:pt>
                <c:pt idx="15">
                  <c:v>35.8444</c:v>
                </c:pt>
                <c:pt idx="16">
                  <c:v>36.268700000000003</c:v>
                </c:pt>
                <c:pt idx="17">
                  <c:v>36.678600000000003</c:v>
                </c:pt>
                <c:pt idx="18">
                  <c:v>37.064599999999999</c:v>
                </c:pt>
                <c:pt idx="19">
                  <c:v>37.486400000000003</c:v>
                </c:pt>
                <c:pt idx="20">
                  <c:v>37.883400000000002</c:v>
                </c:pt>
                <c:pt idx="21">
                  <c:v>38.306199999999997</c:v>
                </c:pt>
                <c:pt idx="22">
                  <c:v>38.690600000000003</c:v>
                </c:pt>
                <c:pt idx="23">
                  <c:v>39.113500000000002</c:v>
                </c:pt>
                <c:pt idx="24">
                  <c:v>39.527000000000001</c:v>
                </c:pt>
                <c:pt idx="25">
                  <c:v>39.918999999999997</c:v>
                </c:pt>
                <c:pt idx="26">
                  <c:v>40.334200000000003</c:v>
                </c:pt>
                <c:pt idx="27">
                  <c:v>40.737000000000002</c:v>
                </c:pt>
                <c:pt idx="28">
                  <c:v>41.146999999999998</c:v>
                </c:pt>
                <c:pt idx="29">
                  <c:v>41.543900000000001</c:v>
                </c:pt>
                <c:pt idx="30">
                  <c:v>41.960700000000003</c:v>
                </c:pt>
                <c:pt idx="31">
                  <c:v>42.358899999999998</c:v>
                </c:pt>
                <c:pt idx="32">
                  <c:v>42.771299999999997</c:v>
                </c:pt>
                <c:pt idx="33">
                  <c:v>43.179499999999997</c:v>
                </c:pt>
                <c:pt idx="34">
                  <c:v>43.5837</c:v>
                </c:pt>
                <c:pt idx="35">
                  <c:v>43.967399999999998</c:v>
                </c:pt>
                <c:pt idx="36">
                  <c:v>44.394100000000002</c:v>
                </c:pt>
                <c:pt idx="37">
                  <c:v>44.798900000000003</c:v>
                </c:pt>
                <c:pt idx="38">
                  <c:v>45.202300000000001</c:v>
                </c:pt>
                <c:pt idx="39">
                  <c:v>45.606299999999997</c:v>
                </c:pt>
                <c:pt idx="40">
                  <c:v>46.015300000000003</c:v>
                </c:pt>
                <c:pt idx="41">
                  <c:v>46.431899999999999</c:v>
                </c:pt>
                <c:pt idx="42">
                  <c:v>46.819299999999998</c:v>
                </c:pt>
                <c:pt idx="43">
                  <c:v>47.232900000000001</c:v>
                </c:pt>
                <c:pt idx="44">
                  <c:v>47.629100000000001</c:v>
                </c:pt>
                <c:pt idx="45">
                  <c:v>48.052799999999998</c:v>
                </c:pt>
                <c:pt idx="46">
                  <c:v>48.454799999999999</c:v>
                </c:pt>
                <c:pt idx="47">
                  <c:v>48.848300000000002</c:v>
                </c:pt>
                <c:pt idx="48">
                  <c:v>49.249000000000002</c:v>
                </c:pt>
                <c:pt idx="49">
                  <c:v>49.664700000000003</c:v>
                </c:pt>
                <c:pt idx="50">
                  <c:v>50.084600000000002</c:v>
                </c:pt>
                <c:pt idx="51">
                  <c:v>50.483400000000003</c:v>
                </c:pt>
                <c:pt idx="52">
                  <c:v>50.898899999999998</c:v>
                </c:pt>
                <c:pt idx="53">
                  <c:v>51.302700000000002</c:v>
                </c:pt>
                <c:pt idx="54">
                  <c:v>51.711399999999998</c:v>
                </c:pt>
                <c:pt idx="55">
                  <c:v>52.110700000000001</c:v>
                </c:pt>
                <c:pt idx="56">
                  <c:v>52.511000000000003</c:v>
                </c:pt>
                <c:pt idx="57">
                  <c:v>52.925800000000002</c:v>
                </c:pt>
                <c:pt idx="58">
                  <c:v>53.334299999999999</c:v>
                </c:pt>
                <c:pt idx="59">
                  <c:v>53.735799999999998</c:v>
                </c:pt>
                <c:pt idx="60">
                  <c:v>54.144100000000002</c:v>
                </c:pt>
                <c:pt idx="61">
                  <c:v>54.546999999999997</c:v>
                </c:pt>
                <c:pt idx="62">
                  <c:v>54.945099999999996</c:v>
                </c:pt>
                <c:pt idx="63">
                  <c:v>55.366500000000002</c:v>
                </c:pt>
                <c:pt idx="64">
                  <c:v>55.766599999999997</c:v>
                </c:pt>
                <c:pt idx="65">
                  <c:v>56.170099999999998</c:v>
                </c:pt>
                <c:pt idx="66">
                  <c:v>56.569699999999997</c:v>
                </c:pt>
                <c:pt idx="67">
                  <c:v>56.970199999999998</c:v>
                </c:pt>
                <c:pt idx="68">
                  <c:v>57.397199999999998</c:v>
                </c:pt>
                <c:pt idx="69">
                  <c:v>57.802100000000003</c:v>
                </c:pt>
                <c:pt idx="70">
                  <c:v>58.187100000000001</c:v>
                </c:pt>
                <c:pt idx="71">
                  <c:v>58.598700000000001</c:v>
                </c:pt>
                <c:pt idx="72">
                  <c:v>58.996899999999997</c:v>
                </c:pt>
                <c:pt idx="73">
                  <c:v>59.408700000000003</c:v>
                </c:pt>
                <c:pt idx="74">
                  <c:v>59.823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2.6625399999999999</c:v>
                </c:pt>
                <c:pt idx="1">
                  <c:v>2.6845499999999998</c:v>
                </c:pt>
                <c:pt idx="2">
                  <c:v>2.7113399999999999</c:v>
                </c:pt>
                <c:pt idx="3">
                  <c:v>2.73488</c:v>
                </c:pt>
                <c:pt idx="4">
                  <c:v>2.7611699999999999</c:v>
                </c:pt>
                <c:pt idx="5">
                  <c:v>2.7864399999999998</c:v>
                </c:pt>
                <c:pt idx="6">
                  <c:v>2.81325</c:v>
                </c:pt>
                <c:pt idx="7">
                  <c:v>2.8399200000000002</c:v>
                </c:pt>
                <c:pt idx="8">
                  <c:v>2.86686</c:v>
                </c:pt>
                <c:pt idx="9">
                  <c:v>2.89567</c:v>
                </c:pt>
                <c:pt idx="10">
                  <c:v>2.9274200000000001</c:v>
                </c:pt>
                <c:pt idx="11">
                  <c:v>2.9554</c:v>
                </c:pt>
                <c:pt idx="12">
                  <c:v>2.97831</c:v>
                </c:pt>
                <c:pt idx="13">
                  <c:v>2.9967500000000005</c:v>
                </c:pt>
                <c:pt idx="14">
                  <c:v>3.0149900000000001</c:v>
                </c:pt>
                <c:pt idx="15">
                  <c:v>3.0337199999999998</c:v>
                </c:pt>
                <c:pt idx="16">
                  <c:v>3.0525500000000001</c:v>
                </c:pt>
                <c:pt idx="17">
                  <c:v>3.0697299999999998</c:v>
                </c:pt>
                <c:pt idx="18">
                  <c:v>3.0849799999999998</c:v>
                </c:pt>
                <c:pt idx="19">
                  <c:v>3.09903</c:v>
                </c:pt>
                <c:pt idx="20">
                  <c:v>3.1140600000000003</c:v>
                </c:pt>
                <c:pt idx="21">
                  <c:v>3.1312199999999999</c:v>
                </c:pt>
                <c:pt idx="22">
                  <c:v>3.1492399999999998</c:v>
                </c:pt>
                <c:pt idx="23">
                  <c:v>3.16859</c:v>
                </c:pt>
                <c:pt idx="24">
                  <c:v>3.1887700000000003</c:v>
                </c:pt>
                <c:pt idx="25">
                  <c:v>3.2058900000000001</c:v>
                </c:pt>
                <c:pt idx="26">
                  <c:v>3.2194499999999997</c:v>
                </c:pt>
                <c:pt idx="27">
                  <c:v>3.2306499999999998</c:v>
                </c:pt>
                <c:pt idx="28">
                  <c:v>3.2385199999999998</c:v>
                </c:pt>
                <c:pt idx="29">
                  <c:v>3.2419199999999999</c:v>
                </c:pt>
                <c:pt idx="30">
                  <c:v>3.2471800000000002</c:v>
                </c:pt>
                <c:pt idx="31">
                  <c:v>3.2519</c:v>
                </c:pt>
                <c:pt idx="32">
                  <c:v>3.2564599999999997</c:v>
                </c:pt>
                <c:pt idx="33">
                  <c:v>3.2571899999999996</c:v>
                </c:pt>
                <c:pt idx="34">
                  <c:v>3.2521800000000001</c:v>
                </c:pt>
                <c:pt idx="35">
                  <c:v>3.2432400000000001</c:v>
                </c:pt>
                <c:pt idx="36">
                  <c:v>3.23583</c:v>
                </c:pt>
                <c:pt idx="37">
                  <c:v>3.2267000000000001</c:v>
                </c:pt>
                <c:pt idx="38">
                  <c:v>3.2159</c:v>
                </c:pt>
                <c:pt idx="39">
                  <c:v>3.2064199999999996</c:v>
                </c:pt>
                <c:pt idx="40">
                  <c:v>3.1962700000000002</c:v>
                </c:pt>
                <c:pt idx="41">
                  <c:v>3.1844600000000001</c:v>
                </c:pt>
                <c:pt idx="42">
                  <c:v>3.1744599999999998</c:v>
                </c:pt>
                <c:pt idx="43">
                  <c:v>3.1688899999999998</c:v>
                </c:pt>
                <c:pt idx="44">
                  <c:v>3.1640200000000003</c:v>
                </c:pt>
                <c:pt idx="45">
                  <c:v>3.15787</c:v>
                </c:pt>
                <c:pt idx="46">
                  <c:v>3.1497900000000003</c:v>
                </c:pt>
                <c:pt idx="47">
                  <c:v>3.1424600000000003</c:v>
                </c:pt>
                <c:pt idx="48">
                  <c:v>3.1330299999999998</c:v>
                </c:pt>
                <c:pt idx="49">
                  <c:v>3.1217499999999996</c:v>
                </c:pt>
                <c:pt idx="50">
                  <c:v>3.1107100000000001</c:v>
                </c:pt>
                <c:pt idx="51">
                  <c:v>3.1016399999999997</c:v>
                </c:pt>
                <c:pt idx="52">
                  <c:v>3.0933699999999997</c:v>
                </c:pt>
                <c:pt idx="53">
                  <c:v>3.0863100000000001</c:v>
                </c:pt>
                <c:pt idx="54">
                  <c:v>3.0823299999999998</c:v>
                </c:pt>
                <c:pt idx="55">
                  <c:v>3.07361</c:v>
                </c:pt>
                <c:pt idx="56">
                  <c:v>3.06325</c:v>
                </c:pt>
                <c:pt idx="57">
                  <c:v>3.0515500000000002</c:v>
                </c:pt>
                <c:pt idx="58">
                  <c:v>3.0444100000000001</c:v>
                </c:pt>
                <c:pt idx="59">
                  <c:v>3.0420999999999996</c:v>
                </c:pt>
                <c:pt idx="60">
                  <c:v>3.0395699999999999</c:v>
                </c:pt>
                <c:pt idx="61">
                  <c:v>3.0355799999999999</c:v>
                </c:pt>
                <c:pt idx="62">
                  <c:v>3.0365500000000001</c:v>
                </c:pt>
                <c:pt idx="63">
                  <c:v>3.0435400000000001</c:v>
                </c:pt>
                <c:pt idx="64">
                  <c:v>3.0482500000000003</c:v>
                </c:pt>
                <c:pt idx="65">
                  <c:v>3.0548199999999999</c:v>
                </c:pt>
                <c:pt idx="66">
                  <c:v>3.06697</c:v>
                </c:pt>
                <c:pt idx="67">
                  <c:v>3.08006</c:v>
                </c:pt>
                <c:pt idx="68">
                  <c:v>3.0882500000000004</c:v>
                </c:pt>
                <c:pt idx="69">
                  <c:v>3.1011800000000003</c:v>
                </c:pt>
                <c:pt idx="70">
                  <c:v>3.1126800000000001</c:v>
                </c:pt>
                <c:pt idx="71">
                  <c:v>3.1185800000000001</c:v>
                </c:pt>
                <c:pt idx="72">
                  <c:v>3.1234999999999999</c:v>
                </c:pt>
                <c:pt idx="73">
                  <c:v>3.1217199999999998</c:v>
                </c:pt>
                <c:pt idx="74">
                  <c:v>3.0989399999999998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14.95575</c:v>
                </c:pt>
                <c:pt idx="1">
                  <c:v>44.867249999999999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2.3748894594594594</c:v>
                </c:pt>
                <c:pt idx="1">
                  <c:v>3.0824424324324324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  <c:pt idx="74">
                  <c:v>30.081299999999999</c:v>
                </c:pt>
                <c:pt idx="75">
                  <c:v>30.704999999999998</c:v>
                </c:pt>
                <c:pt idx="76">
                  <c:v>31.065200000000001</c:v>
                </c:pt>
                <c:pt idx="77">
                  <c:v>31.463200000000001</c:v>
                </c:pt>
                <c:pt idx="78">
                  <c:v>31.838999999999999</c:v>
                </c:pt>
                <c:pt idx="79">
                  <c:v>32.210700000000003</c:v>
                </c:pt>
                <c:pt idx="80">
                  <c:v>32.607900000000001</c:v>
                </c:pt>
                <c:pt idx="81">
                  <c:v>33.021799999999999</c:v>
                </c:pt>
                <c:pt idx="82">
                  <c:v>33.428400000000003</c:v>
                </c:pt>
                <c:pt idx="83">
                  <c:v>33.828699999999998</c:v>
                </c:pt>
                <c:pt idx="84">
                  <c:v>34.239600000000003</c:v>
                </c:pt>
                <c:pt idx="85">
                  <c:v>34.630499999999998</c:v>
                </c:pt>
                <c:pt idx="86">
                  <c:v>35.030700000000003</c:v>
                </c:pt>
                <c:pt idx="87">
                  <c:v>35.4392</c:v>
                </c:pt>
                <c:pt idx="88">
                  <c:v>35.8444</c:v>
                </c:pt>
                <c:pt idx="89">
                  <c:v>36.268700000000003</c:v>
                </c:pt>
                <c:pt idx="90">
                  <c:v>36.678600000000003</c:v>
                </c:pt>
                <c:pt idx="91">
                  <c:v>37.064599999999999</c:v>
                </c:pt>
                <c:pt idx="92">
                  <c:v>37.486400000000003</c:v>
                </c:pt>
                <c:pt idx="93">
                  <c:v>37.883400000000002</c:v>
                </c:pt>
                <c:pt idx="94">
                  <c:v>38.306199999999997</c:v>
                </c:pt>
                <c:pt idx="95">
                  <c:v>38.690600000000003</c:v>
                </c:pt>
                <c:pt idx="96">
                  <c:v>39.113500000000002</c:v>
                </c:pt>
                <c:pt idx="97">
                  <c:v>39.527000000000001</c:v>
                </c:pt>
                <c:pt idx="98">
                  <c:v>39.918999999999997</c:v>
                </c:pt>
                <c:pt idx="99">
                  <c:v>40.334200000000003</c:v>
                </c:pt>
                <c:pt idx="100">
                  <c:v>40.737000000000002</c:v>
                </c:pt>
                <c:pt idx="101">
                  <c:v>41.146999999999998</c:v>
                </c:pt>
                <c:pt idx="102">
                  <c:v>41.543900000000001</c:v>
                </c:pt>
                <c:pt idx="103">
                  <c:v>41.960700000000003</c:v>
                </c:pt>
                <c:pt idx="104">
                  <c:v>42.358899999999998</c:v>
                </c:pt>
                <c:pt idx="105">
                  <c:v>42.771299999999997</c:v>
                </c:pt>
                <c:pt idx="106">
                  <c:v>43.179499999999997</c:v>
                </c:pt>
                <c:pt idx="107">
                  <c:v>43.5837</c:v>
                </c:pt>
                <c:pt idx="108">
                  <c:v>43.967399999999998</c:v>
                </c:pt>
                <c:pt idx="109">
                  <c:v>44.394100000000002</c:v>
                </c:pt>
                <c:pt idx="110">
                  <c:v>44.798900000000003</c:v>
                </c:pt>
                <c:pt idx="111">
                  <c:v>45.202300000000001</c:v>
                </c:pt>
                <c:pt idx="112">
                  <c:v>45.606299999999997</c:v>
                </c:pt>
                <c:pt idx="113">
                  <c:v>46.015300000000003</c:v>
                </c:pt>
                <c:pt idx="114">
                  <c:v>46.431899999999999</c:v>
                </c:pt>
                <c:pt idx="115">
                  <c:v>46.819299999999998</c:v>
                </c:pt>
                <c:pt idx="116">
                  <c:v>47.232900000000001</c:v>
                </c:pt>
                <c:pt idx="117">
                  <c:v>47.629100000000001</c:v>
                </c:pt>
                <c:pt idx="118">
                  <c:v>48.052799999999998</c:v>
                </c:pt>
                <c:pt idx="119">
                  <c:v>48.454799999999999</c:v>
                </c:pt>
                <c:pt idx="120">
                  <c:v>48.848300000000002</c:v>
                </c:pt>
                <c:pt idx="121">
                  <c:v>49.249000000000002</c:v>
                </c:pt>
                <c:pt idx="122">
                  <c:v>49.664700000000003</c:v>
                </c:pt>
                <c:pt idx="123">
                  <c:v>50.084600000000002</c:v>
                </c:pt>
                <c:pt idx="124">
                  <c:v>50.483400000000003</c:v>
                </c:pt>
                <c:pt idx="125">
                  <c:v>50.898899999999998</c:v>
                </c:pt>
                <c:pt idx="126">
                  <c:v>51.302700000000002</c:v>
                </c:pt>
                <c:pt idx="127">
                  <c:v>51.711399999999998</c:v>
                </c:pt>
                <c:pt idx="128">
                  <c:v>52.110700000000001</c:v>
                </c:pt>
                <c:pt idx="129">
                  <c:v>52.511000000000003</c:v>
                </c:pt>
                <c:pt idx="130">
                  <c:v>52.925800000000002</c:v>
                </c:pt>
                <c:pt idx="131">
                  <c:v>53.334299999999999</c:v>
                </c:pt>
                <c:pt idx="132">
                  <c:v>53.735799999999998</c:v>
                </c:pt>
                <c:pt idx="133">
                  <c:v>54.144100000000002</c:v>
                </c:pt>
                <c:pt idx="134">
                  <c:v>54.546999999999997</c:v>
                </c:pt>
                <c:pt idx="135">
                  <c:v>54.945099999999996</c:v>
                </c:pt>
                <c:pt idx="136">
                  <c:v>55.366500000000002</c:v>
                </c:pt>
                <c:pt idx="137">
                  <c:v>55.766599999999997</c:v>
                </c:pt>
                <c:pt idx="138">
                  <c:v>56.170099999999998</c:v>
                </c:pt>
                <c:pt idx="139">
                  <c:v>56.569699999999997</c:v>
                </c:pt>
                <c:pt idx="140">
                  <c:v>56.970199999999998</c:v>
                </c:pt>
                <c:pt idx="141">
                  <c:v>57.397199999999998</c:v>
                </c:pt>
                <c:pt idx="142">
                  <c:v>57.802100000000003</c:v>
                </c:pt>
                <c:pt idx="143">
                  <c:v>58.187100000000001</c:v>
                </c:pt>
                <c:pt idx="144">
                  <c:v>58.598700000000001</c:v>
                </c:pt>
                <c:pt idx="145">
                  <c:v>58.996899999999997</c:v>
                </c:pt>
                <c:pt idx="146">
                  <c:v>59.408700000000003</c:v>
                </c:pt>
                <c:pt idx="147">
                  <c:v>59.823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  <c:pt idx="74">
                  <c:v>39.662100000000002</c:v>
                </c:pt>
                <c:pt idx="75">
                  <c:v>39.280200000000001</c:v>
                </c:pt>
                <c:pt idx="76">
                  <c:v>38.9512</c:v>
                </c:pt>
                <c:pt idx="77">
                  <c:v>38.616799999999998</c:v>
                </c:pt>
                <c:pt idx="78">
                  <c:v>38.340000000000003</c:v>
                </c:pt>
                <c:pt idx="79">
                  <c:v>38.068600000000004</c:v>
                </c:pt>
                <c:pt idx="80">
                  <c:v>37.828400000000002</c:v>
                </c:pt>
                <c:pt idx="81">
                  <c:v>37.611600000000003</c:v>
                </c:pt>
                <c:pt idx="82">
                  <c:v>37.312100000000001</c:v>
                </c:pt>
                <c:pt idx="83">
                  <c:v>36.930099999999996</c:v>
                </c:pt>
                <c:pt idx="84">
                  <c:v>36.649799999999999</c:v>
                </c:pt>
                <c:pt idx="85">
                  <c:v>36.426400000000001</c:v>
                </c:pt>
                <c:pt idx="86">
                  <c:v>36.212400000000002</c:v>
                </c:pt>
                <c:pt idx="87">
                  <c:v>35.989399999999996</c:v>
                </c:pt>
                <c:pt idx="88">
                  <c:v>35.760300000000001</c:v>
                </c:pt>
                <c:pt idx="89">
                  <c:v>35.547200000000004</c:v>
                </c:pt>
                <c:pt idx="90">
                  <c:v>35.389499999999998</c:v>
                </c:pt>
                <c:pt idx="91">
                  <c:v>35.296499999999995</c:v>
                </c:pt>
                <c:pt idx="92">
                  <c:v>35.250500000000002</c:v>
                </c:pt>
                <c:pt idx="93">
                  <c:v>35.246600000000001</c:v>
                </c:pt>
                <c:pt idx="94">
                  <c:v>35.231899999999996</c:v>
                </c:pt>
                <c:pt idx="95">
                  <c:v>35.216500000000003</c:v>
                </c:pt>
                <c:pt idx="96">
                  <c:v>35.195799999999998</c:v>
                </c:pt>
                <c:pt idx="97">
                  <c:v>35.189300000000003</c:v>
                </c:pt>
                <c:pt idx="98">
                  <c:v>35.269099999999995</c:v>
                </c:pt>
                <c:pt idx="99">
                  <c:v>35.396499999999996</c:v>
                </c:pt>
                <c:pt idx="100">
                  <c:v>35.5899</c:v>
                </c:pt>
                <c:pt idx="101">
                  <c:v>35.844999999999999</c:v>
                </c:pt>
                <c:pt idx="102">
                  <c:v>36.0884</c:v>
                </c:pt>
                <c:pt idx="103">
                  <c:v>36.320500000000003</c:v>
                </c:pt>
                <c:pt idx="104">
                  <c:v>36.540700000000001</c:v>
                </c:pt>
                <c:pt idx="105">
                  <c:v>36.727900000000005</c:v>
                </c:pt>
                <c:pt idx="106">
                  <c:v>36.912800000000004</c:v>
                </c:pt>
                <c:pt idx="107">
                  <c:v>37.131799999999998</c:v>
                </c:pt>
                <c:pt idx="108">
                  <c:v>37.375300000000003</c:v>
                </c:pt>
                <c:pt idx="109">
                  <c:v>37.568600000000004</c:v>
                </c:pt>
                <c:pt idx="110">
                  <c:v>37.718600000000002</c:v>
                </c:pt>
                <c:pt idx="111">
                  <c:v>37.853300000000004</c:v>
                </c:pt>
                <c:pt idx="112">
                  <c:v>37.988999999999997</c:v>
                </c:pt>
                <c:pt idx="113">
                  <c:v>38.158299999999997</c:v>
                </c:pt>
                <c:pt idx="114">
                  <c:v>38.343400000000003</c:v>
                </c:pt>
                <c:pt idx="115">
                  <c:v>38.500799999999998</c:v>
                </c:pt>
                <c:pt idx="116">
                  <c:v>38.5959</c:v>
                </c:pt>
                <c:pt idx="117">
                  <c:v>38.649899999999995</c:v>
                </c:pt>
                <c:pt idx="118">
                  <c:v>38.6554</c:v>
                </c:pt>
                <c:pt idx="119">
                  <c:v>38.692700000000002</c:v>
                </c:pt>
                <c:pt idx="120">
                  <c:v>38.757200000000005</c:v>
                </c:pt>
                <c:pt idx="121">
                  <c:v>38.867100000000001</c:v>
                </c:pt>
                <c:pt idx="122">
                  <c:v>39.025300000000001</c:v>
                </c:pt>
                <c:pt idx="123">
                  <c:v>39.168399999999998</c:v>
                </c:pt>
                <c:pt idx="124">
                  <c:v>39.312399999999997</c:v>
                </c:pt>
                <c:pt idx="125">
                  <c:v>39.389400000000002</c:v>
                </c:pt>
                <c:pt idx="126">
                  <c:v>39.417499999999997</c:v>
                </c:pt>
                <c:pt idx="127">
                  <c:v>39.395599999999995</c:v>
                </c:pt>
                <c:pt idx="128">
                  <c:v>39.390700000000002</c:v>
                </c:pt>
                <c:pt idx="129">
                  <c:v>39.399699999999996</c:v>
                </c:pt>
                <c:pt idx="130">
                  <c:v>39.440300000000001</c:v>
                </c:pt>
                <c:pt idx="131">
                  <c:v>39.405200000000001</c:v>
                </c:pt>
                <c:pt idx="132">
                  <c:v>39.300699999999999</c:v>
                </c:pt>
                <c:pt idx="133">
                  <c:v>39.205199999999998</c:v>
                </c:pt>
                <c:pt idx="134">
                  <c:v>39.171700000000001</c:v>
                </c:pt>
                <c:pt idx="135">
                  <c:v>39.124199999999995</c:v>
                </c:pt>
                <c:pt idx="136">
                  <c:v>39.047199999999997</c:v>
                </c:pt>
                <c:pt idx="137">
                  <c:v>38.951500000000003</c:v>
                </c:pt>
                <c:pt idx="138">
                  <c:v>38.769799999999996</c:v>
                </c:pt>
                <c:pt idx="139">
                  <c:v>38.502399999999994</c:v>
                </c:pt>
                <c:pt idx="140">
                  <c:v>38.192599999999999</c:v>
                </c:pt>
                <c:pt idx="141">
                  <c:v>37.897799999999997</c:v>
                </c:pt>
                <c:pt idx="142">
                  <c:v>37.648499999999999</c:v>
                </c:pt>
                <c:pt idx="143">
                  <c:v>37.628499999999995</c:v>
                </c:pt>
                <c:pt idx="144">
                  <c:v>37.658700000000003</c:v>
                </c:pt>
                <c:pt idx="145">
                  <c:v>37.614999999999995</c:v>
                </c:pt>
                <c:pt idx="146">
                  <c:v>37.763500000000001</c:v>
                </c:pt>
                <c:pt idx="147">
                  <c:v>38.191000000000003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29.677600000000002</c:v>
                </c:pt>
                <c:pt idx="1">
                  <c:v>30.081299999999999</c:v>
                </c:pt>
                <c:pt idx="2">
                  <c:v>30.704999999999998</c:v>
                </c:pt>
                <c:pt idx="3">
                  <c:v>31.065200000000001</c:v>
                </c:pt>
                <c:pt idx="4">
                  <c:v>31.463200000000001</c:v>
                </c:pt>
                <c:pt idx="5">
                  <c:v>31.838999999999999</c:v>
                </c:pt>
                <c:pt idx="6">
                  <c:v>32.210700000000003</c:v>
                </c:pt>
                <c:pt idx="7">
                  <c:v>32.607900000000001</c:v>
                </c:pt>
                <c:pt idx="8">
                  <c:v>33.021799999999999</c:v>
                </c:pt>
                <c:pt idx="9">
                  <c:v>33.428400000000003</c:v>
                </c:pt>
                <c:pt idx="10">
                  <c:v>33.828699999999998</c:v>
                </c:pt>
                <c:pt idx="11">
                  <c:v>34.239600000000003</c:v>
                </c:pt>
                <c:pt idx="12">
                  <c:v>34.630499999999998</c:v>
                </c:pt>
                <c:pt idx="13">
                  <c:v>35.030700000000003</c:v>
                </c:pt>
                <c:pt idx="14">
                  <c:v>35.4392</c:v>
                </c:pt>
                <c:pt idx="15">
                  <c:v>35.8444</c:v>
                </c:pt>
                <c:pt idx="16">
                  <c:v>36.268700000000003</c:v>
                </c:pt>
                <c:pt idx="17">
                  <c:v>36.678600000000003</c:v>
                </c:pt>
                <c:pt idx="18">
                  <c:v>37.064599999999999</c:v>
                </c:pt>
                <c:pt idx="19">
                  <c:v>37.486400000000003</c:v>
                </c:pt>
                <c:pt idx="20">
                  <c:v>37.883400000000002</c:v>
                </c:pt>
                <c:pt idx="21">
                  <c:v>38.306199999999997</c:v>
                </c:pt>
                <c:pt idx="22">
                  <c:v>38.690600000000003</c:v>
                </c:pt>
                <c:pt idx="23">
                  <c:v>39.113500000000002</c:v>
                </c:pt>
                <c:pt idx="24">
                  <c:v>39.527000000000001</c:v>
                </c:pt>
                <c:pt idx="25">
                  <c:v>39.918999999999997</c:v>
                </c:pt>
                <c:pt idx="26">
                  <c:v>40.334200000000003</c:v>
                </c:pt>
                <c:pt idx="27">
                  <c:v>40.737000000000002</c:v>
                </c:pt>
                <c:pt idx="28">
                  <c:v>41.146999999999998</c:v>
                </c:pt>
                <c:pt idx="29">
                  <c:v>41.543900000000001</c:v>
                </c:pt>
                <c:pt idx="30">
                  <c:v>41.960700000000003</c:v>
                </c:pt>
                <c:pt idx="31">
                  <c:v>42.358899999999998</c:v>
                </c:pt>
                <c:pt idx="32">
                  <c:v>42.771299999999997</c:v>
                </c:pt>
                <c:pt idx="33">
                  <c:v>43.179499999999997</c:v>
                </c:pt>
                <c:pt idx="34">
                  <c:v>43.5837</c:v>
                </c:pt>
                <c:pt idx="35">
                  <c:v>43.967399999999998</c:v>
                </c:pt>
                <c:pt idx="36">
                  <c:v>44.394100000000002</c:v>
                </c:pt>
                <c:pt idx="37">
                  <c:v>44.798900000000003</c:v>
                </c:pt>
                <c:pt idx="38">
                  <c:v>45.202300000000001</c:v>
                </c:pt>
                <c:pt idx="39">
                  <c:v>45.606299999999997</c:v>
                </c:pt>
                <c:pt idx="40">
                  <c:v>46.015300000000003</c:v>
                </c:pt>
                <c:pt idx="41">
                  <c:v>46.431899999999999</c:v>
                </c:pt>
                <c:pt idx="42">
                  <c:v>46.819299999999998</c:v>
                </c:pt>
                <c:pt idx="43">
                  <c:v>47.232900000000001</c:v>
                </c:pt>
                <c:pt idx="44">
                  <c:v>47.629100000000001</c:v>
                </c:pt>
                <c:pt idx="45">
                  <c:v>48.052799999999998</c:v>
                </c:pt>
                <c:pt idx="46">
                  <c:v>48.454799999999999</c:v>
                </c:pt>
                <c:pt idx="47">
                  <c:v>48.848300000000002</c:v>
                </c:pt>
                <c:pt idx="48">
                  <c:v>49.249000000000002</c:v>
                </c:pt>
                <c:pt idx="49">
                  <c:v>49.664700000000003</c:v>
                </c:pt>
                <c:pt idx="50">
                  <c:v>50.084600000000002</c:v>
                </c:pt>
                <c:pt idx="51">
                  <c:v>50.483400000000003</c:v>
                </c:pt>
                <c:pt idx="52">
                  <c:v>50.898899999999998</c:v>
                </c:pt>
                <c:pt idx="53">
                  <c:v>51.302700000000002</c:v>
                </c:pt>
                <c:pt idx="54">
                  <c:v>51.711399999999998</c:v>
                </c:pt>
                <c:pt idx="55">
                  <c:v>52.110700000000001</c:v>
                </c:pt>
                <c:pt idx="56">
                  <c:v>52.511000000000003</c:v>
                </c:pt>
                <c:pt idx="57">
                  <c:v>52.925800000000002</c:v>
                </c:pt>
                <c:pt idx="58">
                  <c:v>53.334299999999999</c:v>
                </c:pt>
                <c:pt idx="59">
                  <c:v>53.735799999999998</c:v>
                </c:pt>
                <c:pt idx="60">
                  <c:v>54.144100000000002</c:v>
                </c:pt>
                <c:pt idx="61">
                  <c:v>54.546999999999997</c:v>
                </c:pt>
                <c:pt idx="62">
                  <c:v>54.945099999999996</c:v>
                </c:pt>
                <c:pt idx="63">
                  <c:v>55.366500000000002</c:v>
                </c:pt>
                <c:pt idx="64">
                  <c:v>55.766599999999997</c:v>
                </c:pt>
                <c:pt idx="65">
                  <c:v>56.170099999999998</c:v>
                </c:pt>
                <c:pt idx="66">
                  <c:v>56.569699999999997</c:v>
                </c:pt>
                <c:pt idx="67">
                  <c:v>56.970199999999998</c:v>
                </c:pt>
                <c:pt idx="68">
                  <c:v>57.397199999999998</c:v>
                </c:pt>
                <c:pt idx="69">
                  <c:v>57.802100000000003</c:v>
                </c:pt>
                <c:pt idx="70">
                  <c:v>58.187100000000001</c:v>
                </c:pt>
                <c:pt idx="71">
                  <c:v>58.598700000000001</c:v>
                </c:pt>
                <c:pt idx="72">
                  <c:v>58.996899999999997</c:v>
                </c:pt>
                <c:pt idx="73">
                  <c:v>59.408700000000003</c:v>
                </c:pt>
                <c:pt idx="74">
                  <c:v>59.823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39.912799999999997</c:v>
                </c:pt>
                <c:pt idx="1">
                  <c:v>39.662100000000002</c:v>
                </c:pt>
                <c:pt idx="2">
                  <c:v>39.280200000000001</c:v>
                </c:pt>
                <c:pt idx="3">
                  <c:v>38.9512</c:v>
                </c:pt>
                <c:pt idx="4">
                  <c:v>38.616799999999998</c:v>
                </c:pt>
                <c:pt idx="5">
                  <c:v>38.340000000000003</c:v>
                </c:pt>
                <c:pt idx="6">
                  <c:v>38.068600000000004</c:v>
                </c:pt>
                <c:pt idx="7">
                  <c:v>37.828400000000002</c:v>
                </c:pt>
                <c:pt idx="8">
                  <c:v>37.611600000000003</c:v>
                </c:pt>
                <c:pt idx="9">
                  <c:v>37.312100000000001</c:v>
                </c:pt>
                <c:pt idx="10">
                  <c:v>36.930099999999996</c:v>
                </c:pt>
                <c:pt idx="11">
                  <c:v>36.649799999999999</c:v>
                </c:pt>
                <c:pt idx="12">
                  <c:v>36.426400000000001</c:v>
                </c:pt>
                <c:pt idx="13">
                  <c:v>36.212400000000002</c:v>
                </c:pt>
                <c:pt idx="14">
                  <c:v>35.989399999999996</c:v>
                </c:pt>
                <c:pt idx="15">
                  <c:v>35.760300000000001</c:v>
                </c:pt>
                <c:pt idx="16">
                  <c:v>35.547200000000004</c:v>
                </c:pt>
                <c:pt idx="17">
                  <c:v>35.389499999999998</c:v>
                </c:pt>
                <c:pt idx="18">
                  <c:v>35.296499999999995</c:v>
                </c:pt>
                <c:pt idx="19">
                  <c:v>35.250500000000002</c:v>
                </c:pt>
                <c:pt idx="20">
                  <c:v>35.246600000000001</c:v>
                </c:pt>
                <c:pt idx="21">
                  <c:v>35.231899999999996</c:v>
                </c:pt>
                <c:pt idx="22">
                  <c:v>35.216500000000003</c:v>
                </c:pt>
                <c:pt idx="23">
                  <c:v>35.195799999999998</c:v>
                </c:pt>
                <c:pt idx="24">
                  <c:v>35.189300000000003</c:v>
                </c:pt>
                <c:pt idx="25">
                  <c:v>35.269099999999995</c:v>
                </c:pt>
                <c:pt idx="26">
                  <c:v>35.396499999999996</c:v>
                </c:pt>
                <c:pt idx="27">
                  <c:v>35.5899</c:v>
                </c:pt>
                <c:pt idx="28">
                  <c:v>35.844999999999999</c:v>
                </c:pt>
                <c:pt idx="29">
                  <c:v>36.0884</c:v>
                </c:pt>
                <c:pt idx="30">
                  <c:v>36.320500000000003</c:v>
                </c:pt>
                <c:pt idx="31">
                  <c:v>36.540700000000001</c:v>
                </c:pt>
                <c:pt idx="32">
                  <c:v>36.727900000000005</c:v>
                </c:pt>
                <c:pt idx="33">
                  <c:v>36.912800000000004</c:v>
                </c:pt>
                <c:pt idx="34">
                  <c:v>37.131799999999998</c:v>
                </c:pt>
                <c:pt idx="35">
                  <c:v>37.375300000000003</c:v>
                </c:pt>
                <c:pt idx="36">
                  <c:v>37.568600000000004</c:v>
                </c:pt>
                <c:pt idx="37">
                  <c:v>37.718600000000002</c:v>
                </c:pt>
                <c:pt idx="38">
                  <c:v>37.853300000000004</c:v>
                </c:pt>
                <c:pt idx="39">
                  <c:v>37.988999999999997</c:v>
                </c:pt>
                <c:pt idx="40">
                  <c:v>38.158299999999997</c:v>
                </c:pt>
                <c:pt idx="41">
                  <c:v>38.343400000000003</c:v>
                </c:pt>
                <c:pt idx="42">
                  <c:v>38.500799999999998</c:v>
                </c:pt>
                <c:pt idx="43">
                  <c:v>38.5959</c:v>
                </c:pt>
                <c:pt idx="44">
                  <c:v>38.649899999999995</c:v>
                </c:pt>
                <c:pt idx="45">
                  <c:v>38.6554</c:v>
                </c:pt>
                <c:pt idx="46">
                  <c:v>38.692700000000002</c:v>
                </c:pt>
                <c:pt idx="47">
                  <c:v>38.757200000000005</c:v>
                </c:pt>
                <c:pt idx="48">
                  <c:v>38.867100000000001</c:v>
                </c:pt>
                <c:pt idx="49">
                  <c:v>39.025300000000001</c:v>
                </c:pt>
                <c:pt idx="50">
                  <c:v>39.168399999999998</c:v>
                </c:pt>
                <c:pt idx="51">
                  <c:v>39.312399999999997</c:v>
                </c:pt>
                <c:pt idx="52">
                  <c:v>39.389400000000002</c:v>
                </c:pt>
                <c:pt idx="53">
                  <c:v>39.417499999999997</c:v>
                </c:pt>
                <c:pt idx="54">
                  <c:v>39.395599999999995</c:v>
                </c:pt>
                <c:pt idx="55">
                  <c:v>39.390700000000002</c:v>
                </c:pt>
                <c:pt idx="56">
                  <c:v>39.399699999999996</c:v>
                </c:pt>
                <c:pt idx="57">
                  <c:v>39.440300000000001</c:v>
                </c:pt>
                <c:pt idx="58">
                  <c:v>39.405200000000001</c:v>
                </c:pt>
                <c:pt idx="59">
                  <c:v>39.300699999999999</c:v>
                </c:pt>
                <c:pt idx="60">
                  <c:v>39.205199999999998</c:v>
                </c:pt>
                <c:pt idx="61">
                  <c:v>39.171700000000001</c:v>
                </c:pt>
                <c:pt idx="62">
                  <c:v>39.124199999999995</c:v>
                </c:pt>
                <c:pt idx="63">
                  <c:v>39.047199999999997</c:v>
                </c:pt>
                <c:pt idx="64">
                  <c:v>38.951500000000003</c:v>
                </c:pt>
                <c:pt idx="65">
                  <c:v>38.769799999999996</c:v>
                </c:pt>
                <c:pt idx="66">
                  <c:v>38.502399999999994</c:v>
                </c:pt>
                <c:pt idx="67">
                  <c:v>38.192599999999999</c:v>
                </c:pt>
                <c:pt idx="68">
                  <c:v>37.897799999999997</c:v>
                </c:pt>
                <c:pt idx="69">
                  <c:v>37.648499999999999</c:v>
                </c:pt>
                <c:pt idx="70">
                  <c:v>37.628499999999995</c:v>
                </c:pt>
                <c:pt idx="71">
                  <c:v>37.658700000000003</c:v>
                </c:pt>
                <c:pt idx="72">
                  <c:v>37.614999999999995</c:v>
                </c:pt>
                <c:pt idx="73">
                  <c:v>37.763500000000001</c:v>
                </c:pt>
                <c:pt idx="74">
                  <c:v>38.191000000000003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14.95575</c:v>
                </c:pt>
                <c:pt idx="1">
                  <c:v>44.867249999999999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49.53313783783782</c:v>
                </c:pt>
                <c:pt idx="1">
                  <c:v>37.658974324324319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29.203900000000001</c:v>
                </c:pt>
                <c:pt idx="1">
                  <c:v>30.476199999999999</c:v>
                </c:pt>
                <c:pt idx="2">
                  <c:v>33.650599999999997</c:v>
                </c:pt>
                <c:pt idx="3">
                  <c:v>32.280999999999999</c:v>
                </c:pt>
                <c:pt idx="4">
                  <c:v>67.591700000000003</c:v>
                </c:pt>
                <c:pt idx="5">
                  <c:v>73.783199999999994</c:v>
                </c:pt>
                <c:pt idx="6">
                  <c:v>13.7181</c:v>
                </c:pt>
                <c:pt idx="7">
                  <c:v>70.709100000000007</c:v>
                </c:pt>
                <c:pt idx="8">
                  <c:v>15.7926</c:v>
                </c:pt>
                <c:pt idx="9">
                  <c:v>18.3993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39.448700000000002</c:v>
                </c:pt>
                <c:pt idx="1">
                  <c:v>33.731000000000002</c:v>
                </c:pt>
                <c:pt idx="2">
                  <c:v>33.643599999999999</c:v>
                </c:pt>
                <c:pt idx="3">
                  <c:v>34.778599999999997</c:v>
                </c:pt>
                <c:pt idx="4">
                  <c:v>67.237799999999993</c:v>
                </c:pt>
                <c:pt idx="5">
                  <c:v>69.8369</c:v>
                </c:pt>
                <c:pt idx="6">
                  <c:v>18.105399999999999</c:v>
                </c:pt>
                <c:pt idx="7">
                  <c:v>68.405299999999997</c:v>
                </c:pt>
                <c:pt idx="8">
                  <c:v>15.725899999999999</c:v>
                </c:pt>
                <c:pt idx="9">
                  <c:v>20.6831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0.53788325612152144</c:v>
                </c:pt>
                <c:pt idx="1">
                  <c:v>0.29921967157506374</c:v>
                </c:pt>
                <c:pt idx="2">
                  <c:v>0.16289707230341482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10926</c:v>
                </c:pt>
                <c:pt idx="7">
                  <c:v>0</c:v>
                </c:pt>
                <c:pt idx="8">
                  <c:v>17369</c:v>
                </c:pt>
                <c:pt idx="9">
                  <c:v>0</c:v>
                </c:pt>
                <c:pt idx="10">
                  <c:v>0</c:v>
                </c:pt>
                <c:pt idx="11">
                  <c:v>28319</c:v>
                </c:pt>
                <c:pt idx="12">
                  <c:v>0</c:v>
                </c:pt>
                <c:pt idx="13">
                  <c:v>33599</c:v>
                </c:pt>
                <c:pt idx="14">
                  <c:v>0</c:v>
                </c:pt>
                <c:pt idx="15">
                  <c:v>0</c:v>
                </c:pt>
                <c:pt idx="16">
                  <c:v>33033</c:v>
                </c:pt>
                <c:pt idx="17">
                  <c:v>0</c:v>
                </c:pt>
                <c:pt idx="18">
                  <c:v>0</c:v>
                </c:pt>
                <c:pt idx="19">
                  <c:v>37366</c:v>
                </c:pt>
                <c:pt idx="20">
                  <c:v>0</c:v>
                </c:pt>
                <c:pt idx="21">
                  <c:v>39721</c:v>
                </c:pt>
                <c:pt idx="22">
                  <c:v>0</c:v>
                </c:pt>
                <c:pt idx="23">
                  <c:v>0</c:v>
                </c:pt>
                <c:pt idx="24">
                  <c:v>47769</c:v>
                </c:pt>
                <c:pt idx="25">
                  <c:v>0</c:v>
                </c:pt>
                <c:pt idx="26">
                  <c:v>57831</c:v>
                </c:pt>
                <c:pt idx="27">
                  <c:v>0</c:v>
                </c:pt>
                <c:pt idx="28">
                  <c:v>0</c:v>
                </c:pt>
                <c:pt idx="29">
                  <c:v>55076</c:v>
                </c:pt>
                <c:pt idx="30">
                  <c:v>0</c:v>
                </c:pt>
                <c:pt idx="31">
                  <c:v>62405</c:v>
                </c:pt>
                <c:pt idx="32">
                  <c:v>0</c:v>
                </c:pt>
                <c:pt idx="33">
                  <c:v>0</c:v>
                </c:pt>
                <c:pt idx="34">
                  <c:v>78142</c:v>
                </c:pt>
                <c:pt idx="35">
                  <c:v>0</c:v>
                </c:pt>
                <c:pt idx="36">
                  <c:v>0</c:v>
                </c:pt>
                <c:pt idx="37">
                  <c:v>83113</c:v>
                </c:pt>
                <c:pt idx="38">
                  <c:v>0</c:v>
                </c:pt>
                <c:pt idx="39">
                  <c:v>89796</c:v>
                </c:pt>
                <c:pt idx="40">
                  <c:v>0</c:v>
                </c:pt>
                <c:pt idx="41">
                  <c:v>0</c:v>
                </c:pt>
                <c:pt idx="42">
                  <c:v>91899</c:v>
                </c:pt>
                <c:pt idx="43">
                  <c:v>0</c:v>
                </c:pt>
                <c:pt idx="44">
                  <c:v>94752</c:v>
                </c:pt>
                <c:pt idx="45">
                  <c:v>0</c:v>
                </c:pt>
                <c:pt idx="46">
                  <c:v>0</c:v>
                </c:pt>
                <c:pt idx="47">
                  <c:v>100285</c:v>
                </c:pt>
                <c:pt idx="48">
                  <c:v>0</c:v>
                </c:pt>
                <c:pt idx="49">
                  <c:v>111074</c:v>
                </c:pt>
                <c:pt idx="50">
                  <c:v>0</c:v>
                </c:pt>
                <c:pt idx="51">
                  <c:v>0</c:v>
                </c:pt>
                <c:pt idx="52">
                  <c:v>100373</c:v>
                </c:pt>
                <c:pt idx="53">
                  <c:v>0</c:v>
                </c:pt>
                <c:pt idx="54">
                  <c:v>0</c:v>
                </c:pt>
                <c:pt idx="55">
                  <c:v>70089</c:v>
                </c:pt>
                <c:pt idx="56">
                  <c:v>0</c:v>
                </c:pt>
                <c:pt idx="57">
                  <c:v>84449</c:v>
                </c:pt>
                <c:pt idx="58">
                  <c:v>0</c:v>
                </c:pt>
                <c:pt idx="59">
                  <c:v>0</c:v>
                </c:pt>
                <c:pt idx="60">
                  <c:v>91384</c:v>
                </c:pt>
                <c:pt idx="61">
                  <c:v>0</c:v>
                </c:pt>
                <c:pt idx="62">
                  <c:v>90472</c:v>
                </c:pt>
                <c:pt idx="63">
                  <c:v>0</c:v>
                </c:pt>
                <c:pt idx="64">
                  <c:v>0</c:v>
                </c:pt>
                <c:pt idx="65">
                  <c:v>83001</c:v>
                </c:pt>
                <c:pt idx="66">
                  <c:v>0</c:v>
                </c:pt>
                <c:pt idx="67">
                  <c:v>74720</c:v>
                </c:pt>
                <c:pt idx="68">
                  <c:v>0</c:v>
                </c:pt>
                <c:pt idx="69">
                  <c:v>0</c:v>
                </c:pt>
                <c:pt idx="70">
                  <c:v>63624</c:v>
                </c:pt>
                <c:pt idx="71">
                  <c:v>0</c:v>
                </c:pt>
                <c:pt idx="72">
                  <c:v>0</c:v>
                </c:pt>
                <c:pt idx="73">
                  <c:v>52962</c:v>
                </c:pt>
                <c:pt idx="74">
                  <c:v>0</c:v>
                </c:pt>
                <c:pt idx="75">
                  <c:v>57055</c:v>
                </c:pt>
                <c:pt idx="76">
                  <c:v>0</c:v>
                </c:pt>
                <c:pt idx="77">
                  <c:v>0</c:v>
                </c:pt>
                <c:pt idx="78">
                  <c:v>55301</c:v>
                </c:pt>
                <c:pt idx="79">
                  <c:v>0</c:v>
                </c:pt>
                <c:pt idx="80">
                  <c:v>60259</c:v>
                </c:pt>
                <c:pt idx="81">
                  <c:v>0</c:v>
                </c:pt>
                <c:pt idx="82">
                  <c:v>0</c:v>
                </c:pt>
                <c:pt idx="83">
                  <c:v>68379</c:v>
                </c:pt>
                <c:pt idx="84">
                  <c:v>0</c:v>
                </c:pt>
                <c:pt idx="85">
                  <c:v>0</c:v>
                </c:pt>
                <c:pt idx="86">
                  <c:v>57220</c:v>
                </c:pt>
                <c:pt idx="87">
                  <c:v>0</c:v>
                </c:pt>
                <c:pt idx="88">
                  <c:v>48814</c:v>
                </c:pt>
                <c:pt idx="89">
                  <c:v>0</c:v>
                </c:pt>
                <c:pt idx="90">
                  <c:v>0</c:v>
                </c:pt>
                <c:pt idx="91">
                  <c:v>45641</c:v>
                </c:pt>
                <c:pt idx="92">
                  <c:v>0</c:v>
                </c:pt>
                <c:pt idx="93">
                  <c:v>37603</c:v>
                </c:pt>
                <c:pt idx="94">
                  <c:v>0</c:v>
                </c:pt>
                <c:pt idx="95">
                  <c:v>0</c:v>
                </c:pt>
                <c:pt idx="96">
                  <c:v>30705</c:v>
                </c:pt>
                <c:pt idx="97">
                  <c:v>0</c:v>
                </c:pt>
                <c:pt idx="98">
                  <c:v>23565</c:v>
                </c:pt>
                <c:pt idx="99">
                  <c:v>0</c:v>
                </c:pt>
                <c:pt idx="100">
                  <c:v>0</c:v>
                </c:pt>
                <c:pt idx="101">
                  <c:v>17453</c:v>
                </c:pt>
                <c:pt idx="102">
                  <c:v>0</c:v>
                </c:pt>
                <c:pt idx="103">
                  <c:v>0</c:v>
                </c:pt>
                <c:pt idx="104">
                  <c:v>15285</c:v>
                </c:pt>
                <c:pt idx="105">
                  <c:v>0</c:v>
                </c:pt>
                <c:pt idx="106">
                  <c:v>11336</c:v>
                </c:pt>
                <c:pt idx="107">
                  <c:v>0</c:v>
                </c:pt>
                <c:pt idx="108">
                  <c:v>0</c:v>
                </c:pt>
                <c:pt idx="109">
                  <c:v>10664</c:v>
                </c:pt>
                <c:pt idx="110">
                  <c:v>0</c:v>
                </c:pt>
                <c:pt idx="111">
                  <c:v>9554</c:v>
                </c:pt>
                <c:pt idx="112">
                  <c:v>0</c:v>
                </c:pt>
                <c:pt idx="113">
                  <c:v>0</c:v>
                </c:pt>
                <c:pt idx="114">
                  <c:v>9114</c:v>
                </c:pt>
                <c:pt idx="115">
                  <c:v>0</c:v>
                </c:pt>
                <c:pt idx="116">
                  <c:v>7739</c:v>
                </c:pt>
                <c:pt idx="117">
                  <c:v>0</c:v>
                </c:pt>
                <c:pt idx="118">
                  <c:v>0</c:v>
                </c:pt>
                <c:pt idx="119">
                  <c:v>8873</c:v>
                </c:pt>
                <c:pt idx="120">
                  <c:v>0</c:v>
                </c:pt>
                <c:pt idx="121">
                  <c:v>0</c:v>
                </c:pt>
                <c:pt idx="122">
                  <c:v>8309</c:v>
                </c:pt>
                <c:pt idx="123">
                  <c:v>0</c:v>
                </c:pt>
                <c:pt idx="124">
                  <c:v>6962</c:v>
                </c:pt>
                <c:pt idx="125">
                  <c:v>0</c:v>
                </c:pt>
                <c:pt idx="126">
                  <c:v>0</c:v>
                </c:pt>
                <c:pt idx="127">
                  <c:v>7126</c:v>
                </c:pt>
                <c:pt idx="128">
                  <c:v>0</c:v>
                </c:pt>
                <c:pt idx="129">
                  <c:v>5413</c:v>
                </c:pt>
                <c:pt idx="130">
                  <c:v>0</c:v>
                </c:pt>
                <c:pt idx="131">
                  <c:v>0</c:v>
                </c:pt>
                <c:pt idx="132">
                  <c:v>4897</c:v>
                </c:pt>
                <c:pt idx="133">
                  <c:v>0</c:v>
                </c:pt>
                <c:pt idx="134">
                  <c:v>4654</c:v>
                </c:pt>
                <c:pt idx="135">
                  <c:v>0</c:v>
                </c:pt>
                <c:pt idx="136">
                  <c:v>0</c:v>
                </c:pt>
                <c:pt idx="137">
                  <c:v>4240</c:v>
                </c:pt>
                <c:pt idx="138">
                  <c:v>0</c:v>
                </c:pt>
                <c:pt idx="139">
                  <c:v>0</c:v>
                </c:pt>
                <c:pt idx="140">
                  <c:v>2641</c:v>
                </c:pt>
                <c:pt idx="141">
                  <c:v>0</c:v>
                </c:pt>
                <c:pt idx="142">
                  <c:v>2741</c:v>
                </c:pt>
                <c:pt idx="143">
                  <c:v>0</c:v>
                </c:pt>
                <c:pt idx="144">
                  <c:v>0</c:v>
                </c:pt>
                <c:pt idx="145">
                  <c:v>1833</c:v>
                </c:pt>
                <c:pt idx="146">
                  <c:v>0</c:v>
                </c:pt>
                <c:pt idx="147">
                  <c:v>1820</c:v>
                </c:pt>
                <c:pt idx="148">
                  <c:v>0</c:v>
                </c:pt>
                <c:pt idx="149">
                  <c:v>0</c:v>
                </c:pt>
                <c:pt idx="150">
                  <c:v>849</c:v>
                </c:pt>
                <c:pt idx="151">
                  <c:v>0</c:v>
                </c:pt>
                <c:pt idx="152">
                  <c:v>450</c:v>
                </c:pt>
                <c:pt idx="153">
                  <c:v>0</c:v>
                </c:pt>
                <c:pt idx="154">
                  <c:v>0</c:v>
                </c:pt>
                <c:pt idx="155">
                  <c:v>189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7713</c:v>
                </c:pt>
                <c:pt idx="7">
                  <c:v>0</c:v>
                </c:pt>
                <c:pt idx="8">
                  <c:v>11169</c:v>
                </c:pt>
                <c:pt idx="9">
                  <c:v>0</c:v>
                </c:pt>
                <c:pt idx="10">
                  <c:v>0</c:v>
                </c:pt>
                <c:pt idx="11">
                  <c:v>15311</c:v>
                </c:pt>
                <c:pt idx="12">
                  <c:v>0</c:v>
                </c:pt>
                <c:pt idx="13">
                  <c:v>16848</c:v>
                </c:pt>
                <c:pt idx="14">
                  <c:v>0</c:v>
                </c:pt>
                <c:pt idx="15">
                  <c:v>0</c:v>
                </c:pt>
                <c:pt idx="16">
                  <c:v>14355</c:v>
                </c:pt>
                <c:pt idx="17">
                  <c:v>0</c:v>
                </c:pt>
                <c:pt idx="18">
                  <c:v>0</c:v>
                </c:pt>
                <c:pt idx="19">
                  <c:v>18545</c:v>
                </c:pt>
                <c:pt idx="20">
                  <c:v>0</c:v>
                </c:pt>
                <c:pt idx="21">
                  <c:v>23393</c:v>
                </c:pt>
                <c:pt idx="22">
                  <c:v>0</c:v>
                </c:pt>
                <c:pt idx="23">
                  <c:v>0</c:v>
                </c:pt>
                <c:pt idx="24">
                  <c:v>28434</c:v>
                </c:pt>
                <c:pt idx="25">
                  <c:v>0</c:v>
                </c:pt>
                <c:pt idx="26">
                  <c:v>35037</c:v>
                </c:pt>
                <c:pt idx="27">
                  <c:v>0</c:v>
                </c:pt>
                <c:pt idx="28">
                  <c:v>0</c:v>
                </c:pt>
                <c:pt idx="29">
                  <c:v>34547</c:v>
                </c:pt>
                <c:pt idx="30">
                  <c:v>0</c:v>
                </c:pt>
                <c:pt idx="31">
                  <c:v>42464</c:v>
                </c:pt>
                <c:pt idx="32">
                  <c:v>0</c:v>
                </c:pt>
                <c:pt idx="33">
                  <c:v>0</c:v>
                </c:pt>
                <c:pt idx="34">
                  <c:v>48957</c:v>
                </c:pt>
                <c:pt idx="35">
                  <c:v>0</c:v>
                </c:pt>
                <c:pt idx="36">
                  <c:v>0</c:v>
                </c:pt>
                <c:pt idx="37">
                  <c:v>55313</c:v>
                </c:pt>
                <c:pt idx="38">
                  <c:v>0</c:v>
                </c:pt>
                <c:pt idx="39">
                  <c:v>54596</c:v>
                </c:pt>
                <c:pt idx="40">
                  <c:v>0</c:v>
                </c:pt>
                <c:pt idx="41">
                  <c:v>0</c:v>
                </c:pt>
                <c:pt idx="42">
                  <c:v>65241</c:v>
                </c:pt>
                <c:pt idx="43">
                  <c:v>0</c:v>
                </c:pt>
                <c:pt idx="44">
                  <c:v>66420</c:v>
                </c:pt>
                <c:pt idx="45">
                  <c:v>0</c:v>
                </c:pt>
                <c:pt idx="46">
                  <c:v>0</c:v>
                </c:pt>
                <c:pt idx="47">
                  <c:v>64096</c:v>
                </c:pt>
                <c:pt idx="48">
                  <c:v>0</c:v>
                </c:pt>
                <c:pt idx="49">
                  <c:v>66157</c:v>
                </c:pt>
                <c:pt idx="50">
                  <c:v>0</c:v>
                </c:pt>
                <c:pt idx="51">
                  <c:v>0</c:v>
                </c:pt>
                <c:pt idx="52">
                  <c:v>69576</c:v>
                </c:pt>
                <c:pt idx="53">
                  <c:v>0</c:v>
                </c:pt>
                <c:pt idx="54">
                  <c:v>0</c:v>
                </c:pt>
                <c:pt idx="55">
                  <c:v>80092</c:v>
                </c:pt>
                <c:pt idx="56">
                  <c:v>0</c:v>
                </c:pt>
                <c:pt idx="57">
                  <c:v>84566</c:v>
                </c:pt>
                <c:pt idx="58">
                  <c:v>0</c:v>
                </c:pt>
                <c:pt idx="59">
                  <c:v>0</c:v>
                </c:pt>
                <c:pt idx="60">
                  <c:v>78399</c:v>
                </c:pt>
                <c:pt idx="61">
                  <c:v>0</c:v>
                </c:pt>
                <c:pt idx="62">
                  <c:v>90047</c:v>
                </c:pt>
                <c:pt idx="63">
                  <c:v>0</c:v>
                </c:pt>
                <c:pt idx="64">
                  <c:v>0</c:v>
                </c:pt>
                <c:pt idx="65">
                  <c:v>83407</c:v>
                </c:pt>
                <c:pt idx="66">
                  <c:v>0</c:v>
                </c:pt>
                <c:pt idx="67">
                  <c:v>83417</c:v>
                </c:pt>
                <c:pt idx="68">
                  <c:v>0</c:v>
                </c:pt>
                <c:pt idx="69">
                  <c:v>0</c:v>
                </c:pt>
                <c:pt idx="70">
                  <c:v>83591</c:v>
                </c:pt>
                <c:pt idx="71">
                  <c:v>0</c:v>
                </c:pt>
                <c:pt idx="72">
                  <c:v>0</c:v>
                </c:pt>
                <c:pt idx="73">
                  <c:v>87855</c:v>
                </c:pt>
                <c:pt idx="74">
                  <c:v>0</c:v>
                </c:pt>
                <c:pt idx="75">
                  <c:v>92012</c:v>
                </c:pt>
                <c:pt idx="76">
                  <c:v>0</c:v>
                </c:pt>
                <c:pt idx="77">
                  <c:v>0</c:v>
                </c:pt>
                <c:pt idx="78">
                  <c:v>98203</c:v>
                </c:pt>
                <c:pt idx="79">
                  <c:v>0</c:v>
                </c:pt>
                <c:pt idx="80">
                  <c:v>103843</c:v>
                </c:pt>
                <c:pt idx="81">
                  <c:v>0</c:v>
                </c:pt>
                <c:pt idx="82">
                  <c:v>0</c:v>
                </c:pt>
                <c:pt idx="83">
                  <c:v>99643</c:v>
                </c:pt>
                <c:pt idx="84">
                  <c:v>0</c:v>
                </c:pt>
                <c:pt idx="85">
                  <c:v>0</c:v>
                </c:pt>
                <c:pt idx="86">
                  <c:v>92524</c:v>
                </c:pt>
                <c:pt idx="87">
                  <c:v>0</c:v>
                </c:pt>
                <c:pt idx="88">
                  <c:v>86907</c:v>
                </c:pt>
                <c:pt idx="89">
                  <c:v>0</c:v>
                </c:pt>
                <c:pt idx="90">
                  <c:v>0</c:v>
                </c:pt>
                <c:pt idx="91">
                  <c:v>92066</c:v>
                </c:pt>
                <c:pt idx="92">
                  <c:v>0</c:v>
                </c:pt>
                <c:pt idx="93">
                  <c:v>85434</c:v>
                </c:pt>
                <c:pt idx="94">
                  <c:v>0</c:v>
                </c:pt>
                <c:pt idx="95">
                  <c:v>0</c:v>
                </c:pt>
                <c:pt idx="96">
                  <c:v>78460</c:v>
                </c:pt>
                <c:pt idx="97">
                  <c:v>0</c:v>
                </c:pt>
                <c:pt idx="98">
                  <c:v>71321</c:v>
                </c:pt>
                <c:pt idx="99">
                  <c:v>0</c:v>
                </c:pt>
                <c:pt idx="100">
                  <c:v>0</c:v>
                </c:pt>
                <c:pt idx="101">
                  <c:v>59137</c:v>
                </c:pt>
                <c:pt idx="102">
                  <c:v>0</c:v>
                </c:pt>
                <c:pt idx="103">
                  <c:v>0</c:v>
                </c:pt>
                <c:pt idx="104">
                  <c:v>51608</c:v>
                </c:pt>
                <c:pt idx="105">
                  <c:v>0</c:v>
                </c:pt>
                <c:pt idx="106">
                  <c:v>52651</c:v>
                </c:pt>
                <c:pt idx="107">
                  <c:v>0</c:v>
                </c:pt>
                <c:pt idx="108">
                  <c:v>0</c:v>
                </c:pt>
                <c:pt idx="109">
                  <c:v>45414</c:v>
                </c:pt>
                <c:pt idx="110">
                  <c:v>0</c:v>
                </c:pt>
                <c:pt idx="111">
                  <c:v>41234</c:v>
                </c:pt>
                <c:pt idx="112">
                  <c:v>0</c:v>
                </c:pt>
                <c:pt idx="113">
                  <c:v>0</c:v>
                </c:pt>
                <c:pt idx="114">
                  <c:v>42802</c:v>
                </c:pt>
                <c:pt idx="115">
                  <c:v>0</c:v>
                </c:pt>
                <c:pt idx="116">
                  <c:v>39179</c:v>
                </c:pt>
                <c:pt idx="117">
                  <c:v>0</c:v>
                </c:pt>
                <c:pt idx="118">
                  <c:v>0</c:v>
                </c:pt>
                <c:pt idx="119">
                  <c:v>38430</c:v>
                </c:pt>
                <c:pt idx="120">
                  <c:v>0</c:v>
                </c:pt>
                <c:pt idx="121">
                  <c:v>0</c:v>
                </c:pt>
                <c:pt idx="122">
                  <c:v>35312</c:v>
                </c:pt>
                <c:pt idx="123">
                  <c:v>0</c:v>
                </c:pt>
                <c:pt idx="124">
                  <c:v>32068</c:v>
                </c:pt>
                <c:pt idx="125">
                  <c:v>0</c:v>
                </c:pt>
                <c:pt idx="126">
                  <c:v>0</c:v>
                </c:pt>
                <c:pt idx="127">
                  <c:v>29264</c:v>
                </c:pt>
                <c:pt idx="128">
                  <c:v>0</c:v>
                </c:pt>
                <c:pt idx="129">
                  <c:v>27010</c:v>
                </c:pt>
                <c:pt idx="130">
                  <c:v>0</c:v>
                </c:pt>
                <c:pt idx="131">
                  <c:v>0</c:v>
                </c:pt>
                <c:pt idx="132">
                  <c:v>27262</c:v>
                </c:pt>
                <c:pt idx="133">
                  <c:v>0</c:v>
                </c:pt>
                <c:pt idx="134">
                  <c:v>22351</c:v>
                </c:pt>
                <c:pt idx="135">
                  <c:v>0</c:v>
                </c:pt>
                <c:pt idx="136">
                  <c:v>0</c:v>
                </c:pt>
                <c:pt idx="137">
                  <c:v>20126</c:v>
                </c:pt>
                <c:pt idx="138">
                  <c:v>0</c:v>
                </c:pt>
                <c:pt idx="139">
                  <c:v>0</c:v>
                </c:pt>
                <c:pt idx="140">
                  <c:v>19448</c:v>
                </c:pt>
                <c:pt idx="141">
                  <c:v>0</c:v>
                </c:pt>
                <c:pt idx="142">
                  <c:v>18863</c:v>
                </c:pt>
                <c:pt idx="143">
                  <c:v>0</c:v>
                </c:pt>
                <c:pt idx="144">
                  <c:v>0</c:v>
                </c:pt>
                <c:pt idx="145">
                  <c:v>15008</c:v>
                </c:pt>
                <c:pt idx="146">
                  <c:v>0</c:v>
                </c:pt>
                <c:pt idx="147">
                  <c:v>10317</c:v>
                </c:pt>
                <c:pt idx="148">
                  <c:v>0</c:v>
                </c:pt>
                <c:pt idx="149">
                  <c:v>0</c:v>
                </c:pt>
                <c:pt idx="150">
                  <c:v>11210</c:v>
                </c:pt>
                <c:pt idx="151">
                  <c:v>0</c:v>
                </c:pt>
                <c:pt idx="152">
                  <c:v>8288</c:v>
                </c:pt>
                <c:pt idx="153">
                  <c:v>0</c:v>
                </c:pt>
                <c:pt idx="154">
                  <c:v>0</c:v>
                </c:pt>
                <c:pt idx="155">
                  <c:v>6444</c:v>
                </c:pt>
                <c:pt idx="156">
                  <c:v>0</c:v>
                </c:pt>
                <c:pt idx="157">
                  <c:v>0</c:v>
                </c:pt>
                <c:pt idx="158">
                  <c:v>5903</c:v>
                </c:pt>
                <c:pt idx="159">
                  <c:v>0</c:v>
                </c:pt>
                <c:pt idx="160">
                  <c:v>5043</c:v>
                </c:pt>
                <c:pt idx="161">
                  <c:v>0</c:v>
                </c:pt>
                <c:pt idx="162">
                  <c:v>0</c:v>
                </c:pt>
                <c:pt idx="163">
                  <c:v>4814</c:v>
                </c:pt>
                <c:pt idx="164">
                  <c:v>0</c:v>
                </c:pt>
                <c:pt idx="165">
                  <c:v>2749</c:v>
                </c:pt>
                <c:pt idx="166">
                  <c:v>0</c:v>
                </c:pt>
                <c:pt idx="167">
                  <c:v>0</c:v>
                </c:pt>
                <c:pt idx="168">
                  <c:v>876</c:v>
                </c:pt>
                <c:pt idx="169">
                  <c:v>0</c:v>
                </c:pt>
                <c:pt idx="170">
                  <c:v>0</c:v>
                </c:pt>
                <c:pt idx="171">
                  <c:v>696</c:v>
                </c:pt>
                <c:pt idx="172">
                  <c:v>0</c:v>
                </c:pt>
                <c:pt idx="173">
                  <c:v>1354</c:v>
                </c:pt>
                <c:pt idx="174">
                  <c:v>0</c:v>
                </c:pt>
                <c:pt idx="175">
                  <c:v>0</c:v>
                </c:pt>
                <c:pt idx="176">
                  <c:v>902</c:v>
                </c:pt>
                <c:pt idx="177">
                  <c:v>0</c:v>
                </c:pt>
                <c:pt idx="178">
                  <c:v>424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0.21477822187570694</c:v>
                </c:pt>
                <c:pt idx="1">
                  <c:v>0.40928309609927865</c:v>
                </c:pt>
                <c:pt idx="2">
                  <c:v>0.3759386820250144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0.51046277293904896</c:v>
                </c:pt>
                <c:pt idx="1">
                  <c:v>0.32328809719882384</c:v>
                </c:pt>
                <c:pt idx="2">
                  <c:v>0.16624912986212725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6.8108050000000002</c:v>
                </c:pt>
                <c:pt idx="1">
                  <c:v>8.2420275000000007</c:v>
                </c:pt>
                <c:pt idx="2">
                  <c:v>23.894200000000001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  <c:pt idx="74">
                  <c:v>30.081299999999999</c:v>
                </c:pt>
                <c:pt idx="75">
                  <c:v>30.704999999999998</c:v>
                </c:pt>
                <c:pt idx="76">
                  <c:v>31.065200000000001</c:v>
                </c:pt>
                <c:pt idx="77">
                  <c:v>31.463200000000001</c:v>
                </c:pt>
                <c:pt idx="78">
                  <c:v>31.838999999999999</c:v>
                </c:pt>
                <c:pt idx="79">
                  <c:v>32.210700000000003</c:v>
                </c:pt>
                <c:pt idx="80">
                  <c:v>32.607900000000001</c:v>
                </c:pt>
                <c:pt idx="81">
                  <c:v>33.021799999999999</c:v>
                </c:pt>
                <c:pt idx="82">
                  <c:v>33.428400000000003</c:v>
                </c:pt>
                <c:pt idx="83">
                  <c:v>33.828699999999998</c:v>
                </c:pt>
                <c:pt idx="84">
                  <c:v>34.239600000000003</c:v>
                </c:pt>
                <c:pt idx="85">
                  <c:v>34.630499999999998</c:v>
                </c:pt>
                <c:pt idx="86">
                  <c:v>35.030700000000003</c:v>
                </c:pt>
                <c:pt idx="87">
                  <c:v>35.4392</c:v>
                </c:pt>
                <c:pt idx="88">
                  <c:v>35.8444</c:v>
                </c:pt>
                <c:pt idx="89">
                  <c:v>36.268700000000003</c:v>
                </c:pt>
                <c:pt idx="90">
                  <c:v>36.678600000000003</c:v>
                </c:pt>
                <c:pt idx="91">
                  <c:v>37.064599999999999</c:v>
                </c:pt>
                <c:pt idx="92">
                  <c:v>37.486400000000003</c:v>
                </c:pt>
                <c:pt idx="93">
                  <c:v>37.883400000000002</c:v>
                </c:pt>
                <c:pt idx="94">
                  <c:v>38.306199999999997</c:v>
                </c:pt>
                <c:pt idx="95">
                  <c:v>38.690600000000003</c:v>
                </c:pt>
                <c:pt idx="96">
                  <c:v>39.113500000000002</c:v>
                </c:pt>
                <c:pt idx="97">
                  <c:v>39.527000000000001</c:v>
                </c:pt>
                <c:pt idx="98">
                  <c:v>39.918999999999997</c:v>
                </c:pt>
                <c:pt idx="99">
                  <c:v>40.334200000000003</c:v>
                </c:pt>
                <c:pt idx="100">
                  <c:v>40.737000000000002</c:v>
                </c:pt>
                <c:pt idx="101">
                  <c:v>41.146999999999998</c:v>
                </c:pt>
                <c:pt idx="102">
                  <c:v>41.543900000000001</c:v>
                </c:pt>
                <c:pt idx="103">
                  <c:v>41.960700000000003</c:v>
                </c:pt>
                <c:pt idx="104">
                  <c:v>42.358899999999998</c:v>
                </c:pt>
                <c:pt idx="105">
                  <c:v>42.771299999999997</c:v>
                </c:pt>
                <c:pt idx="106">
                  <c:v>43.179499999999997</c:v>
                </c:pt>
                <c:pt idx="107">
                  <c:v>43.5837</c:v>
                </c:pt>
                <c:pt idx="108">
                  <c:v>43.967399999999998</c:v>
                </c:pt>
                <c:pt idx="109">
                  <c:v>44.394100000000002</c:v>
                </c:pt>
                <c:pt idx="110">
                  <c:v>44.798900000000003</c:v>
                </c:pt>
                <c:pt idx="111">
                  <c:v>45.202300000000001</c:v>
                </c:pt>
                <c:pt idx="112">
                  <c:v>45.606299999999997</c:v>
                </c:pt>
                <c:pt idx="113">
                  <c:v>46.015300000000003</c:v>
                </c:pt>
                <c:pt idx="114">
                  <c:v>46.431899999999999</c:v>
                </c:pt>
                <c:pt idx="115">
                  <c:v>46.819299999999998</c:v>
                </c:pt>
                <c:pt idx="116">
                  <c:v>47.232900000000001</c:v>
                </c:pt>
                <c:pt idx="117">
                  <c:v>47.629100000000001</c:v>
                </c:pt>
                <c:pt idx="118">
                  <c:v>48.052799999999998</c:v>
                </c:pt>
                <c:pt idx="119">
                  <c:v>48.454799999999999</c:v>
                </c:pt>
                <c:pt idx="120">
                  <c:v>48.848300000000002</c:v>
                </c:pt>
                <c:pt idx="121">
                  <c:v>49.249000000000002</c:v>
                </c:pt>
                <c:pt idx="122">
                  <c:v>49.664700000000003</c:v>
                </c:pt>
                <c:pt idx="123">
                  <c:v>50.084600000000002</c:v>
                </c:pt>
                <c:pt idx="124">
                  <c:v>50.483400000000003</c:v>
                </c:pt>
                <c:pt idx="125">
                  <c:v>50.898899999999998</c:v>
                </c:pt>
                <c:pt idx="126">
                  <c:v>51.302700000000002</c:v>
                </c:pt>
                <c:pt idx="127">
                  <c:v>51.711399999999998</c:v>
                </c:pt>
                <c:pt idx="128">
                  <c:v>52.110700000000001</c:v>
                </c:pt>
                <c:pt idx="129">
                  <c:v>52.511000000000003</c:v>
                </c:pt>
                <c:pt idx="130">
                  <c:v>52.925800000000002</c:v>
                </c:pt>
                <c:pt idx="131">
                  <c:v>53.334299999999999</c:v>
                </c:pt>
                <c:pt idx="132">
                  <c:v>53.735799999999998</c:v>
                </c:pt>
                <c:pt idx="133">
                  <c:v>54.144100000000002</c:v>
                </c:pt>
                <c:pt idx="134">
                  <c:v>54.546999999999997</c:v>
                </c:pt>
                <c:pt idx="135">
                  <c:v>54.945099999999996</c:v>
                </c:pt>
                <c:pt idx="136">
                  <c:v>55.366500000000002</c:v>
                </c:pt>
                <c:pt idx="137">
                  <c:v>55.766599999999997</c:v>
                </c:pt>
                <c:pt idx="138">
                  <c:v>56.170099999999998</c:v>
                </c:pt>
                <c:pt idx="139">
                  <c:v>56.569699999999997</c:v>
                </c:pt>
                <c:pt idx="140">
                  <c:v>56.970199999999998</c:v>
                </c:pt>
                <c:pt idx="141">
                  <c:v>57.397199999999998</c:v>
                </c:pt>
                <c:pt idx="142">
                  <c:v>57.802100000000003</c:v>
                </c:pt>
                <c:pt idx="143">
                  <c:v>58.187100000000001</c:v>
                </c:pt>
                <c:pt idx="144">
                  <c:v>58.598700000000001</c:v>
                </c:pt>
                <c:pt idx="145">
                  <c:v>58.996899999999997</c:v>
                </c:pt>
                <c:pt idx="146">
                  <c:v>59.408700000000003</c:v>
                </c:pt>
                <c:pt idx="147">
                  <c:v>59.823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  <c:pt idx="74">
                  <c:v>2.6845499999999998</c:v>
                </c:pt>
                <c:pt idx="75">
                  <c:v>2.7113399999999999</c:v>
                </c:pt>
                <c:pt idx="76">
                  <c:v>2.73488</c:v>
                </c:pt>
                <c:pt idx="77">
                  <c:v>2.7611699999999999</c:v>
                </c:pt>
                <c:pt idx="78">
                  <c:v>2.7864399999999998</c:v>
                </c:pt>
                <c:pt idx="79">
                  <c:v>2.81325</c:v>
                </c:pt>
                <c:pt idx="80">
                  <c:v>2.8399200000000002</c:v>
                </c:pt>
                <c:pt idx="81">
                  <c:v>2.86686</c:v>
                </c:pt>
                <c:pt idx="82">
                  <c:v>2.89567</c:v>
                </c:pt>
                <c:pt idx="83">
                  <c:v>2.9274200000000001</c:v>
                </c:pt>
                <c:pt idx="84">
                  <c:v>2.9554</c:v>
                </c:pt>
                <c:pt idx="85">
                  <c:v>2.97831</c:v>
                </c:pt>
                <c:pt idx="86">
                  <c:v>2.9967500000000005</c:v>
                </c:pt>
                <c:pt idx="87">
                  <c:v>3.0149900000000001</c:v>
                </c:pt>
                <c:pt idx="88">
                  <c:v>3.0337199999999998</c:v>
                </c:pt>
                <c:pt idx="89">
                  <c:v>3.0525500000000001</c:v>
                </c:pt>
                <c:pt idx="90">
                  <c:v>3.0697299999999998</c:v>
                </c:pt>
                <c:pt idx="91">
                  <c:v>3.0849799999999998</c:v>
                </c:pt>
                <c:pt idx="92">
                  <c:v>3.09903</c:v>
                </c:pt>
                <c:pt idx="93">
                  <c:v>3.1140600000000003</c:v>
                </c:pt>
                <c:pt idx="94">
                  <c:v>3.1312199999999999</c:v>
                </c:pt>
                <c:pt idx="95">
                  <c:v>3.1492399999999998</c:v>
                </c:pt>
                <c:pt idx="96">
                  <c:v>3.16859</c:v>
                </c:pt>
                <c:pt idx="97">
                  <c:v>3.1887700000000003</c:v>
                </c:pt>
                <c:pt idx="98">
                  <c:v>3.2058900000000001</c:v>
                </c:pt>
                <c:pt idx="99">
                  <c:v>3.2194499999999997</c:v>
                </c:pt>
                <c:pt idx="100">
                  <c:v>3.2306499999999998</c:v>
                </c:pt>
                <c:pt idx="101">
                  <c:v>3.2385199999999998</c:v>
                </c:pt>
                <c:pt idx="102">
                  <c:v>3.2419199999999999</c:v>
                </c:pt>
                <c:pt idx="103">
                  <c:v>3.2471800000000002</c:v>
                </c:pt>
                <c:pt idx="104">
                  <c:v>3.2519</c:v>
                </c:pt>
                <c:pt idx="105">
                  <c:v>3.2564599999999997</c:v>
                </c:pt>
                <c:pt idx="106">
                  <c:v>3.2571899999999996</c:v>
                </c:pt>
                <c:pt idx="107">
                  <c:v>3.2521800000000001</c:v>
                </c:pt>
                <c:pt idx="108">
                  <c:v>3.2432400000000001</c:v>
                </c:pt>
                <c:pt idx="109">
                  <c:v>3.23583</c:v>
                </c:pt>
                <c:pt idx="110">
                  <c:v>3.2267000000000001</c:v>
                </c:pt>
                <c:pt idx="111">
                  <c:v>3.2159</c:v>
                </c:pt>
                <c:pt idx="112">
                  <c:v>3.2064199999999996</c:v>
                </c:pt>
                <c:pt idx="113">
                  <c:v>3.1962700000000002</c:v>
                </c:pt>
                <c:pt idx="114">
                  <c:v>3.1844600000000001</c:v>
                </c:pt>
                <c:pt idx="115">
                  <c:v>3.1744599999999998</c:v>
                </c:pt>
                <c:pt idx="116">
                  <c:v>3.1688899999999998</c:v>
                </c:pt>
                <c:pt idx="117">
                  <c:v>3.1640200000000003</c:v>
                </c:pt>
                <c:pt idx="118">
                  <c:v>3.15787</c:v>
                </c:pt>
                <c:pt idx="119">
                  <c:v>3.1497900000000003</c:v>
                </c:pt>
                <c:pt idx="120">
                  <c:v>3.1424600000000003</c:v>
                </c:pt>
                <c:pt idx="121">
                  <c:v>3.1330299999999998</c:v>
                </c:pt>
                <c:pt idx="122">
                  <c:v>3.1217499999999996</c:v>
                </c:pt>
                <c:pt idx="123">
                  <c:v>3.1107100000000001</c:v>
                </c:pt>
                <c:pt idx="124">
                  <c:v>3.1016399999999997</c:v>
                </c:pt>
                <c:pt idx="125">
                  <c:v>3.0933699999999997</c:v>
                </c:pt>
                <c:pt idx="126">
                  <c:v>3.0863100000000001</c:v>
                </c:pt>
                <c:pt idx="127">
                  <c:v>3.0823299999999998</c:v>
                </c:pt>
                <c:pt idx="128">
                  <c:v>3.07361</c:v>
                </c:pt>
                <c:pt idx="129">
                  <c:v>3.06325</c:v>
                </c:pt>
                <c:pt idx="130">
                  <c:v>3.0515500000000002</c:v>
                </c:pt>
                <c:pt idx="131">
                  <c:v>3.0444100000000001</c:v>
                </c:pt>
                <c:pt idx="132">
                  <c:v>3.0420999999999996</c:v>
                </c:pt>
                <c:pt idx="133">
                  <c:v>3.0395699999999999</c:v>
                </c:pt>
                <c:pt idx="134">
                  <c:v>3.0355799999999999</c:v>
                </c:pt>
                <c:pt idx="135">
                  <c:v>3.0365500000000001</c:v>
                </c:pt>
                <c:pt idx="136">
                  <c:v>3.0435400000000001</c:v>
                </c:pt>
                <c:pt idx="137">
                  <c:v>3.0482500000000003</c:v>
                </c:pt>
                <c:pt idx="138">
                  <c:v>3.0548199999999999</c:v>
                </c:pt>
                <c:pt idx="139">
                  <c:v>3.06697</c:v>
                </c:pt>
                <c:pt idx="140">
                  <c:v>3.08006</c:v>
                </c:pt>
                <c:pt idx="141">
                  <c:v>3.0882500000000004</c:v>
                </c:pt>
                <c:pt idx="142">
                  <c:v>3.1011800000000003</c:v>
                </c:pt>
                <c:pt idx="143">
                  <c:v>3.1126800000000001</c:v>
                </c:pt>
                <c:pt idx="144">
                  <c:v>3.1185800000000001</c:v>
                </c:pt>
                <c:pt idx="145">
                  <c:v>3.1234999999999999</c:v>
                </c:pt>
                <c:pt idx="146">
                  <c:v>3.1217199999999998</c:v>
                </c:pt>
                <c:pt idx="147">
                  <c:v>3.0989399999999998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29.677600000000002</c:v>
                </c:pt>
                <c:pt idx="1">
                  <c:v>30.081299999999999</c:v>
                </c:pt>
                <c:pt idx="2">
                  <c:v>30.704999999999998</c:v>
                </c:pt>
                <c:pt idx="3">
                  <c:v>31.065200000000001</c:v>
                </c:pt>
                <c:pt idx="4">
                  <c:v>31.463200000000001</c:v>
                </c:pt>
                <c:pt idx="5">
                  <c:v>31.838999999999999</c:v>
                </c:pt>
                <c:pt idx="6">
                  <c:v>32.210700000000003</c:v>
                </c:pt>
                <c:pt idx="7">
                  <c:v>32.607900000000001</c:v>
                </c:pt>
                <c:pt idx="8">
                  <c:v>33.021799999999999</c:v>
                </c:pt>
                <c:pt idx="9">
                  <c:v>33.428400000000003</c:v>
                </c:pt>
                <c:pt idx="10">
                  <c:v>33.828699999999998</c:v>
                </c:pt>
                <c:pt idx="11">
                  <c:v>34.239600000000003</c:v>
                </c:pt>
                <c:pt idx="12">
                  <c:v>34.630499999999998</c:v>
                </c:pt>
                <c:pt idx="13">
                  <c:v>35.030700000000003</c:v>
                </c:pt>
                <c:pt idx="14">
                  <c:v>35.4392</c:v>
                </c:pt>
                <c:pt idx="15">
                  <c:v>35.8444</c:v>
                </c:pt>
                <c:pt idx="16">
                  <c:v>36.268700000000003</c:v>
                </c:pt>
                <c:pt idx="17">
                  <c:v>36.678600000000003</c:v>
                </c:pt>
                <c:pt idx="18">
                  <c:v>37.064599999999999</c:v>
                </c:pt>
                <c:pt idx="19">
                  <c:v>37.486400000000003</c:v>
                </c:pt>
                <c:pt idx="20">
                  <c:v>37.883400000000002</c:v>
                </c:pt>
                <c:pt idx="21">
                  <c:v>38.306199999999997</c:v>
                </c:pt>
                <c:pt idx="22">
                  <c:v>38.690600000000003</c:v>
                </c:pt>
                <c:pt idx="23">
                  <c:v>39.113500000000002</c:v>
                </c:pt>
                <c:pt idx="24">
                  <c:v>39.527000000000001</c:v>
                </c:pt>
                <c:pt idx="25">
                  <c:v>39.918999999999997</c:v>
                </c:pt>
                <c:pt idx="26">
                  <c:v>40.334200000000003</c:v>
                </c:pt>
                <c:pt idx="27">
                  <c:v>40.737000000000002</c:v>
                </c:pt>
                <c:pt idx="28">
                  <c:v>41.146999999999998</c:v>
                </c:pt>
                <c:pt idx="29">
                  <c:v>41.543900000000001</c:v>
                </c:pt>
                <c:pt idx="30">
                  <c:v>41.960700000000003</c:v>
                </c:pt>
                <c:pt idx="31">
                  <c:v>42.358899999999998</c:v>
                </c:pt>
                <c:pt idx="32">
                  <c:v>42.771299999999997</c:v>
                </c:pt>
                <c:pt idx="33">
                  <c:v>43.179499999999997</c:v>
                </c:pt>
                <c:pt idx="34">
                  <c:v>43.5837</c:v>
                </c:pt>
                <c:pt idx="35">
                  <c:v>43.967399999999998</c:v>
                </c:pt>
                <c:pt idx="36">
                  <c:v>44.394100000000002</c:v>
                </c:pt>
                <c:pt idx="37">
                  <c:v>44.798900000000003</c:v>
                </c:pt>
                <c:pt idx="38">
                  <c:v>45.202300000000001</c:v>
                </c:pt>
                <c:pt idx="39">
                  <c:v>45.606299999999997</c:v>
                </c:pt>
                <c:pt idx="40">
                  <c:v>46.015300000000003</c:v>
                </c:pt>
                <c:pt idx="41">
                  <c:v>46.431899999999999</c:v>
                </c:pt>
                <c:pt idx="42">
                  <c:v>46.819299999999998</c:v>
                </c:pt>
                <c:pt idx="43">
                  <c:v>47.232900000000001</c:v>
                </c:pt>
                <c:pt idx="44">
                  <c:v>47.629100000000001</c:v>
                </c:pt>
                <c:pt idx="45">
                  <c:v>48.052799999999998</c:v>
                </c:pt>
                <c:pt idx="46">
                  <c:v>48.454799999999999</c:v>
                </c:pt>
                <c:pt idx="47">
                  <c:v>48.848300000000002</c:v>
                </c:pt>
                <c:pt idx="48">
                  <c:v>49.249000000000002</c:v>
                </c:pt>
                <c:pt idx="49">
                  <c:v>49.664700000000003</c:v>
                </c:pt>
                <c:pt idx="50">
                  <c:v>50.084600000000002</c:v>
                </c:pt>
                <c:pt idx="51">
                  <c:v>50.483400000000003</c:v>
                </c:pt>
                <c:pt idx="52">
                  <c:v>50.898899999999998</c:v>
                </c:pt>
                <c:pt idx="53">
                  <c:v>51.302700000000002</c:v>
                </c:pt>
                <c:pt idx="54">
                  <c:v>51.711399999999998</c:v>
                </c:pt>
                <c:pt idx="55">
                  <c:v>52.110700000000001</c:v>
                </c:pt>
                <c:pt idx="56">
                  <c:v>52.511000000000003</c:v>
                </c:pt>
                <c:pt idx="57">
                  <c:v>52.925800000000002</c:v>
                </c:pt>
                <c:pt idx="58">
                  <c:v>53.334299999999999</c:v>
                </c:pt>
                <c:pt idx="59">
                  <c:v>53.735799999999998</c:v>
                </c:pt>
                <c:pt idx="60">
                  <c:v>54.144100000000002</c:v>
                </c:pt>
                <c:pt idx="61">
                  <c:v>54.546999999999997</c:v>
                </c:pt>
                <c:pt idx="62">
                  <c:v>54.945099999999996</c:v>
                </c:pt>
                <c:pt idx="63">
                  <c:v>55.366500000000002</c:v>
                </c:pt>
                <c:pt idx="64">
                  <c:v>55.766599999999997</c:v>
                </c:pt>
                <c:pt idx="65">
                  <c:v>56.170099999999998</c:v>
                </c:pt>
                <c:pt idx="66">
                  <c:v>56.569699999999997</c:v>
                </c:pt>
                <c:pt idx="67">
                  <c:v>56.970199999999998</c:v>
                </c:pt>
                <c:pt idx="68">
                  <c:v>57.397199999999998</c:v>
                </c:pt>
                <c:pt idx="69">
                  <c:v>57.802100000000003</c:v>
                </c:pt>
                <c:pt idx="70">
                  <c:v>58.187100000000001</c:v>
                </c:pt>
                <c:pt idx="71">
                  <c:v>58.598700000000001</c:v>
                </c:pt>
                <c:pt idx="72">
                  <c:v>58.996899999999997</c:v>
                </c:pt>
                <c:pt idx="73">
                  <c:v>59.408700000000003</c:v>
                </c:pt>
                <c:pt idx="74">
                  <c:v>59.823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2.6625399999999999</c:v>
                </c:pt>
                <c:pt idx="1">
                  <c:v>2.6845499999999998</c:v>
                </c:pt>
                <c:pt idx="2">
                  <c:v>2.7113399999999999</c:v>
                </c:pt>
                <c:pt idx="3">
                  <c:v>2.73488</c:v>
                </c:pt>
                <c:pt idx="4">
                  <c:v>2.7611699999999999</c:v>
                </c:pt>
                <c:pt idx="5">
                  <c:v>2.7864399999999998</c:v>
                </c:pt>
                <c:pt idx="6">
                  <c:v>2.81325</c:v>
                </c:pt>
                <c:pt idx="7">
                  <c:v>2.8399200000000002</c:v>
                </c:pt>
                <c:pt idx="8">
                  <c:v>2.86686</c:v>
                </c:pt>
                <c:pt idx="9">
                  <c:v>2.89567</c:v>
                </c:pt>
                <c:pt idx="10">
                  <c:v>2.9274200000000001</c:v>
                </c:pt>
                <c:pt idx="11">
                  <c:v>2.9554</c:v>
                </c:pt>
                <c:pt idx="12">
                  <c:v>2.97831</c:v>
                </c:pt>
                <c:pt idx="13">
                  <c:v>2.9967500000000005</c:v>
                </c:pt>
                <c:pt idx="14">
                  <c:v>3.0149900000000001</c:v>
                </c:pt>
                <c:pt idx="15">
                  <c:v>3.0337199999999998</c:v>
                </c:pt>
                <c:pt idx="16">
                  <c:v>3.0525500000000001</c:v>
                </c:pt>
                <c:pt idx="17">
                  <c:v>3.0697299999999998</c:v>
                </c:pt>
                <c:pt idx="18">
                  <c:v>3.0849799999999998</c:v>
                </c:pt>
                <c:pt idx="19">
                  <c:v>3.09903</c:v>
                </c:pt>
                <c:pt idx="20">
                  <c:v>3.1140600000000003</c:v>
                </c:pt>
                <c:pt idx="21">
                  <c:v>3.1312199999999999</c:v>
                </c:pt>
                <c:pt idx="22">
                  <c:v>3.1492399999999998</c:v>
                </c:pt>
                <c:pt idx="23">
                  <c:v>3.16859</c:v>
                </c:pt>
                <c:pt idx="24">
                  <c:v>3.1887700000000003</c:v>
                </c:pt>
                <c:pt idx="25">
                  <c:v>3.2058900000000001</c:v>
                </c:pt>
                <c:pt idx="26">
                  <c:v>3.2194499999999997</c:v>
                </c:pt>
                <c:pt idx="27">
                  <c:v>3.2306499999999998</c:v>
                </c:pt>
                <c:pt idx="28">
                  <c:v>3.2385199999999998</c:v>
                </c:pt>
                <c:pt idx="29">
                  <c:v>3.2419199999999999</c:v>
                </c:pt>
                <c:pt idx="30">
                  <c:v>3.2471800000000002</c:v>
                </c:pt>
                <c:pt idx="31">
                  <c:v>3.2519</c:v>
                </c:pt>
                <c:pt idx="32">
                  <c:v>3.2564599999999997</c:v>
                </c:pt>
                <c:pt idx="33">
                  <c:v>3.2571899999999996</c:v>
                </c:pt>
                <c:pt idx="34">
                  <c:v>3.2521800000000001</c:v>
                </c:pt>
                <c:pt idx="35">
                  <c:v>3.2432400000000001</c:v>
                </c:pt>
                <c:pt idx="36">
                  <c:v>3.23583</c:v>
                </c:pt>
                <c:pt idx="37">
                  <c:v>3.2267000000000001</c:v>
                </c:pt>
                <c:pt idx="38">
                  <c:v>3.2159</c:v>
                </c:pt>
                <c:pt idx="39">
                  <c:v>3.2064199999999996</c:v>
                </c:pt>
                <c:pt idx="40">
                  <c:v>3.1962700000000002</c:v>
                </c:pt>
                <c:pt idx="41">
                  <c:v>3.1844600000000001</c:v>
                </c:pt>
                <c:pt idx="42">
                  <c:v>3.1744599999999998</c:v>
                </c:pt>
                <c:pt idx="43">
                  <c:v>3.1688899999999998</c:v>
                </c:pt>
                <c:pt idx="44">
                  <c:v>3.1640200000000003</c:v>
                </c:pt>
                <c:pt idx="45">
                  <c:v>3.15787</c:v>
                </c:pt>
                <c:pt idx="46">
                  <c:v>3.1497900000000003</c:v>
                </c:pt>
                <c:pt idx="47">
                  <c:v>3.1424600000000003</c:v>
                </c:pt>
                <c:pt idx="48">
                  <c:v>3.1330299999999998</c:v>
                </c:pt>
                <c:pt idx="49">
                  <c:v>3.1217499999999996</c:v>
                </c:pt>
                <c:pt idx="50">
                  <c:v>3.1107100000000001</c:v>
                </c:pt>
                <c:pt idx="51">
                  <c:v>3.1016399999999997</c:v>
                </c:pt>
                <c:pt idx="52">
                  <c:v>3.0933699999999997</c:v>
                </c:pt>
                <c:pt idx="53">
                  <c:v>3.0863100000000001</c:v>
                </c:pt>
                <c:pt idx="54">
                  <c:v>3.0823299999999998</c:v>
                </c:pt>
                <c:pt idx="55">
                  <c:v>3.07361</c:v>
                </c:pt>
                <c:pt idx="56">
                  <c:v>3.06325</c:v>
                </c:pt>
                <c:pt idx="57">
                  <c:v>3.0515500000000002</c:v>
                </c:pt>
                <c:pt idx="58">
                  <c:v>3.0444100000000001</c:v>
                </c:pt>
                <c:pt idx="59">
                  <c:v>3.0420999999999996</c:v>
                </c:pt>
                <c:pt idx="60">
                  <c:v>3.0395699999999999</c:v>
                </c:pt>
                <c:pt idx="61">
                  <c:v>3.0355799999999999</c:v>
                </c:pt>
                <c:pt idx="62">
                  <c:v>3.0365500000000001</c:v>
                </c:pt>
                <c:pt idx="63">
                  <c:v>3.0435400000000001</c:v>
                </c:pt>
                <c:pt idx="64">
                  <c:v>3.0482500000000003</c:v>
                </c:pt>
                <c:pt idx="65">
                  <c:v>3.0548199999999999</c:v>
                </c:pt>
                <c:pt idx="66">
                  <c:v>3.06697</c:v>
                </c:pt>
                <c:pt idx="67">
                  <c:v>3.08006</c:v>
                </c:pt>
                <c:pt idx="68">
                  <c:v>3.0882500000000004</c:v>
                </c:pt>
                <c:pt idx="69">
                  <c:v>3.1011800000000003</c:v>
                </c:pt>
                <c:pt idx="70">
                  <c:v>3.1126800000000001</c:v>
                </c:pt>
                <c:pt idx="71">
                  <c:v>3.1185800000000001</c:v>
                </c:pt>
                <c:pt idx="72">
                  <c:v>3.1234999999999999</c:v>
                </c:pt>
                <c:pt idx="73">
                  <c:v>3.1217199999999998</c:v>
                </c:pt>
                <c:pt idx="74">
                  <c:v>3.0989399999999998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14.95575</c:v>
                </c:pt>
                <c:pt idx="1">
                  <c:v>44.867249999999999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2.3748894594594594</c:v>
                </c:pt>
                <c:pt idx="1">
                  <c:v>3.0824424324324324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  <c:pt idx="74">
                  <c:v>30.081299999999999</c:v>
                </c:pt>
                <c:pt idx="75">
                  <c:v>30.704999999999998</c:v>
                </c:pt>
                <c:pt idx="76">
                  <c:v>31.065200000000001</c:v>
                </c:pt>
                <c:pt idx="77">
                  <c:v>31.463200000000001</c:v>
                </c:pt>
                <c:pt idx="78">
                  <c:v>31.838999999999999</c:v>
                </c:pt>
                <c:pt idx="79">
                  <c:v>32.210700000000003</c:v>
                </c:pt>
                <c:pt idx="80">
                  <c:v>32.607900000000001</c:v>
                </c:pt>
                <c:pt idx="81">
                  <c:v>33.021799999999999</c:v>
                </c:pt>
                <c:pt idx="82">
                  <c:v>33.428400000000003</c:v>
                </c:pt>
                <c:pt idx="83">
                  <c:v>33.828699999999998</c:v>
                </c:pt>
                <c:pt idx="84">
                  <c:v>34.239600000000003</c:v>
                </c:pt>
                <c:pt idx="85">
                  <c:v>34.630499999999998</c:v>
                </c:pt>
                <c:pt idx="86">
                  <c:v>35.030700000000003</c:v>
                </c:pt>
                <c:pt idx="87">
                  <c:v>35.4392</c:v>
                </c:pt>
                <c:pt idx="88">
                  <c:v>35.8444</c:v>
                </c:pt>
                <c:pt idx="89">
                  <c:v>36.268700000000003</c:v>
                </c:pt>
                <c:pt idx="90">
                  <c:v>36.678600000000003</c:v>
                </c:pt>
                <c:pt idx="91">
                  <c:v>37.064599999999999</c:v>
                </c:pt>
                <c:pt idx="92">
                  <c:v>37.486400000000003</c:v>
                </c:pt>
                <c:pt idx="93">
                  <c:v>37.883400000000002</c:v>
                </c:pt>
                <c:pt idx="94">
                  <c:v>38.306199999999997</c:v>
                </c:pt>
                <c:pt idx="95">
                  <c:v>38.690600000000003</c:v>
                </c:pt>
                <c:pt idx="96">
                  <c:v>39.113500000000002</c:v>
                </c:pt>
                <c:pt idx="97">
                  <c:v>39.527000000000001</c:v>
                </c:pt>
                <c:pt idx="98">
                  <c:v>39.918999999999997</c:v>
                </c:pt>
                <c:pt idx="99">
                  <c:v>40.334200000000003</c:v>
                </c:pt>
                <c:pt idx="100">
                  <c:v>40.737000000000002</c:v>
                </c:pt>
                <c:pt idx="101">
                  <c:v>41.146999999999998</c:v>
                </c:pt>
                <c:pt idx="102">
                  <c:v>41.543900000000001</c:v>
                </c:pt>
                <c:pt idx="103">
                  <c:v>41.960700000000003</c:v>
                </c:pt>
                <c:pt idx="104">
                  <c:v>42.358899999999998</c:v>
                </c:pt>
                <c:pt idx="105">
                  <c:v>42.771299999999997</c:v>
                </c:pt>
                <c:pt idx="106">
                  <c:v>43.179499999999997</c:v>
                </c:pt>
                <c:pt idx="107">
                  <c:v>43.5837</c:v>
                </c:pt>
                <c:pt idx="108">
                  <c:v>43.967399999999998</c:v>
                </c:pt>
                <c:pt idx="109">
                  <c:v>44.394100000000002</c:v>
                </c:pt>
                <c:pt idx="110">
                  <c:v>44.798900000000003</c:v>
                </c:pt>
                <c:pt idx="111">
                  <c:v>45.202300000000001</c:v>
                </c:pt>
                <c:pt idx="112">
                  <c:v>45.606299999999997</c:v>
                </c:pt>
                <c:pt idx="113">
                  <c:v>46.015300000000003</c:v>
                </c:pt>
                <c:pt idx="114">
                  <c:v>46.431899999999999</c:v>
                </c:pt>
                <c:pt idx="115">
                  <c:v>46.819299999999998</c:v>
                </c:pt>
                <c:pt idx="116">
                  <c:v>47.232900000000001</c:v>
                </c:pt>
                <c:pt idx="117">
                  <c:v>47.629100000000001</c:v>
                </c:pt>
                <c:pt idx="118">
                  <c:v>48.052799999999998</c:v>
                </c:pt>
                <c:pt idx="119">
                  <c:v>48.454799999999999</c:v>
                </c:pt>
                <c:pt idx="120">
                  <c:v>48.848300000000002</c:v>
                </c:pt>
                <c:pt idx="121">
                  <c:v>49.249000000000002</c:v>
                </c:pt>
                <c:pt idx="122">
                  <c:v>49.664700000000003</c:v>
                </c:pt>
                <c:pt idx="123">
                  <c:v>50.084600000000002</c:v>
                </c:pt>
                <c:pt idx="124">
                  <c:v>50.483400000000003</c:v>
                </c:pt>
                <c:pt idx="125">
                  <c:v>50.898899999999998</c:v>
                </c:pt>
                <c:pt idx="126">
                  <c:v>51.302700000000002</c:v>
                </c:pt>
                <c:pt idx="127">
                  <c:v>51.711399999999998</c:v>
                </c:pt>
                <c:pt idx="128">
                  <c:v>52.110700000000001</c:v>
                </c:pt>
                <c:pt idx="129">
                  <c:v>52.511000000000003</c:v>
                </c:pt>
                <c:pt idx="130">
                  <c:v>52.925800000000002</c:v>
                </c:pt>
                <c:pt idx="131">
                  <c:v>53.334299999999999</c:v>
                </c:pt>
                <c:pt idx="132">
                  <c:v>53.735799999999998</c:v>
                </c:pt>
                <c:pt idx="133">
                  <c:v>54.144100000000002</c:v>
                </c:pt>
                <c:pt idx="134">
                  <c:v>54.546999999999997</c:v>
                </c:pt>
                <c:pt idx="135">
                  <c:v>54.945099999999996</c:v>
                </c:pt>
                <c:pt idx="136">
                  <c:v>55.366500000000002</c:v>
                </c:pt>
                <c:pt idx="137">
                  <c:v>55.766599999999997</c:v>
                </c:pt>
                <c:pt idx="138">
                  <c:v>56.170099999999998</c:v>
                </c:pt>
                <c:pt idx="139">
                  <c:v>56.569699999999997</c:v>
                </c:pt>
                <c:pt idx="140">
                  <c:v>56.970199999999998</c:v>
                </c:pt>
                <c:pt idx="141">
                  <c:v>57.397199999999998</c:v>
                </c:pt>
                <c:pt idx="142">
                  <c:v>57.802100000000003</c:v>
                </c:pt>
                <c:pt idx="143">
                  <c:v>58.187100000000001</c:v>
                </c:pt>
                <c:pt idx="144">
                  <c:v>58.598700000000001</c:v>
                </c:pt>
                <c:pt idx="145">
                  <c:v>58.996899999999997</c:v>
                </c:pt>
                <c:pt idx="146">
                  <c:v>59.408700000000003</c:v>
                </c:pt>
                <c:pt idx="147">
                  <c:v>59.823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  <c:pt idx="74">
                  <c:v>39.662100000000002</c:v>
                </c:pt>
                <c:pt idx="75">
                  <c:v>39.280200000000001</c:v>
                </c:pt>
                <c:pt idx="76">
                  <c:v>38.9512</c:v>
                </c:pt>
                <c:pt idx="77">
                  <c:v>38.616799999999998</c:v>
                </c:pt>
                <c:pt idx="78">
                  <c:v>38.340000000000003</c:v>
                </c:pt>
                <c:pt idx="79">
                  <c:v>38.068600000000004</c:v>
                </c:pt>
                <c:pt idx="80">
                  <c:v>37.828400000000002</c:v>
                </c:pt>
                <c:pt idx="81">
                  <c:v>37.611600000000003</c:v>
                </c:pt>
                <c:pt idx="82">
                  <c:v>37.312100000000001</c:v>
                </c:pt>
                <c:pt idx="83">
                  <c:v>36.930099999999996</c:v>
                </c:pt>
                <c:pt idx="84">
                  <c:v>36.649799999999999</c:v>
                </c:pt>
                <c:pt idx="85">
                  <c:v>36.426400000000001</c:v>
                </c:pt>
                <c:pt idx="86">
                  <c:v>36.212400000000002</c:v>
                </c:pt>
                <c:pt idx="87">
                  <c:v>35.989399999999996</c:v>
                </c:pt>
                <c:pt idx="88">
                  <c:v>35.760300000000001</c:v>
                </c:pt>
                <c:pt idx="89">
                  <c:v>35.547200000000004</c:v>
                </c:pt>
                <c:pt idx="90">
                  <c:v>35.389499999999998</c:v>
                </c:pt>
                <c:pt idx="91">
                  <c:v>35.296499999999995</c:v>
                </c:pt>
                <c:pt idx="92">
                  <c:v>35.250500000000002</c:v>
                </c:pt>
                <c:pt idx="93">
                  <c:v>35.246600000000001</c:v>
                </c:pt>
                <c:pt idx="94">
                  <c:v>35.231899999999996</c:v>
                </c:pt>
                <c:pt idx="95">
                  <c:v>35.216500000000003</c:v>
                </c:pt>
                <c:pt idx="96">
                  <c:v>35.195799999999998</c:v>
                </c:pt>
                <c:pt idx="97">
                  <c:v>35.189300000000003</c:v>
                </c:pt>
                <c:pt idx="98">
                  <c:v>35.269099999999995</c:v>
                </c:pt>
                <c:pt idx="99">
                  <c:v>35.396499999999996</c:v>
                </c:pt>
                <c:pt idx="100">
                  <c:v>35.5899</c:v>
                </c:pt>
                <c:pt idx="101">
                  <c:v>35.844999999999999</c:v>
                </c:pt>
                <c:pt idx="102">
                  <c:v>36.0884</c:v>
                </c:pt>
                <c:pt idx="103">
                  <c:v>36.320500000000003</c:v>
                </c:pt>
                <c:pt idx="104">
                  <c:v>36.540700000000001</c:v>
                </c:pt>
                <c:pt idx="105">
                  <c:v>36.727900000000005</c:v>
                </c:pt>
                <c:pt idx="106">
                  <c:v>36.912800000000004</c:v>
                </c:pt>
                <c:pt idx="107">
                  <c:v>37.131799999999998</c:v>
                </c:pt>
                <c:pt idx="108">
                  <c:v>37.375300000000003</c:v>
                </c:pt>
                <c:pt idx="109">
                  <c:v>37.568600000000004</c:v>
                </c:pt>
                <c:pt idx="110">
                  <c:v>37.718600000000002</c:v>
                </c:pt>
                <c:pt idx="111">
                  <c:v>37.853300000000004</c:v>
                </c:pt>
                <c:pt idx="112">
                  <c:v>37.988999999999997</c:v>
                </c:pt>
                <c:pt idx="113">
                  <c:v>38.158299999999997</c:v>
                </c:pt>
                <c:pt idx="114">
                  <c:v>38.343400000000003</c:v>
                </c:pt>
                <c:pt idx="115">
                  <c:v>38.500799999999998</c:v>
                </c:pt>
                <c:pt idx="116">
                  <c:v>38.5959</c:v>
                </c:pt>
                <c:pt idx="117">
                  <c:v>38.649899999999995</c:v>
                </c:pt>
                <c:pt idx="118">
                  <c:v>38.6554</c:v>
                </c:pt>
                <c:pt idx="119">
                  <c:v>38.692700000000002</c:v>
                </c:pt>
                <c:pt idx="120">
                  <c:v>38.757200000000005</c:v>
                </c:pt>
                <c:pt idx="121">
                  <c:v>38.867100000000001</c:v>
                </c:pt>
                <c:pt idx="122">
                  <c:v>39.025300000000001</c:v>
                </c:pt>
                <c:pt idx="123">
                  <c:v>39.168399999999998</c:v>
                </c:pt>
                <c:pt idx="124">
                  <c:v>39.312399999999997</c:v>
                </c:pt>
                <c:pt idx="125">
                  <c:v>39.389400000000002</c:v>
                </c:pt>
                <c:pt idx="126">
                  <c:v>39.417499999999997</c:v>
                </c:pt>
                <c:pt idx="127">
                  <c:v>39.395599999999995</c:v>
                </c:pt>
                <c:pt idx="128">
                  <c:v>39.390700000000002</c:v>
                </c:pt>
                <c:pt idx="129">
                  <c:v>39.399699999999996</c:v>
                </c:pt>
                <c:pt idx="130">
                  <c:v>39.440300000000001</c:v>
                </c:pt>
                <c:pt idx="131">
                  <c:v>39.405200000000001</c:v>
                </c:pt>
                <c:pt idx="132">
                  <c:v>39.300699999999999</c:v>
                </c:pt>
                <c:pt idx="133">
                  <c:v>39.205199999999998</c:v>
                </c:pt>
                <c:pt idx="134">
                  <c:v>39.171700000000001</c:v>
                </c:pt>
                <c:pt idx="135">
                  <c:v>39.124199999999995</c:v>
                </c:pt>
                <c:pt idx="136">
                  <c:v>39.047199999999997</c:v>
                </c:pt>
                <c:pt idx="137">
                  <c:v>38.951500000000003</c:v>
                </c:pt>
                <c:pt idx="138">
                  <c:v>38.769799999999996</c:v>
                </c:pt>
                <c:pt idx="139">
                  <c:v>38.502399999999994</c:v>
                </c:pt>
                <c:pt idx="140">
                  <c:v>38.192599999999999</c:v>
                </c:pt>
                <c:pt idx="141">
                  <c:v>37.897799999999997</c:v>
                </c:pt>
                <c:pt idx="142">
                  <c:v>37.648499999999999</c:v>
                </c:pt>
                <c:pt idx="143">
                  <c:v>37.628499999999995</c:v>
                </c:pt>
                <c:pt idx="144">
                  <c:v>37.658700000000003</c:v>
                </c:pt>
                <c:pt idx="145">
                  <c:v>37.614999999999995</c:v>
                </c:pt>
                <c:pt idx="146">
                  <c:v>37.763500000000001</c:v>
                </c:pt>
                <c:pt idx="147">
                  <c:v>38.191000000000003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0.40462599999999999</c:v>
                </c:pt>
                <c:pt idx="2">
                  <c:v>0.80981499999999995</c:v>
                </c:pt>
                <c:pt idx="3">
                  <c:v>1.21648</c:v>
                </c:pt>
                <c:pt idx="4">
                  <c:v>1.62493</c:v>
                </c:pt>
                <c:pt idx="5">
                  <c:v>2.0293999999999999</c:v>
                </c:pt>
                <c:pt idx="6">
                  <c:v>2.4348299999999998</c:v>
                </c:pt>
                <c:pt idx="7">
                  <c:v>2.8410299999999999</c:v>
                </c:pt>
                <c:pt idx="8">
                  <c:v>3.2469899999999998</c:v>
                </c:pt>
                <c:pt idx="9">
                  <c:v>3.65625</c:v>
                </c:pt>
                <c:pt idx="10">
                  <c:v>4.0614800000000004</c:v>
                </c:pt>
                <c:pt idx="11">
                  <c:v>4.4647899999999998</c:v>
                </c:pt>
                <c:pt idx="12">
                  <c:v>4.8726399999999996</c:v>
                </c:pt>
                <c:pt idx="13">
                  <c:v>5.2778600000000004</c:v>
                </c:pt>
                <c:pt idx="14">
                  <c:v>5.6851000000000003</c:v>
                </c:pt>
                <c:pt idx="15">
                  <c:v>6.0928300000000002</c:v>
                </c:pt>
                <c:pt idx="16">
                  <c:v>6.4980200000000004</c:v>
                </c:pt>
                <c:pt idx="17">
                  <c:v>6.9032600000000004</c:v>
                </c:pt>
                <c:pt idx="18">
                  <c:v>7.3129499999999998</c:v>
                </c:pt>
                <c:pt idx="19">
                  <c:v>7.7176200000000001</c:v>
                </c:pt>
                <c:pt idx="20">
                  <c:v>8.1254200000000001</c:v>
                </c:pt>
                <c:pt idx="21">
                  <c:v>8.5297699999999992</c:v>
                </c:pt>
                <c:pt idx="22">
                  <c:v>8.9335500000000003</c:v>
                </c:pt>
                <c:pt idx="23">
                  <c:v>9.3429400000000005</c:v>
                </c:pt>
                <c:pt idx="24">
                  <c:v>9.7496500000000008</c:v>
                </c:pt>
                <c:pt idx="25">
                  <c:v>10.156599999999999</c:v>
                </c:pt>
                <c:pt idx="26">
                  <c:v>10.5616</c:v>
                </c:pt>
                <c:pt idx="27">
                  <c:v>10.965999999999999</c:v>
                </c:pt>
                <c:pt idx="28">
                  <c:v>11.3786</c:v>
                </c:pt>
                <c:pt idx="29">
                  <c:v>11.779299999999999</c:v>
                </c:pt>
                <c:pt idx="30">
                  <c:v>12.187099999999999</c:v>
                </c:pt>
                <c:pt idx="31">
                  <c:v>12.601699999999999</c:v>
                </c:pt>
                <c:pt idx="32">
                  <c:v>13.0031</c:v>
                </c:pt>
                <c:pt idx="33">
                  <c:v>13.404500000000001</c:v>
                </c:pt>
                <c:pt idx="34">
                  <c:v>13.81</c:v>
                </c:pt>
                <c:pt idx="35">
                  <c:v>14.214499999999999</c:v>
                </c:pt>
                <c:pt idx="36">
                  <c:v>14.6235</c:v>
                </c:pt>
                <c:pt idx="37">
                  <c:v>15.026999999999999</c:v>
                </c:pt>
                <c:pt idx="38">
                  <c:v>15.437200000000001</c:v>
                </c:pt>
                <c:pt idx="39">
                  <c:v>15.841900000000001</c:v>
                </c:pt>
                <c:pt idx="40">
                  <c:v>16.245200000000001</c:v>
                </c:pt>
                <c:pt idx="41">
                  <c:v>16.653199999999998</c:v>
                </c:pt>
                <c:pt idx="42">
                  <c:v>17.059699999999999</c:v>
                </c:pt>
                <c:pt idx="43">
                  <c:v>17.467099999999999</c:v>
                </c:pt>
                <c:pt idx="44">
                  <c:v>17.872900000000001</c:v>
                </c:pt>
                <c:pt idx="45">
                  <c:v>18.278700000000001</c:v>
                </c:pt>
                <c:pt idx="46">
                  <c:v>18.683499999999999</c:v>
                </c:pt>
                <c:pt idx="47">
                  <c:v>19.090499999999999</c:v>
                </c:pt>
                <c:pt idx="48">
                  <c:v>19.503599999999999</c:v>
                </c:pt>
                <c:pt idx="49">
                  <c:v>19.907699999999998</c:v>
                </c:pt>
                <c:pt idx="50">
                  <c:v>20.311299999999999</c:v>
                </c:pt>
                <c:pt idx="51">
                  <c:v>20.717600000000001</c:v>
                </c:pt>
                <c:pt idx="52">
                  <c:v>21.120899999999999</c:v>
                </c:pt>
                <c:pt idx="53">
                  <c:v>21.529699999999998</c:v>
                </c:pt>
                <c:pt idx="54">
                  <c:v>21.9358</c:v>
                </c:pt>
                <c:pt idx="55">
                  <c:v>22.340900000000001</c:v>
                </c:pt>
                <c:pt idx="56">
                  <c:v>22.7485</c:v>
                </c:pt>
                <c:pt idx="57">
                  <c:v>23.1557</c:v>
                </c:pt>
                <c:pt idx="58">
                  <c:v>23.560400000000001</c:v>
                </c:pt>
                <c:pt idx="59">
                  <c:v>23.9666</c:v>
                </c:pt>
                <c:pt idx="60">
                  <c:v>24.372800000000002</c:v>
                </c:pt>
                <c:pt idx="61">
                  <c:v>24.7776</c:v>
                </c:pt>
                <c:pt idx="62">
                  <c:v>25.206199999999999</c:v>
                </c:pt>
                <c:pt idx="63">
                  <c:v>25.607500000000002</c:v>
                </c:pt>
                <c:pt idx="64">
                  <c:v>26.015799999999999</c:v>
                </c:pt>
                <c:pt idx="65">
                  <c:v>26.412400000000002</c:v>
                </c:pt>
                <c:pt idx="66">
                  <c:v>26.8371</c:v>
                </c:pt>
                <c:pt idx="67">
                  <c:v>27.229099999999999</c:v>
                </c:pt>
                <c:pt idx="68">
                  <c:v>27.642099999999999</c:v>
                </c:pt>
                <c:pt idx="69">
                  <c:v>28.0487</c:v>
                </c:pt>
                <c:pt idx="70">
                  <c:v>28.451599999999999</c:v>
                </c:pt>
                <c:pt idx="71">
                  <c:v>28.860600000000002</c:v>
                </c:pt>
                <c:pt idx="72">
                  <c:v>29.270299999999999</c:v>
                </c:pt>
                <c:pt idx="73">
                  <c:v>29.677600000000002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29.677600000000002</c:v>
                </c:pt>
                <c:pt idx="1">
                  <c:v>30.081299999999999</c:v>
                </c:pt>
                <c:pt idx="2">
                  <c:v>30.704999999999998</c:v>
                </c:pt>
                <c:pt idx="3">
                  <c:v>31.065200000000001</c:v>
                </c:pt>
                <c:pt idx="4">
                  <c:v>31.463200000000001</c:v>
                </c:pt>
                <c:pt idx="5">
                  <c:v>31.838999999999999</c:v>
                </c:pt>
                <c:pt idx="6">
                  <c:v>32.210700000000003</c:v>
                </c:pt>
                <c:pt idx="7">
                  <c:v>32.607900000000001</c:v>
                </c:pt>
                <c:pt idx="8">
                  <c:v>33.021799999999999</c:v>
                </c:pt>
                <c:pt idx="9">
                  <c:v>33.428400000000003</c:v>
                </c:pt>
                <c:pt idx="10">
                  <c:v>33.828699999999998</c:v>
                </c:pt>
                <c:pt idx="11">
                  <c:v>34.239600000000003</c:v>
                </c:pt>
                <c:pt idx="12">
                  <c:v>34.630499999999998</c:v>
                </c:pt>
                <c:pt idx="13">
                  <c:v>35.030700000000003</c:v>
                </c:pt>
                <c:pt idx="14">
                  <c:v>35.4392</c:v>
                </c:pt>
                <c:pt idx="15">
                  <c:v>35.8444</c:v>
                </c:pt>
                <c:pt idx="16">
                  <c:v>36.268700000000003</c:v>
                </c:pt>
                <c:pt idx="17">
                  <c:v>36.678600000000003</c:v>
                </c:pt>
                <c:pt idx="18">
                  <c:v>37.064599999999999</c:v>
                </c:pt>
                <c:pt idx="19">
                  <c:v>37.486400000000003</c:v>
                </c:pt>
                <c:pt idx="20">
                  <c:v>37.883400000000002</c:v>
                </c:pt>
                <c:pt idx="21">
                  <c:v>38.306199999999997</c:v>
                </c:pt>
                <c:pt idx="22">
                  <c:v>38.690600000000003</c:v>
                </c:pt>
                <c:pt idx="23">
                  <c:v>39.113500000000002</c:v>
                </c:pt>
                <c:pt idx="24">
                  <c:v>39.527000000000001</c:v>
                </c:pt>
                <c:pt idx="25">
                  <c:v>39.918999999999997</c:v>
                </c:pt>
                <c:pt idx="26">
                  <c:v>40.334200000000003</c:v>
                </c:pt>
                <c:pt idx="27">
                  <c:v>40.737000000000002</c:v>
                </c:pt>
                <c:pt idx="28">
                  <c:v>41.146999999999998</c:v>
                </c:pt>
                <c:pt idx="29">
                  <c:v>41.543900000000001</c:v>
                </c:pt>
                <c:pt idx="30">
                  <c:v>41.960700000000003</c:v>
                </c:pt>
                <c:pt idx="31">
                  <c:v>42.358899999999998</c:v>
                </c:pt>
                <c:pt idx="32">
                  <c:v>42.771299999999997</c:v>
                </c:pt>
                <c:pt idx="33">
                  <c:v>43.179499999999997</c:v>
                </c:pt>
                <c:pt idx="34">
                  <c:v>43.5837</c:v>
                </c:pt>
                <c:pt idx="35">
                  <c:v>43.967399999999998</c:v>
                </c:pt>
                <c:pt idx="36">
                  <c:v>44.394100000000002</c:v>
                </c:pt>
                <c:pt idx="37">
                  <c:v>44.798900000000003</c:v>
                </c:pt>
                <c:pt idx="38">
                  <c:v>45.202300000000001</c:v>
                </c:pt>
                <c:pt idx="39">
                  <c:v>45.606299999999997</c:v>
                </c:pt>
                <c:pt idx="40">
                  <c:v>46.015300000000003</c:v>
                </c:pt>
                <c:pt idx="41">
                  <c:v>46.431899999999999</c:v>
                </c:pt>
                <c:pt idx="42">
                  <c:v>46.819299999999998</c:v>
                </c:pt>
                <c:pt idx="43">
                  <c:v>47.232900000000001</c:v>
                </c:pt>
                <c:pt idx="44">
                  <c:v>47.629100000000001</c:v>
                </c:pt>
                <c:pt idx="45">
                  <c:v>48.052799999999998</c:v>
                </c:pt>
                <c:pt idx="46">
                  <c:v>48.454799999999999</c:v>
                </c:pt>
                <c:pt idx="47">
                  <c:v>48.848300000000002</c:v>
                </c:pt>
                <c:pt idx="48">
                  <c:v>49.249000000000002</c:v>
                </c:pt>
                <c:pt idx="49">
                  <c:v>49.664700000000003</c:v>
                </c:pt>
                <c:pt idx="50">
                  <c:v>50.084600000000002</c:v>
                </c:pt>
                <c:pt idx="51">
                  <c:v>50.483400000000003</c:v>
                </c:pt>
                <c:pt idx="52">
                  <c:v>50.898899999999998</c:v>
                </c:pt>
                <c:pt idx="53">
                  <c:v>51.302700000000002</c:v>
                </c:pt>
                <c:pt idx="54">
                  <c:v>51.711399999999998</c:v>
                </c:pt>
                <c:pt idx="55">
                  <c:v>52.110700000000001</c:v>
                </c:pt>
                <c:pt idx="56">
                  <c:v>52.511000000000003</c:v>
                </c:pt>
                <c:pt idx="57">
                  <c:v>52.925800000000002</c:v>
                </c:pt>
                <c:pt idx="58">
                  <c:v>53.334299999999999</c:v>
                </c:pt>
                <c:pt idx="59">
                  <c:v>53.735799999999998</c:v>
                </c:pt>
                <c:pt idx="60">
                  <c:v>54.144100000000002</c:v>
                </c:pt>
                <c:pt idx="61">
                  <c:v>54.546999999999997</c:v>
                </c:pt>
                <c:pt idx="62">
                  <c:v>54.945099999999996</c:v>
                </c:pt>
                <c:pt idx="63">
                  <c:v>55.366500000000002</c:v>
                </c:pt>
                <c:pt idx="64">
                  <c:v>55.766599999999997</c:v>
                </c:pt>
                <c:pt idx="65">
                  <c:v>56.170099999999998</c:v>
                </c:pt>
                <c:pt idx="66">
                  <c:v>56.569699999999997</c:v>
                </c:pt>
                <c:pt idx="67">
                  <c:v>56.970199999999998</c:v>
                </c:pt>
                <c:pt idx="68">
                  <c:v>57.397199999999998</c:v>
                </c:pt>
                <c:pt idx="69">
                  <c:v>57.802100000000003</c:v>
                </c:pt>
                <c:pt idx="70">
                  <c:v>58.187100000000001</c:v>
                </c:pt>
                <c:pt idx="71">
                  <c:v>58.598700000000001</c:v>
                </c:pt>
                <c:pt idx="72">
                  <c:v>58.996899999999997</c:v>
                </c:pt>
                <c:pt idx="73">
                  <c:v>59.408700000000003</c:v>
                </c:pt>
                <c:pt idx="74">
                  <c:v>59.823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39.912799999999997</c:v>
                </c:pt>
                <c:pt idx="1">
                  <c:v>39.662100000000002</c:v>
                </c:pt>
                <c:pt idx="2">
                  <c:v>39.280200000000001</c:v>
                </c:pt>
                <c:pt idx="3">
                  <c:v>38.9512</c:v>
                </c:pt>
                <c:pt idx="4">
                  <c:v>38.616799999999998</c:v>
                </c:pt>
                <c:pt idx="5">
                  <c:v>38.340000000000003</c:v>
                </c:pt>
                <c:pt idx="6">
                  <c:v>38.068600000000004</c:v>
                </c:pt>
                <c:pt idx="7">
                  <c:v>37.828400000000002</c:v>
                </c:pt>
                <c:pt idx="8">
                  <c:v>37.611600000000003</c:v>
                </c:pt>
                <c:pt idx="9">
                  <c:v>37.312100000000001</c:v>
                </c:pt>
                <c:pt idx="10">
                  <c:v>36.930099999999996</c:v>
                </c:pt>
                <c:pt idx="11">
                  <c:v>36.649799999999999</c:v>
                </c:pt>
                <c:pt idx="12">
                  <c:v>36.426400000000001</c:v>
                </c:pt>
                <c:pt idx="13">
                  <c:v>36.212400000000002</c:v>
                </c:pt>
                <c:pt idx="14">
                  <c:v>35.989399999999996</c:v>
                </c:pt>
                <c:pt idx="15">
                  <c:v>35.760300000000001</c:v>
                </c:pt>
                <c:pt idx="16">
                  <c:v>35.547200000000004</c:v>
                </c:pt>
                <c:pt idx="17">
                  <c:v>35.389499999999998</c:v>
                </c:pt>
                <c:pt idx="18">
                  <c:v>35.296499999999995</c:v>
                </c:pt>
                <c:pt idx="19">
                  <c:v>35.250500000000002</c:v>
                </c:pt>
                <c:pt idx="20">
                  <c:v>35.246600000000001</c:v>
                </c:pt>
                <c:pt idx="21">
                  <c:v>35.231899999999996</c:v>
                </c:pt>
                <c:pt idx="22">
                  <c:v>35.216500000000003</c:v>
                </c:pt>
                <c:pt idx="23">
                  <c:v>35.195799999999998</c:v>
                </c:pt>
                <c:pt idx="24">
                  <c:v>35.189300000000003</c:v>
                </c:pt>
                <c:pt idx="25">
                  <c:v>35.269099999999995</c:v>
                </c:pt>
                <c:pt idx="26">
                  <c:v>35.396499999999996</c:v>
                </c:pt>
                <c:pt idx="27">
                  <c:v>35.5899</c:v>
                </c:pt>
                <c:pt idx="28">
                  <c:v>35.844999999999999</c:v>
                </c:pt>
                <c:pt idx="29">
                  <c:v>36.0884</c:v>
                </c:pt>
                <c:pt idx="30">
                  <c:v>36.320500000000003</c:v>
                </c:pt>
                <c:pt idx="31">
                  <c:v>36.540700000000001</c:v>
                </c:pt>
                <c:pt idx="32">
                  <c:v>36.727900000000005</c:v>
                </c:pt>
                <c:pt idx="33">
                  <c:v>36.912800000000004</c:v>
                </c:pt>
                <c:pt idx="34">
                  <c:v>37.131799999999998</c:v>
                </c:pt>
                <c:pt idx="35">
                  <c:v>37.375300000000003</c:v>
                </c:pt>
                <c:pt idx="36">
                  <c:v>37.568600000000004</c:v>
                </c:pt>
                <c:pt idx="37">
                  <c:v>37.718600000000002</c:v>
                </c:pt>
                <c:pt idx="38">
                  <c:v>37.853300000000004</c:v>
                </c:pt>
                <c:pt idx="39">
                  <c:v>37.988999999999997</c:v>
                </c:pt>
                <c:pt idx="40">
                  <c:v>38.158299999999997</c:v>
                </c:pt>
                <c:pt idx="41">
                  <c:v>38.343400000000003</c:v>
                </c:pt>
                <c:pt idx="42">
                  <c:v>38.500799999999998</c:v>
                </c:pt>
                <c:pt idx="43">
                  <c:v>38.5959</c:v>
                </c:pt>
                <c:pt idx="44">
                  <c:v>38.649899999999995</c:v>
                </c:pt>
                <c:pt idx="45">
                  <c:v>38.6554</c:v>
                </c:pt>
                <c:pt idx="46">
                  <c:v>38.692700000000002</c:v>
                </c:pt>
                <c:pt idx="47">
                  <c:v>38.757200000000005</c:v>
                </c:pt>
                <c:pt idx="48">
                  <c:v>38.867100000000001</c:v>
                </c:pt>
                <c:pt idx="49">
                  <c:v>39.025300000000001</c:v>
                </c:pt>
                <c:pt idx="50">
                  <c:v>39.168399999999998</c:v>
                </c:pt>
                <c:pt idx="51">
                  <c:v>39.312399999999997</c:v>
                </c:pt>
                <c:pt idx="52">
                  <c:v>39.389400000000002</c:v>
                </c:pt>
                <c:pt idx="53">
                  <c:v>39.417499999999997</c:v>
                </c:pt>
                <c:pt idx="54">
                  <c:v>39.395599999999995</c:v>
                </c:pt>
                <c:pt idx="55">
                  <c:v>39.390700000000002</c:v>
                </c:pt>
                <c:pt idx="56">
                  <c:v>39.399699999999996</c:v>
                </c:pt>
                <c:pt idx="57">
                  <c:v>39.440300000000001</c:v>
                </c:pt>
                <c:pt idx="58">
                  <c:v>39.405200000000001</c:v>
                </c:pt>
                <c:pt idx="59">
                  <c:v>39.300699999999999</c:v>
                </c:pt>
                <c:pt idx="60">
                  <c:v>39.205199999999998</c:v>
                </c:pt>
                <c:pt idx="61">
                  <c:v>39.171700000000001</c:v>
                </c:pt>
                <c:pt idx="62">
                  <c:v>39.124199999999995</c:v>
                </c:pt>
                <c:pt idx="63">
                  <c:v>39.047199999999997</c:v>
                </c:pt>
                <c:pt idx="64">
                  <c:v>38.951500000000003</c:v>
                </c:pt>
                <c:pt idx="65">
                  <c:v>38.769799999999996</c:v>
                </c:pt>
                <c:pt idx="66">
                  <c:v>38.502399999999994</c:v>
                </c:pt>
                <c:pt idx="67">
                  <c:v>38.192599999999999</c:v>
                </c:pt>
                <c:pt idx="68">
                  <c:v>37.897799999999997</c:v>
                </c:pt>
                <c:pt idx="69">
                  <c:v>37.648499999999999</c:v>
                </c:pt>
                <c:pt idx="70">
                  <c:v>37.628499999999995</c:v>
                </c:pt>
                <c:pt idx="71">
                  <c:v>37.658700000000003</c:v>
                </c:pt>
                <c:pt idx="72">
                  <c:v>37.614999999999995</c:v>
                </c:pt>
                <c:pt idx="73">
                  <c:v>37.763500000000001</c:v>
                </c:pt>
                <c:pt idx="74">
                  <c:v>38.191000000000003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14.95575</c:v>
                </c:pt>
                <c:pt idx="1">
                  <c:v>44.867249999999999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49.53313783783782</c:v>
                </c:pt>
                <c:pt idx="1">
                  <c:v>37.658974324324319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  <c:pt idx="74">
                  <c:v>2.6845499999999998</c:v>
                </c:pt>
                <c:pt idx="75">
                  <c:v>2.7113399999999999</c:v>
                </c:pt>
                <c:pt idx="76">
                  <c:v>2.73488</c:v>
                </c:pt>
                <c:pt idx="77">
                  <c:v>2.7611699999999999</c:v>
                </c:pt>
                <c:pt idx="78">
                  <c:v>2.7864399999999998</c:v>
                </c:pt>
                <c:pt idx="79">
                  <c:v>2.81325</c:v>
                </c:pt>
                <c:pt idx="80">
                  <c:v>2.8399200000000002</c:v>
                </c:pt>
                <c:pt idx="81">
                  <c:v>2.86686</c:v>
                </c:pt>
                <c:pt idx="82">
                  <c:v>2.89567</c:v>
                </c:pt>
                <c:pt idx="83">
                  <c:v>2.9274200000000001</c:v>
                </c:pt>
                <c:pt idx="84">
                  <c:v>2.9554</c:v>
                </c:pt>
                <c:pt idx="85">
                  <c:v>2.97831</c:v>
                </c:pt>
                <c:pt idx="86">
                  <c:v>2.9967500000000005</c:v>
                </c:pt>
                <c:pt idx="87">
                  <c:v>3.0149900000000001</c:v>
                </c:pt>
                <c:pt idx="88">
                  <c:v>3.0337199999999998</c:v>
                </c:pt>
                <c:pt idx="89">
                  <c:v>3.0525500000000001</c:v>
                </c:pt>
                <c:pt idx="90">
                  <c:v>3.0697299999999998</c:v>
                </c:pt>
                <c:pt idx="91">
                  <c:v>3.0849799999999998</c:v>
                </c:pt>
                <c:pt idx="92">
                  <c:v>3.09903</c:v>
                </c:pt>
                <c:pt idx="93">
                  <c:v>3.1140600000000003</c:v>
                </c:pt>
                <c:pt idx="94">
                  <c:v>3.1312199999999999</c:v>
                </c:pt>
                <c:pt idx="95">
                  <c:v>3.1492399999999998</c:v>
                </c:pt>
                <c:pt idx="96">
                  <c:v>3.16859</c:v>
                </c:pt>
                <c:pt idx="97">
                  <c:v>3.1887700000000003</c:v>
                </c:pt>
                <c:pt idx="98">
                  <c:v>3.2058900000000001</c:v>
                </c:pt>
                <c:pt idx="99">
                  <c:v>3.2194499999999997</c:v>
                </c:pt>
                <c:pt idx="100">
                  <c:v>3.2306499999999998</c:v>
                </c:pt>
                <c:pt idx="101">
                  <c:v>3.2385199999999998</c:v>
                </c:pt>
                <c:pt idx="102">
                  <c:v>3.2419199999999999</c:v>
                </c:pt>
                <c:pt idx="103">
                  <c:v>3.2471800000000002</c:v>
                </c:pt>
                <c:pt idx="104">
                  <c:v>3.2519</c:v>
                </c:pt>
                <c:pt idx="105">
                  <c:v>3.2564599999999997</c:v>
                </c:pt>
                <c:pt idx="106">
                  <c:v>3.2571899999999996</c:v>
                </c:pt>
                <c:pt idx="107">
                  <c:v>3.2521800000000001</c:v>
                </c:pt>
                <c:pt idx="108">
                  <c:v>3.2432400000000001</c:v>
                </c:pt>
                <c:pt idx="109">
                  <c:v>3.23583</c:v>
                </c:pt>
                <c:pt idx="110">
                  <c:v>3.2267000000000001</c:v>
                </c:pt>
                <c:pt idx="111">
                  <c:v>3.2159</c:v>
                </c:pt>
                <c:pt idx="112">
                  <c:v>3.2064199999999996</c:v>
                </c:pt>
                <c:pt idx="113">
                  <c:v>3.1962700000000002</c:v>
                </c:pt>
                <c:pt idx="114">
                  <c:v>3.1844600000000001</c:v>
                </c:pt>
                <c:pt idx="115">
                  <c:v>3.1744599999999998</c:v>
                </c:pt>
                <c:pt idx="116">
                  <c:v>3.1688899999999998</c:v>
                </c:pt>
                <c:pt idx="117">
                  <c:v>3.1640200000000003</c:v>
                </c:pt>
                <c:pt idx="118">
                  <c:v>3.15787</c:v>
                </c:pt>
                <c:pt idx="119">
                  <c:v>3.1497900000000003</c:v>
                </c:pt>
                <c:pt idx="120">
                  <c:v>3.1424600000000003</c:v>
                </c:pt>
                <c:pt idx="121">
                  <c:v>3.1330299999999998</c:v>
                </c:pt>
                <c:pt idx="122">
                  <c:v>3.1217499999999996</c:v>
                </c:pt>
                <c:pt idx="123">
                  <c:v>3.1107100000000001</c:v>
                </c:pt>
                <c:pt idx="124">
                  <c:v>3.1016399999999997</c:v>
                </c:pt>
                <c:pt idx="125">
                  <c:v>3.0933699999999997</c:v>
                </c:pt>
                <c:pt idx="126">
                  <c:v>3.0863100000000001</c:v>
                </c:pt>
                <c:pt idx="127">
                  <c:v>3.0823299999999998</c:v>
                </c:pt>
                <c:pt idx="128">
                  <c:v>3.07361</c:v>
                </c:pt>
                <c:pt idx="129">
                  <c:v>3.06325</c:v>
                </c:pt>
                <c:pt idx="130">
                  <c:v>3.0515500000000002</c:v>
                </c:pt>
                <c:pt idx="131">
                  <c:v>3.0444100000000001</c:v>
                </c:pt>
                <c:pt idx="132">
                  <c:v>3.0420999999999996</c:v>
                </c:pt>
                <c:pt idx="133">
                  <c:v>3.0395699999999999</c:v>
                </c:pt>
                <c:pt idx="134">
                  <c:v>3.0355799999999999</c:v>
                </c:pt>
                <c:pt idx="135">
                  <c:v>3.0365500000000001</c:v>
                </c:pt>
                <c:pt idx="136">
                  <c:v>3.0435400000000001</c:v>
                </c:pt>
                <c:pt idx="137">
                  <c:v>3.0482500000000003</c:v>
                </c:pt>
                <c:pt idx="138">
                  <c:v>3.0548199999999999</c:v>
                </c:pt>
                <c:pt idx="139">
                  <c:v>3.06697</c:v>
                </c:pt>
                <c:pt idx="140">
                  <c:v>3.08006</c:v>
                </c:pt>
                <c:pt idx="141">
                  <c:v>3.0882500000000004</c:v>
                </c:pt>
                <c:pt idx="142">
                  <c:v>3.1011800000000003</c:v>
                </c:pt>
                <c:pt idx="143">
                  <c:v>3.1126800000000001</c:v>
                </c:pt>
                <c:pt idx="144">
                  <c:v>3.1185800000000001</c:v>
                </c:pt>
                <c:pt idx="145">
                  <c:v>3.1234999999999999</c:v>
                </c:pt>
                <c:pt idx="146">
                  <c:v>3.1217199999999998</c:v>
                </c:pt>
                <c:pt idx="147">
                  <c:v>3.0989399999999998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  <c:pt idx="74">
                  <c:v>39.662100000000002</c:v>
                </c:pt>
                <c:pt idx="75">
                  <c:v>39.280200000000001</c:v>
                </c:pt>
                <c:pt idx="76">
                  <c:v>38.9512</c:v>
                </c:pt>
                <c:pt idx="77">
                  <c:v>38.616799999999998</c:v>
                </c:pt>
                <c:pt idx="78">
                  <c:v>38.340000000000003</c:v>
                </c:pt>
                <c:pt idx="79">
                  <c:v>38.068600000000004</c:v>
                </c:pt>
                <c:pt idx="80">
                  <c:v>37.828400000000002</c:v>
                </c:pt>
                <c:pt idx="81">
                  <c:v>37.611600000000003</c:v>
                </c:pt>
                <c:pt idx="82">
                  <c:v>37.312100000000001</c:v>
                </c:pt>
                <c:pt idx="83">
                  <c:v>36.930099999999996</c:v>
                </c:pt>
                <c:pt idx="84">
                  <c:v>36.649799999999999</c:v>
                </c:pt>
                <c:pt idx="85">
                  <c:v>36.426400000000001</c:v>
                </c:pt>
                <c:pt idx="86">
                  <c:v>36.212400000000002</c:v>
                </c:pt>
                <c:pt idx="87">
                  <c:v>35.989399999999996</c:v>
                </c:pt>
                <c:pt idx="88">
                  <c:v>35.760300000000001</c:v>
                </c:pt>
                <c:pt idx="89">
                  <c:v>35.547200000000004</c:v>
                </c:pt>
                <c:pt idx="90">
                  <c:v>35.389499999999998</c:v>
                </c:pt>
                <c:pt idx="91">
                  <c:v>35.296499999999995</c:v>
                </c:pt>
                <c:pt idx="92">
                  <c:v>35.250500000000002</c:v>
                </c:pt>
                <c:pt idx="93">
                  <c:v>35.246600000000001</c:v>
                </c:pt>
                <c:pt idx="94">
                  <c:v>35.231899999999996</c:v>
                </c:pt>
                <c:pt idx="95">
                  <c:v>35.216500000000003</c:v>
                </c:pt>
                <c:pt idx="96">
                  <c:v>35.195799999999998</c:v>
                </c:pt>
                <c:pt idx="97">
                  <c:v>35.189300000000003</c:v>
                </c:pt>
                <c:pt idx="98">
                  <c:v>35.269099999999995</c:v>
                </c:pt>
                <c:pt idx="99">
                  <c:v>35.396499999999996</c:v>
                </c:pt>
                <c:pt idx="100">
                  <c:v>35.5899</c:v>
                </c:pt>
                <c:pt idx="101">
                  <c:v>35.844999999999999</c:v>
                </c:pt>
                <c:pt idx="102">
                  <c:v>36.0884</c:v>
                </c:pt>
                <c:pt idx="103">
                  <c:v>36.320500000000003</c:v>
                </c:pt>
                <c:pt idx="104">
                  <c:v>36.540700000000001</c:v>
                </c:pt>
                <c:pt idx="105">
                  <c:v>36.727900000000005</c:v>
                </c:pt>
                <c:pt idx="106">
                  <c:v>36.912800000000004</c:v>
                </c:pt>
                <c:pt idx="107">
                  <c:v>37.131799999999998</c:v>
                </c:pt>
                <c:pt idx="108">
                  <c:v>37.375300000000003</c:v>
                </c:pt>
                <c:pt idx="109">
                  <c:v>37.568600000000004</c:v>
                </c:pt>
                <c:pt idx="110">
                  <c:v>37.718600000000002</c:v>
                </c:pt>
                <c:pt idx="111">
                  <c:v>37.853300000000004</c:v>
                </c:pt>
                <c:pt idx="112">
                  <c:v>37.988999999999997</c:v>
                </c:pt>
                <c:pt idx="113">
                  <c:v>38.158299999999997</c:v>
                </c:pt>
                <c:pt idx="114">
                  <c:v>38.343400000000003</c:v>
                </c:pt>
                <c:pt idx="115">
                  <c:v>38.500799999999998</c:v>
                </c:pt>
                <c:pt idx="116">
                  <c:v>38.5959</c:v>
                </c:pt>
                <c:pt idx="117">
                  <c:v>38.649899999999995</c:v>
                </c:pt>
                <c:pt idx="118">
                  <c:v>38.6554</c:v>
                </c:pt>
                <c:pt idx="119">
                  <c:v>38.692700000000002</c:v>
                </c:pt>
                <c:pt idx="120">
                  <c:v>38.757200000000005</c:v>
                </c:pt>
                <c:pt idx="121">
                  <c:v>38.867100000000001</c:v>
                </c:pt>
                <c:pt idx="122">
                  <c:v>39.025300000000001</c:v>
                </c:pt>
                <c:pt idx="123">
                  <c:v>39.168399999999998</c:v>
                </c:pt>
                <c:pt idx="124">
                  <c:v>39.312399999999997</c:v>
                </c:pt>
                <c:pt idx="125">
                  <c:v>39.389400000000002</c:v>
                </c:pt>
                <c:pt idx="126">
                  <c:v>39.417499999999997</c:v>
                </c:pt>
                <c:pt idx="127">
                  <c:v>39.395599999999995</c:v>
                </c:pt>
                <c:pt idx="128">
                  <c:v>39.390700000000002</c:v>
                </c:pt>
                <c:pt idx="129">
                  <c:v>39.399699999999996</c:v>
                </c:pt>
                <c:pt idx="130">
                  <c:v>39.440300000000001</c:v>
                </c:pt>
                <c:pt idx="131">
                  <c:v>39.405200000000001</c:v>
                </c:pt>
                <c:pt idx="132">
                  <c:v>39.300699999999999</c:v>
                </c:pt>
                <c:pt idx="133">
                  <c:v>39.205199999999998</c:v>
                </c:pt>
                <c:pt idx="134">
                  <c:v>39.171700000000001</c:v>
                </c:pt>
                <c:pt idx="135">
                  <c:v>39.124199999999995</c:v>
                </c:pt>
                <c:pt idx="136">
                  <c:v>39.047199999999997</c:v>
                </c:pt>
                <c:pt idx="137">
                  <c:v>38.951500000000003</c:v>
                </c:pt>
                <c:pt idx="138">
                  <c:v>38.769799999999996</c:v>
                </c:pt>
                <c:pt idx="139">
                  <c:v>38.502399999999994</c:v>
                </c:pt>
                <c:pt idx="140">
                  <c:v>38.192599999999999</c:v>
                </c:pt>
                <c:pt idx="141">
                  <c:v>37.897799999999997</c:v>
                </c:pt>
                <c:pt idx="142">
                  <c:v>37.648499999999999</c:v>
                </c:pt>
                <c:pt idx="143">
                  <c:v>37.628499999999995</c:v>
                </c:pt>
                <c:pt idx="144">
                  <c:v>37.658700000000003</c:v>
                </c:pt>
                <c:pt idx="145">
                  <c:v>37.614999999999995</c:v>
                </c:pt>
                <c:pt idx="146">
                  <c:v>37.763500000000001</c:v>
                </c:pt>
                <c:pt idx="147">
                  <c:v>38.191000000000003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1.6147800000000001</c:v>
                </c:pt>
                <c:pt idx="1">
                  <c:v>1.66648</c:v>
                </c:pt>
                <c:pt idx="2">
                  <c:v>1.7164899999999998</c:v>
                </c:pt>
                <c:pt idx="3">
                  <c:v>1.7641100000000001</c:v>
                </c:pt>
                <c:pt idx="4">
                  <c:v>1.8103199999999999</c:v>
                </c:pt>
                <c:pt idx="5">
                  <c:v>1.8569800000000001</c:v>
                </c:pt>
                <c:pt idx="6">
                  <c:v>1.90168</c:v>
                </c:pt>
                <c:pt idx="7">
                  <c:v>1.94462</c:v>
                </c:pt>
                <c:pt idx="8">
                  <c:v>1.98584</c:v>
                </c:pt>
                <c:pt idx="9">
                  <c:v>2.0253099999999997</c:v>
                </c:pt>
                <c:pt idx="10">
                  <c:v>2.0620500000000002</c:v>
                </c:pt>
                <c:pt idx="11">
                  <c:v>2.09741</c:v>
                </c:pt>
                <c:pt idx="12">
                  <c:v>2.1316299999999999</c:v>
                </c:pt>
                <c:pt idx="13">
                  <c:v>2.1668599999999998</c:v>
                </c:pt>
                <c:pt idx="14">
                  <c:v>2.2011400000000001</c:v>
                </c:pt>
                <c:pt idx="15">
                  <c:v>2.2317999999999998</c:v>
                </c:pt>
                <c:pt idx="16">
                  <c:v>2.25969</c:v>
                </c:pt>
                <c:pt idx="17">
                  <c:v>2.2871800000000002</c:v>
                </c:pt>
                <c:pt idx="18">
                  <c:v>2.3140999999999998</c:v>
                </c:pt>
                <c:pt idx="19">
                  <c:v>2.3404799999999999</c:v>
                </c:pt>
                <c:pt idx="20">
                  <c:v>2.3660900000000002</c:v>
                </c:pt>
                <c:pt idx="21">
                  <c:v>2.3905000000000003</c:v>
                </c:pt>
                <c:pt idx="22">
                  <c:v>2.4125100000000002</c:v>
                </c:pt>
                <c:pt idx="23">
                  <c:v>2.4315700000000002</c:v>
                </c:pt>
                <c:pt idx="24">
                  <c:v>2.4479799999999998</c:v>
                </c:pt>
                <c:pt idx="25">
                  <c:v>2.4607899999999998</c:v>
                </c:pt>
                <c:pt idx="26">
                  <c:v>2.472</c:v>
                </c:pt>
                <c:pt idx="27">
                  <c:v>2.4846399999999997</c:v>
                </c:pt>
                <c:pt idx="28">
                  <c:v>2.4973700000000001</c:v>
                </c:pt>
                <c:pt idx="29">
                  <c:v>2.5093399999999999</c:v>
                </c:pt>
                <c:pt idx="30">
                  <c:v>2.5182900000000004</c:v>
                </c:pt>
                <c:pt idx="31">
                  <c:v>2.5259</c:v>
                </c:pt>
                <c:pt idx="32">
                  <c:v>2.5323699999999998</c:v>
                </c:pt>
                <c:pt idx="33">
                  <c:v>2.5385999999999997</c:v>
                </c:pt>
                <c:pt idx="34">
                  <c:v>2.5449999999999999</c:v>
                </c:pt>
                <c:pt idx="35">
                  <c:v>2.5505899999999997</c:v>
                </c:pt>
                <c:pt idx="36">
                  <c:v>2.5540200000000004</c:v>
                </c:pt>
                <c:pt idx="37">
                  <c:v>2.55572</c:v>
                </c:pt>
                <c:pt idx="38">
                  <c:v>2.5553999999999997</c:v>
                </c:pt>
                <c:pt idx="39">
                  <c:v>2.5534299999999996</c:v>
                </c:pt>
                <c:pt idx="40">
                  <c:v>2.54996</c:v>
                </c:pt>
                <c:pt idx="41">
                  <c:v>2.5446800000000005</c:v>
                </c:pt>
                <c:pt idx="42">
                  <c:v>2.5383599999999999</c:v>
                </c:pt>
                <c:pt idx="43">
                  <c:v>2.5318800000000001</c:v>
                </c:pt>
                <c:pt idx="44">
                  <c:v>2.5242300000000002</c:v>
                </c:pt>
                <c:pt idx="45">
                  <c:v>2.5134400000000001</c:v>
                </c:pt>
                <c:pt idx="46">
                  <c:v>2.5033599999999998</c:v>
                </c:pt>
                <c:pt idx="47">
                  <c:v>2.4940599999999997</c:v>
                </c:pt>
                <c:pt idx="48">
                  <c:v>2.4846300000000001</c:v>
                </c:pt>
                <c:pt idx="49">
                  <c:v>2.47681</c:v>
                </c:pt>
                <c:pt idx="50">
                  <c:v>2.4731399999999999</c:v>
                </c:pt>
                <c:pt idx="51">
                  <c:v>2.4683199999999998</c:v>
                </c:pt>
                <c:pt idx="52">
                  <c:v>2.4606500000000002</c:v>
                </c:pt>
                <c:pt idx="53">
                  <c:v>2.4546399999999999</c:v>
                </c:pt>
                <c:pt idx="54">
                  <c:v>2.4484300000000001</c:v>
                </c:pt>
                <c:pt idx="55">
                  <c:v>2.4430700000000001</c:v>
                </c:pt>
                <c:pt idx="56">
                  <c:v>2.4394499999999999</c:v>
                </c:pt>
                <c:pt idx="57">
                  <c:v>2.4388999999999998</c:v>
                </c:pt>
                <c:pt idx="58">
                  <c:v>2.4407699999999997</c:v>
                </c:pt>
                <c:pt idx="59">
                  <c:v>2.4437700000000002</c:v>
                </c:pt>
                <c:pt idx="60">
                  <c:v>2.4517800000000003</c:v>
                </c:pt>
                <c:pt idx="61">
                  <c:v>2.4678200000000001</c:v>
                </c:pt>
                <c:pt idx="62">
                  <c:v>2.4858899999999999</c:v>
                </c:pt>
                <c:pt idx="63">
                  <c:v>2.5016100000000003</c:v>
                </c:pt>
                <c:pt idx="64">
                  <c:v>2.5173699999999997</c:v>
                </c:pt>
                <c:pt idx="65">
                  <c:v>2.5342399999999996</c:v>
                </c:pt>
                <c:pt idx="66">
                  <c:v>2.5509500000000003</c:v>
                </c:pt>
                <c:pt idx="67">
                  <c:v>2.5645899999999999</c:v>
                </c:pt>
                <c:pt idx="68">
                  <c:v>2.5786899999999999</c:v>
                </c:pt>
                <c:pt idx="69">
                  <c:v>2.5942500000000002</c:v>
                </c:pt>
                <c:pt idx="70">
                  <c:v>2.6101799999999997</c:v>
                </c:pt>
                <c:pt idx="71">
                  <c:v>2.6254599999999999</c:v>
                </c:pt>
                <c:pt idx="72">
                  <c:v>2.6428400000000001</c:v>
                </c:pt>
                <c:pt idx="73">
                  <c:v>2.6625399999999999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63.62</c:v>
                </c:pt>
                <c:pt idx="1">
                  <c:v>63.387800000000006</c:v>
                </c:pt>
                <c:pt idx="2">
                  <c:v>63.229800000000004</c:v>
                </c:pt>
                <c:pt idx="3">
                  <c:v>63.146899999999995</c:v>
                </c:pt>
                <c:pt idx="4">
                  <c:v>63.027500000000003</c:v>
                </c:pt>
                <c:pt idx="5">
                  <c:v>62.854100000000003</c:v>
                </c:pt>
                <c:pt idx="6">
                  <c:v>62.707999999999998</c:v>
                </c:pt>
                <c:pt idx="7">
                  <c:v>62.507500000000007</c:v>
                </c:pt>
                <c:pt idx="8">
                  <c:v>62.361500000000007</c:v>
                </c:pt>
                <c:pt idx="9">
                  <c:v>62.234599999999993</c:v>
                </c:pt>
                <c:pt idx="10">
                  <c:v>62.056400000000004</c:v>
                </c:pt>
                <c:pt idx="11">
                  <c:v>61.830500000000001</c:v>
                </c:pt>
                <c:pt idx="12">
                  <c:v>61.425200000000004</c:v>
                </c:pt>
                <c:pt idx="13">
                  <c:v>60.880199999999995</c:v>
                </c:pt>
                <c:pt idx="14">
                  <c:v>60.275999999999996</c:v>
                </c:pt>
                <c:pt idx="15">
                  <c:v>59.576499999999996</c:v>
                </c:pt>
                <c:pt idx="16">
                  <c:v>58.835400000000007</c:v>
                </c:pt>
                <c:pt idx="17">
                  <c:v>57.993399999999994</c:v>
                </c:pt>
                <c:pt idx="18">
                  <c:v>57.155599999999993</c:v>
                </c:pt>
                <c:pt idx="19">
                  <c:v>56.3508</c:v>
                </c:pt>
                <c:pt idx="20">
                  <c:v>55.471699999999998</c:v>
                </c:pt>
                <c:pt idx="21">
                  <c:v>54.697300000000006</c:v>
                </c:pt>
                <c:pt idx="22">
                  <c:v>54.014399999999995</c:v>
                </c:pt>
                <c:pt idx="23">
                  <c:v>53.2864</c:v>
                </c:pt>
                <c:pt idx="24">
                  <c:v>52.626399999999997</c:v>
                </c:pt>
                <c:pt idx="25">
                  <c:v>52.042500000000004</c:v>
                </c:pt>
                <c:pt idx="26">
                  <c:v>51.429499999999997</c:v>
                </c:pt>
                <c:pt idx="27">
                  <c:v>50.774600000000007</c:v>
                </c:pt>
                <c:pt idx="28">
                  <c:v>50.116999999999997</c:v>
                </c:pt>
                <c:pt idx="29">
                  <c:v>49.459900000000005</c:v>
                </c:pt>
                <c:pt idx="30">
                  <c:v>48.903600000000004</c:v>
                </c:pt>
                <c:pt idx="31">
                  <c:v>48.398299999999999</c:v>
                </c:pt>
                <c:pt idx="32">
                  <c:v>47.913699999999999</c:v>
                </c:pt>
                <c:pt idx="33">
                  <c:v>47.4407</c:v>
                </c:pt>
                <c:pt idx="34">
                  <c:v>46.949300000000001</c:v>
                </c:pt>
                <c:pt idx="35">
                  <c:v>46.469700000000003</c:v>
                </c:pt>
                <c:pt idx="36">
                  <c:v>46.041600000000003</c:v>
                </c:pt>
                <c:pt idx="37">
                  <c:v>45.648400000000002</c:v>
                </c:pt>
                <c:pt idx="38">
                  <c:v>45.294899999999998</c:v>
                </c:pt>
                <c:pt idx="39">
                  <c:v>44.995000000000005</c:v>
                </c:pt>
                <c:pt idx="40">
                  <c:v>44.743400000000001</c:v>
                </c:pt>
                <c:pt idx="41">
                  <c:v>44.543999999999997</c:v>
                </c:pt>
                <c:pt idx="42">
                  <c:v>44.393999999999998</c:v>
                </c:pt>
                <c:pt idx="43">
                  <c:v>44.253500000000003</c:v>
                </c:pt>
                <c:pt idx="44">
                  <c:v>44.1252</c:v>
                </c:pt>
                <c:pt idx="45">
                  <c:v>44.068000000000005</c:v>
                </c:pt>
                <c:pt idx="46">
                  <c:v>43.969799999999999</c:v>
                </c:pt>
                <c:pt idx="47">
                  <c:v>43.828299999999999</c:v>
                </c:pt>
                <c:pt idx="48">
                  <c:v>43.758099999999999</c:v>
                </c:pt>
                <c:pt idx="49">
                  <c:v>43.651299999999999</c:v>
                </c:pt>
                <c:pt idx="50">
                  <c:v>43.524700000000003</c:v>
                </c:pt>
                <c:pt idx="51">
                  <c:v>43.417000000000002</c:v>
                </c:pt>
                <c:pt idx="52">
                  <c:v>43.366999999999997</c:v>
                </c:pt>
                <c:pt idx="53">
                  <c:v>43.316099999999999</c:v>
                </c:pt>
                <c:pt idx="54">
                  <c:v>43.279200000000003</c:v>
                </c:pt>
                <c:pt idx="55">
                  <c:v>43.195599999999999</c:v>
                </c:pt>
                <c:pt idx="56">
                  <c:v>43.0976</c:v>
                </c:pt>
                <c:pt idx="57">
                  <c:v>42.9619</c:v>
                </c:pt>
                <c:pt idx="58">
                  <c:v>42.838799999999999</c:v>
                </c:pt>
                <c:pt idx="59">
                  <c:v>42.731499999999997</c:v>
                </c:pt>
                <c:pt idx="60">
                  <c:v>42.520599999999995</c:v>
                </c:pt>
                <c:pt idx="61">
                  <c:v>42.1907</c:v>
                </c:pt>
                <c:pt idx="62">
                  <c:v>41.874299999999998</c:v>
                </c:pt>
                <c:pt idx="63">
                  <c:v>41.6785</c:v>
                </c:pt>
                <c:pt idx="64">
                  <c:v>41.487899999999996</c:v>
                </c:pt>
                <c:pt idx="65">
                  <c:v>41.259499999999996</c:v>
                </c:pt>
                <c:pt idx="66">
                  <c:v>41.055999999999997</c:v>
                </c:pt>
                <c:pt idx="67">
                  <c:v>40.9377</c:v>
                </c:pt>
                <c:pt idx="68">
                  <c:v>40.7605</c:v>
                </c:pt>
                <c:pt idx="69">
                  <c:v>40.550000000000004</c:v>
                </c:pt>
                <c:pt idx="70">
                  <c:v>40.391199999999998</c:v>
                </c:pt>
                <c:pt idx="71">
                  <c:v>40.247599999999998</c:v>
                </c:pt>
                <c:pt idx="72">
                  <c:v>40.087299999999999</c:v>
                </c:pt>
                <c:pt idx="73">
                  <c:v>39.912799999999997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2.6625399999999999</c:v>
                </c:pt>
                <c:pt idx="1">
                  <c:v>2.6845499999999998</c:v>
                </c:pt>
                <c:pt idx="2">
                  <c:v>2.7113399999999999</c:v>
                </c:pt>
                <c:pt idx="3">
                  <c:v>2.73488</c:v>
                </c:pt>
                <c:pt idx="4">
                  <c:v>2.7611699999999999</c:v>
                </c:pt>
                <c:pt idx="5">
                  <c:v>2.7864399999999998</c:v>
                </c:pt>
                <c:pt idx="6">
                  <c:v>2.81325</c:v>
                </c:pt>
                <c:pt idx="7">
                  <c:v>2.8399200000000002</c:v>
                </c:pt>
                <c:pt idx="8">
                  <c:v>2.86686</c:v>
                </c:pt>
                <c:pt idx="9">
                  <c:v>2.89567</c:v>
                </c:pt>
                <c:pt idx="10">
                  <c:v>2.9274200000000001</c:v>
                </c:pt>
                <c:pt idx="11">
                  <c:v>2.9554</c:v>
                </c:pt>
                <c:pt idx="12">
                  <c:v>2.97831</c:v>
                </c:pt>
                <c:pt idx="13">
                  <c:v>2.9967500000000005</c:v>
                </c:pt>
                <c:pt idx="14">
                  <c:v>3.0149900000000001</c:v>
                </c:pt>
                <c:pt idx="15">
                  <c:v>3.0337199999999998</c:v>
                </c:pt>
                <c:pt idx="16">
                  <c:v>3.0525500000000001</c:v>
                </c:pt>
                <c:pt idx="17">
                  <c:v>3.0697299999999998</c:v>
                </c:pt>
                <c:pt idx="18">
                  <c:v>3.0849799999999998</c:v>
                </c:pt>
                <c:pt idx="19">
                  <c:v>3.09903</c:v>
                </c:pt>
                <c:pt idx="20">
                  <c:v>3.1140600000000003</c:v>
                </c:pt>
                <c:pt idx="21">
                  <c:v>3.1312199999999999</c:v>
                </c:pt>
                <c:pt idx="22">
                  <c:v>3.1492399999999998</c:v>
                </c:pt>
                <c:pt idx="23">
                  <c:v>3.16859</c:v>
                </c:pt>
                <c:pt idx="24">
                  <c:v>3.1887700000000003</c:v>
                </c:pt>
                <c:pt idx="25">
                  <c:v>3.2058900000000001</c:v>
                </c:pt>
                <c:pt idx="26">
                  <c:v>3.2194499999999997</c:v>
                </c:pt>
                <c:pt idx="27">
                  <c:v>3.2306499999999998</c:v>
                </c:pt>
                <c:pt idx="28">
                  <c:v>3.2385199999999998</c:v>
                </c:pt>
                <c:pt idx="29">
                  <c:v>3.2419199999999999</c:v>
                </c:pt>
                <c:pt idx="30">
                  <c:v>3.2471800000000002</c:v>
                </c:pt>
                <c:pt idx="31">
                  <c:v>3.2519</c:v>
                </c:pt>
                <c:pt idx="32">
                  <c:v>3.2564599999999997</c:v>
                </c:pt>
                <c:pt idx="33">
                  <c:v>3.2571899999999996</c:v>
                </c:pt>
                <c:pt idx="34">
                  <c:v>3.2521800000000001</c:v>
                </c:pt>
                <c:pt idx="35">
                  <c:v>3.2432400000000001</c:v>
                </c:pt>
                <c:pt idx="36">
                  <c:v>3.23583</c:v>
                </c:pt>
                <c:pt idx="37">
                  <c:v>3.2267000000000001</c:v>
                </c:pt>
                <c:pt idx="38">
                  <c:v>3.2159</c:v>
                </c:pt>
                <c:pt idx="39">
                  <c:v>3.2064199999999996</c:v>
                </c:pt>
                <c:pt idx="40">
                  <c:v>3.1962700000000002</c:v>
                </c:pt>
                <c:pt idx="41">
                  <c:v>3.1844600000000001</c:v>
                </c:pt>
                <c:pt idx="42">
                  <c:v>3.1744599999999998</c:v>
                </c:pt>
                <c:pt idx="43">
                  <c:v>3.1688899999999998</c:v>
                </c:pt>
                <c:pt idx="44">
                  <c:v>3.1640200000000003</c:v>
                </c:pt>
                <c:pt idx="45">
                  <c:v>3.15787</c:v>
                </c:pt>
                <c:pt idx="46">
                  <c:v>3.1497900000000003</c:v>
                </c:pt>
                <c:pt idx="47">
                  <c:v>3.1424600000000003</c:v>
                </c:pt>
                <c:pt idx="48">
                  <c:v>3.1330299999999998</c:v>
                </c:pt>
                <c:pt idx="49">
                  <c:v>3.1217499999999996</c:v>
                </c:pt>
                <c:pt idx="50">
                  <c:v>3.1107100000000001</c:v>
                </c:pt>
                <c:pt idx="51">
                  <c:v>3.1016399999999997</c:v>
                </c:pt>
                <c:pt idx="52">
                  <c:v>3.0933699999999997</c:v>
                </c:pt>
                <c:pt idx="53">
                  <c:v>3.0863100000000001</c:v>
                </c:pt>
                <c:pt idx="54">
                  <c:v>3.0823299999999998</c:v>
                </c:pt>
                <c:pt idx="55">
                  <c:v>3.07361</c:v>
                </c:pt>
                <c:pt idx="56">
                  <c:v>3.06325</c:v>
                </c:pt>
                <c:pt idx="57">
                  <c:v>3.0515500000000002</c:v>
                </c:pt>
                <c:pt idx="58">
                  <c:v>3.0444100000000001</c:v>
                </c:pt>
                <c:pt idx="59">
                  <c:v>3.0420999999999996</c:v>
                </c:pt>
                <c:pt idx="60">
                  <c:v>3.0395699999999999</c:v>
                </c:pt>
                <c:pt idx="61">
                  <c:v>3.0355799999999999</c:v>
                </c:pt>
                <c:pt idx="62">
                  <c:v>3.0365500000000001</c:v>
                </c:pt>
                <c:pt idx="63">
                  <c:v>3.0435400000000001</c:v>
                </c:pt>
                <c:pt idx="64">
                  <c:v>3.0482500000000003</c:v>
                </c:pt>
                <c:pt idx="65">
                  <c:v>3.0548199999999999</c:v>
                </c:pt>
                <c:pt idx="66">
                  <c:v>3.06697</c:v>
                </c:pt>
                <c:pt idx="67">
                  <c:v>3.08006</c:v>
                </c:pt>
                <c:pt idx="68">
                  <c:v>3.0882500000000004</c:v>
                </c:pt>
                <c:pt idx="69">
                  <c:v>3.1011800000000003</c:v>
                </c:pt>
                <c:pt idx="70">
                  <c:v>3.1126800000000001</c:v>
                </c:pt>
                <c:pt idx="71">
                  <c:v>3.1185800000000001</c:v>
                </c:pt>
                <c:pt idx="72">
                  <c:v>3.1234999999999999</c:v>
                </c:pt>
                <c:pt idx="73">
                  <c:v>3.1217199999999998</c:v>
                </c:pt>
                <c:pt idx="74">
                  <c:v>3.0989399999999998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39.912799999999997</c:v>
                </c:pt>
                <c:pt idx="1">
                  <c:v>39.662100000000002</c:v>
                </c:pt>
                <c:pt idx="2">
                  <c:v>39.280200000000001</c:v>
                </c:pt>
                <c:pt idx="3">
                  <c:v>38.9512</c:v>
                </c:pt>
                <c:pt idx="4">
                  <c:v>38.616799999999998</c:v>
                </c:pt>
                <c:pt idx="5">
                  <c:v>38.340000000000003</c:v>
                </c:pt>
                <c:pt idx="6">
                  <c:v>38.068600000000004</c:v>
                </c:pt>
                <c:pt idx="7">
                  <c:v>37.828400000000002</c:v>
                </c:pt>
                <c:pt idx="8">
                  <c:v>37.611600000000003</c:v>
                </c:pt>
                <c:pt idx="9">
                  <c:v>37.312100000000001</c:v>
                </c:pt>
                <c:pt idx="10">
                  <c:v>36.930099999999996</c:v>
                </c:pt>
                <c:pt idx="11">
                  <c:v>36.649799999999999</c:v>
                </c:pt>
                <c:pt idx="12">
                  <c:v>36.426400000000001</c:v>
                </c:pt>
                <c:pt idx="13">
                  <c:v>36.212400000000002</c:v>
                </c:pt>
                <c:pt idx="14">
                  <c:v>35.989399999999996</c:v>
                </c:pt>
                <c:pt idx="15">
                  <c:v>35.760300000000001</c:v>
                </c:pt>
                <c:pt idx="16">
                  <c:v>35.547200000000004</c:v>
                </c:pt>
                <c:pt idx="17">
                  <c:v>35.389499999999998</c:v>
                </c:pt>
                <c:pt idx="18">
                  <c:v>35.296499999999995</c:v>
                </c:pt>
                <c:pt idx="19">
                  <c:v>35.250500000000002</c:v>
                </c:pt>
                <c:pt idx="20">
                  <c:v>35.246600000000001</c:v>
                </c:pt>
                <c:pt idx="21">
                  <c:v>35.231899999999996</c:v>
                </c:pt>
                <c:pt idx="22">
                  <c:v>35.216500000000003</c:v>
                </c:pt>
                <c:pt idx="23">
                  <c:v>35.195799999999998</c:v>
                </c:pt>
                <c:pt idx="24">
                  <c:v>35.189300000000003</c:v>
                </c:pt>
                <c:pt idx="25">
                  <c:v>35.269099999999995</c:v>
                </c:pt>
                <c:pt idx="26">
                  <c:v>35.396499999999996</c:v>
                </c:pt>
                <c:pt idx="27">
                  <c:v>35.5899</c:v>
                </c:pt>
                <c:pt idx="28">
                  <c:v>35.844999999999999</c:v>
                </c:pt>
                <c:pt idx="29">
                  <c:v>36.0884</c:v>
                </c:pt>
                <c:pt idx="30">
                  <c:v>36.320500000000003</c:v>
                </c:pt>
                <c:pt idx="31">
                  <c:v>36.540700000000001</c:v>
                </c:pt>
                <c:pt idx="32">
                  <c:v>36.727900000000005</c:v>
                </c:pt>
                <c:pt idx="33">
                  <c:v>36.912800000000004</c:v>
                </c:pt>
                <c:pt idx="34">
                  <c:v>37.131799999999998</c:v>
                </c:pt>
                <c:pt idx="35">
                  <c:v>37.375300000000003</c:v>
                </c:pt>
                <c:pt idx="36">
                  <c:v>37.568600000000004</c:v>
                </c:pt>
                <c:pt idx="37">
                  <c:v>37.718600000000002</c:v>
                </c:pt>
                <c:pt idx="38">
                  <c:v>37.853300000000004</c:v>
                </c:pt>
                <c:pt idx="39">
                  <c:v>37.988999999999997</c:v>
                </c:pt>
                <c:pt idx="40">
                  <c:v>38.158299999999997</c:v>
                </c:pt>
                <c:pt idx="41">
                  <c:v>38.343400000000003</c:v>
                </c:pt>
                <c:pt idx="42">
                  <c:v>38.500799999999998</c:v>
                </c:pt>
                <c:pt idx="43">
                  <c:v>38.5959</c:v>
                </c:pt>
                <c:pt idx="44">
                  <c:v>38.649899999999995</c:v>
                </c:pt>
                <c:pt idx="45">
                  <c:v>38.6554</c:v>
                </c:pt>
                <c:pt idx="46">
                  <c:v>38.692700000000002</c:v>
                </c:pt>
                <c:pt idx="47">
                  <c:v>38.757200000000005</c:v>
                </c:pt>
                <c:pt idx="48">
                  <c:v>38.867100000000001</c:v>
                </c:pt>
                <c:pt idx="49">
                  <c:v>39.025300000000001</c:v>
                </c:pt>
                <c:pt idx="50">
                  <c:v>39.168399999999998</c:v>
                </c:pt>
                <c:pt idx="51">
                  <c:v>39.312399999999997</c:v>
                </c:pt>
                <c:pt idx="52">
                  <c:v>39.389400000000002</c:v>
                </c:pt>
                <c:pt idx="53">
                  <c:v>39.417499999999997</c:v>
                </c:pt>
                <c:pt idx="54">
                  <c:v>39.395599999999995</c:v>
                </c:pt>
                <c:pt idx="55">
                  <c:v>39.390700000000002</c:v>
                </c:pt>
                <c:pt idx="56">
                  <c:v>39.399699999999996</c:v>
                </c:pt>
                <c:pt idx="57">
                  <c:v>39.440300000000001</c:v>
                </c:pt>
                <c:pt idx="58">
                  <c:v>39.405200000000001</c:v>
                </c:pt>
                <c:pt idx="59">
                  <c:v>39.300699999999999</c:v>
                </c:pt>
                <c:pt idx="60">
                  <c:v>39.205199999999998</c:v>
                </c:pt>
                <c:pt idx="61">
                  <c:v>39.171700000000001</c:v>
                </c:pt>
                <c:pt idx="62">
                  <c:v>39.124199999999995</c:v>
                </c:pt>
                <c:pt idx="63">
                  <c:v>39.047199999999997</c:v>
                </c:pt>
                <c:pt idx="64">
                  <c:v>38.951500000000003</c:v>
                </c:pt>
                <c:pt idx="65">
                  <c:v>38.769799999999996</c:v>
                </c:pt>
                <c:pt idx="66">
                  <c:v>38.502399999999994</c:v>
                </c:pt>
                <c:pt idx="67">
                  <c:v>38.192599999999999</c:v>
                </c:pt>
                <c:pt idx="68">
                  <c:v>37.897799999999997</c:v>
                </c:pt>
                <c:pt idx="69">
                  <c:v>37.648499999999999</c:v>
                </c:pt>
                <c:pt idx="70">
                  <c:v>37.628499999999995</c:v>
                </c:pt>
                <c:pt idx="71">
                  <c:v>37.658700000000003</c:v>
                </c:pt>
                <c:pt idx="72">
                  <c:v>37.614999999999995</c:v>
                </c:pt>
                <c:pt idx="73">
                  <c:v>37.763500000000001</c:v>
                </c:pt>
                <c:pt idx="74">
                  <c:v>38.191000000000003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1.6147800000000001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63.62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2.3748894594594594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49.53313783783782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3.0824424324324324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37.658974324324319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3.0824424324324324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37.658974324324319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571</v>
      </c>
      <c r="D5" s="191"/>
      <c r="E5" s="191"/>
      <c r="F5" s="192"/>
      <c r="G5" s="48" t="str">
        <f>lang!B27</f>
        <v>编号</v>
      </c>
      <c r="H5" s="190">
        <v>5</v>
      </c>
      <c r="I5" s="191"/>
      <c r="J5" s="191"/>
      <c r="K5" s="193"/>
    </row>
    <row r="6" spans="2:21" ht="17.25" customHeight="1">
      <c r="B6" s="46" t="str">
        <f>lang!B25</f>
        <v>性别</v>
      </c>
      <c r="C6" s="198" t="s">
        <v>570</v>
      </c>
      <c r="D6" s="145"/>
      <c r="E6" s="145"/>
      <c r="F6" s="146"/>
      <c r="G6" s="49" t="str">
        <f>lang!B28</f>
        <v xml:space="preserve"> 日期</v>
      </c>
      <c r="H6" s="129">
        <f>FH_info!A2</f>
        <v>43612.651238425926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28</v>
      </c>
      <c r="D7" s="148"/>
      <c r="E7" s="148"/>
      <c r="F7" s="149"/>
      <c r="G7" s="50" t="str">
        <f>lang!B29</f>
        <v>误差率（%）</v>
      </c>
      <c r="H7" s="132">
        <f>M!B17*1</f>
        <v>15.7447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32.543599999999998</v>
      </c>
      <c r="O8" s="59">
        <f>M!C5*1</f>
        <v>8.2092200000000002</v>
      </c>
      <c r="P8" s="59">
        <f>M!D5*1</f>
        <v>25.225300000000001</v>
      </c>
      <c r="Q8" s="59">
        <f>M!E5*1</f>
        <v>20</v>
      </c>
      <c r="R8" s="59">
        <f>M!F5*1</f>
        <v>6.8628999999999998</v>
      </c>
      <c r="S8" s="59">
        <f>M!G5*1</f>
        <v>50</v>
      </c>
      <c r="T8" s="59">
        <f>M!H5*1</f>
        <v>44.061399999999999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32.947099999999999</v>
      </c>
      <c r="O9" s="59">
        <f>M!C6*1</f>
        <v>3.0114899999999998</v>
      </c>
      <c r="P9" s="59">
        <f>M!D6*1</f>
        <v>9.1403700000000008</v>
      </c>
      <c r="Q9" s="59">
        <f>M!E6*1</f>
        <v>20</v>
      </c>
      <c r="R9" s="59">
        <f>M!F6*1</f>
        <v>26.496200000000002</v>
      </c>
      <c r="S9" s="59">
        <f>M!G6*1</f>
        <v>40</v>
      </c>
      <c r="T9" s="59">
        <f>M!H6*1</f>
        <v>37.733400000000003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6.8628999999999998</v>
      </c>
      <c r="D10" s="99">
        <f>N8</f>
        <v>32.543599999999998</v>
      </c>
      <c r="E10" s="100">
        <f>T8</f>
        <v>44.061399999999999</v>
      </c>
      <c r="F10" s="91">
        <f>P8</f>
        <v>25.225300000000001</v>
      </c>
      <c r="G10" s="81" t="str">
        <f>CONCATENATE(M9,"
(20 ~ 40)")</f>
        <v>压力
(20 ~ 40)</v>
      </c>
      <c r="H10" s="98">
        <f>R9</f>
        <v>26.496200000000002</v>
      </c>
      <c r="I10" s="108">
        <f>N9</f>
        <v>32.947099999999999</v>
      </c>
      <c r="J10" s="98">
        <f>T9</f>
        <v>37.733400000000003</v>
      </c>
      <c r="K10" s="92">
        <f>P9</f>
        <v>9.1403700000000008</v>
      </c>
      <c r="L10" s="6"/>
      <c r="M10" s="27" t="str">
        <f>lang!B16</f>
        <v>焦虑</v>
      </c>
      <c r="N10" s="59">
        <f>M!B7*1</f>
        <v>33.648200000000003</v>
      </c>
      <c r="O10" s="59">
        <f>M!C7*1</f>
        <v>7.4934000000000003</v>
      </c>
      <c r="P10" s="59">
        <f>M!D7*1</f>
        <v>22.2698</v>
      </c>
      <c r="Q10" s="59">
        <f>M!E7*1</f>
        <v>15</v>
      </c>
      <c r="R10" s="59">
        <f>M!F7*1</f>
        <v>9.8352199999999996</v>
      </c>
      <c r="S10" s="59">
        <f>M!G7*1</f>
        <v>40</v>
      </c>
      <c r="T10" s="59">
        <f>M!H7*1</f>
        <v>50.526400000000002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9.8352199999999996</v>
      </c>
      <c r="D11" s="102">
        <f>N10</f>
        <v>33.648200000000003</v>
      </c>
      <c r="E11" s="103">
        <f>T10</f>
        <v>50.526400000000002</v>
      </c>
      <c r="F11" s="94">
        <f>P10</f>
        <v>22.2698</v>
      </c>
      <c r="G11" s="52" t="str">
        <f>CONCATENATE(M11,"
(20 ~ 50)")</f>
        <v>可疑
(20 ~ 50)</v>
      </c>
      <c r="H11" s="101">
        <f>R11</f>
        <v>20.782900000000001</v>
      </c>
      <c r="I11" s="104">
        <f>N11</f>
        <v>34.010899999999999</v>
      </c>
      <c r="J11" s="101">
        <f>T11</f>
        <v>39.480699999999999</v>
      </c>
      <c r="K11" s="95">
        <f>P11</f>
        <v>14.120799999999999</v>
      </c>
      <c r="L11" s="4"/>
      <c r="M11" s="27" t="str">
        <f>lang!B17</f>
        <v>可疑</v>
      </c>
      <c r="N11" s="59">
        <f>M!B8*1</f>
        <v>34.010899999999999</v>
      </c>
      <c r="O11" s="59">
        <f>M!C8*1</f>
        <v>4.8026</v>
      </c>
      <c r="P11" s="59">
        <f>M!D8*1</f>
        <v>14.120799999999999</v>
      </c>
      <c r="Q11" s="59">
        <f>M!E8*1</f>
        <v>20</v>
      </c>
      <c r="R11" s="59">
        <f>M!F8*1</f>
        <v>20.782900000000001</v>
      </c>
      <c r="S11" s="59">
        <f>M!G8*1</f>
        <v>50</v>
      </c>
      <c r="T11" s="59">
        <f>M!H8*1</f>
        <v>39.480699999999999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53.909100000000002</v>
      </c>
      <c r="D12" s="104">
        <f>N12</f>
        <v>67.492699999999999</v>
      </c>
      <c r="E12" s="101">
        <f>T12</f>
        <v>93.196700000000007</v>
      </c>
      <c r="F12" s="93">
        <f>P12</f>
        <v>9.0138800000000003</v>
      </c>
      <c r="G12" s="52" t="str">
        <f>CONCATENATE(M13,"
(40 ~ 100)")</f>
        <v>自信
(40 ~ 100)</v>
      </c>
      <c r="H12" s="101">
        <f>R13</f>
        <v>63.7804</v>
      </c>
      <c r="I12" s="104">
        <f>N13</f>
        <v>72.017600000000002</v>
      </c>
      <c r="J12" s="101">
        <f>T13</f>
        <v>77.010000000000005</v>
      </c>
      <c r="K12" s="95">
        <f>P13</f>
        <v>4.1908700000000003</v>
      </c>
      <c r="L12" s="4"/>
      <c r="M12" s="27" t="str">
        <f>lang!B18</f>
        <v>平衡</v>
      </c>
      <c r="N12" s="59">
        <f>M!B9*1</f>
        <v>67.492699999999999</v>
      </c>
      <c r="O12" s="59">
        <f>M!C9*1</f>
        <v>6.0837199999999996</v>
      </c>
      <c r="P12" s="59">
        <f>M!D9*1</f>
        <v>9.0138800000000003</v>
      </c>
      <c r="Q12" s="59">
        <f>M!E9*1</f>
        <v>50</v>
      </c>
      <c r="R12" s="59">
        <f>M!F9*1</f>
        <v>53.909100000000002</v>
      </c>
      <c r="S12" s="59">
        <f>M!G9*1</f>
        <v>100</v>
      </c>
      <c r="T12" s="59">
        <f>M!H9*1</f>
        <v>93.196700000000007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3.65394</v>
      </c>
      <c r="D13" s="102">
        <f>N14</f>
        <v>15.1601</v>
      </c>
      <c r="E13" s="103">
        <f>T14</f>
        <v>21.095300000000002</v>
      </c>
      <c r="F13" s="94">
        <f>P14</f>
        <v>24.1768</v>
      </c>
      <c r="G13" s="52" t="str">
        <f>CONCATENATE(M15,"
(50 ~ 100)")</f>
        <v>自我调节
(50 ~ 100)</v>
      </c>
      <c r="H13" s="101">
        <f>R15</f>
        <v>61.145499999999998</v>
      </c>
      <c r="I13" s="104">
        <f>N15</f>
        <v>69.287199999999999</v>
      </c>
      <c r="J13" s="101">
        <f>T15</f>
        <v>79.690700000000007</v>
      </c>
      <c r="K13" s="95">
        <f>P15</f>
        <v>4.7740299999999998</v>
      </c>
      <c r="L13" s="4"/>
      <c r="M13" s="27" t="str">
        <f>lang!B19</f>
        <v>自信</v>
      </c>
      <c r="N13" s="59">
        <f>M!B10*1</f>
        <v>72.017600000000002</v>
      </c>
      <c r="O13" s="59">
        <f>M!C10*1</f>
        <v>3.01816</v>
      </c>
      <c r="P13" s="59">
        <f>M!D10*1</f>
        <v>4.1908700000000003</v>
      </c>
      <c r="Q13" s="59">
        <f>M!E10*1</f>
        <v>40</v>
      </c>
      <c r="R13" s="59">
        <f>M!F10*1</f>
        <v>63.7804</v>
      </c>
      <c r="S13" s="59">
        <f>M!G10*1</f>
        <v>100</v>
      </c>
      <c r="T13" s="59">
        <f>M!H10*1</f>
        <v>77.010000000000005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12.123699999999999</v>
      </c>
      <c r="D14" s="106">
        <f>N16</f>
        <v>15.728899999999999</v>
      </c>
      <c r="E14" s="107">
        <f>T16</f>
        <v>21.4145</v>
      </c>
      <c r="F14" s="96">
        <f>P16</f>
        <v>12.4856</v>
      </c>
      <c r="G14" s="112" t="str">
        <f>CONCATENATE(M17,"
(10 ~ 50)")</f>
        <v>神经质
(10 ~ 50)</v>
      </c>
      <c r="H14" s="105">
        <f>R17</f>
        <v>1.69147</v>
      </c>
      <c r="I14" s="106">
        <f>N17</f>
        <v>19.638500000000001</v>
      </c>
      <c r="J14" s="107">
        <f>T17</f>
        <v>24.877500000000001</v>
      </c>
      <c r="K14" s="97">
        <f>P17</f>
        <v>32.049500000000002</v>
      </c>
      <c r="M14" s="27" t="str">
        <f>lang!B20</f>
        <v>活力</v>
      </c>
      <c r="N14" s="59">
        <f>M!B11*1</f>
        <v>15.1601</v>
      </c>
      <c r="O14" s="59">
        <f>M!C11*1</f>
        <v>3.6652200000000001</v>
      </c>
      <c r="P14" s="59">
        <f>M!D11*1</f>
        <v>24.1768</v>
      </c>
      <c r="Q14" s="59">
        <f>M!E11*1</f>
        <v>10</v>
      </c>
      <c r="R14" s="59">
        <f>M!F11*1</f>
        <v>3.65394</v>
      </c>
      <c r="S14" s="59">
        <f>M!G11*1</f>
        <v>50</v>
      </c>
      <c r="T14" s="59">
        <f>M!H11*1</f>
        <v>21.095300000000002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69.287199999999999</v>
      </c>
      <c r="O15" s="59">
        <f>M!C12*1</f>
        <v>3.3077899999999998</v>
      </c>
      <c r="P15" s="59">
        <f>M!D12*1</f>
        <v>4.7740299999999998</v>
      </c>
      <c r="Q15" s="59">
        <f>M!E12*1</f>
        <v>50</v>
      </c>
      <c r="R15" s="59">
        <f>M!F12*1</f>
        <v>61.145499999999998</v>
      </c>
      <c r="S15" s="59">
        <f>M!G12*1</f>
        <v>100</v>
      </c>
      <c r="T15" s="59">
        <f>M!H12*1</f>
        <v>79.690700000000007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15.728899999999999</v>
      </c>
      <c r="O16" s="59">
        <f>M!C13*1</f>
        <v>1.9638500000000001</v>
      </c>
      <c r="P16" s="59">
        <f>M!D13*1</f>
        <v>12.4856</v>
      </c>
      <c r="Q16" s="59">
        <f>M!E13*1</f>
        <v>10</v>
      </c>
      <c r="R16" s="59">
        <f>M!F13*1</f>
        <v>12.123699999999999</v>
      </c>
      <c r="S16" s="59">
        <f>M!G13*1</f>
        <v>25</v>
      </c>
      <c r="T16" s="59">
        <f>M!H13*1</f>
        <v>21.4145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19.638500000000001</v>
      </c>
      <c r="O17" s="59">
        <f>M!C14*1</f>
        <v>6.29406</v>
      </c>
      <c r="P17" s="59">
        <f>M!D14*1</f>
        <v>32.049500000000002</v>
      </c>
      <c r="Q17" s="59">
        <f>M!E14*1</f>
        <v>10</v>
      </c>
      <c r="R17" s="59">
        <f>M!F14*1</f>
        <v>1.69147</v>
      </c>
      <c r="S17" s="59">
        <f>M!G14*1</f>
        <v>50</v>
      </c>
      <c r="T17" s="59">
        <f>M!H14*1</f>
        <v>24.877500000000001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55.989400000000003</v>
      </c>
      <c r="O18" s="22">
        <f>N18/(N18+N19+N20)</f>
        <v>0.5234584152755386</v>
      </c>
      <c r="P18" s="65">
        <f>SUM(P12:P15)/4</f>
        <v>10.538895</v>
      </c>
      <c r="Q18" s="22">
        <f>P18/(P18+P19+P20)</f>
        <v>0.20870953631770742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33.28745</v>
      </c>
      <c r="O19" s="22">
        <f>N19/(N18+N19+N20)</f>
        <v>0.31121240494743158</v>
      </c>
      <c r="P19" s="18">
        <f>SUM(P8:P11)/4</f>
        <v>17.6890675</v>
      </c>
      <c r="Q19" s="22">
        <f>P19/(P18+P19+P20)</f>
        <v>0.35030969336136553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17.683700000000002</v>
      </c>
      <c r="O20" s="22">
        <f>N20/(N18+N19+N20)</f>
        <v>0.16532917977702996</v>
      </c>
      <c r="P20" s="18">
        <f>(P16+P17)/2</f>
        <v>22.26755</v>
      </c>
      <c r="Q20" s="22">
        <f>P20/(P18+P19+P20)</f>
        <v>0.44098077032092697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-0.18949693243243232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1.3170187098516095</v>
      </c>
      <c r="D25" s="44" t="str">
        <f>lang!B11</f>
        <v>频率方差</v>
      </c>
      <c r="E25" s="182">
        <f ca="1">FH!L3</f>
        <v>0.60422658795098794</v>
      </c>
      <c r="F25" s="183"/>
      <c r="G25" s="174" t="str">
        <f>lang!B12</f>
        <v>生理变化率</v>
      </c>
      <c r="H25" s="175"/>
      <c r="I25" s="62" t="str">
        <f ca="1">CONCATENATE(info!M7,"-",info!M8)</f>
        <v>35.2-63.6</v>
      </c>
      <c r="J25" s="42" t="str">
        <f>lang!B13</f>
        <v>千卡l/分钟</v>
      </c>
      <c r="K25" s="41" t="str">
        <f ca="1">CONCATENATE(info!M5,"-",info!M6)</f>
        <v>1.6-3.3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61.169300000000007</v>
      </c>
      <c r="F28" s="121"/>
      <c r="G28" s="135" t="str">
        <f>lang!B33</f>
        <v>稳定性</v>
      </c>
      <c r="H28" s="136"/>
      <c r="I28" s="137"/>
      <c r="J28" s="138">
        <f>M!B19*100</f>
        <v>73.333100000000002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43612.651238425926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10.244800000000001</v>
      </c>
      <c r="O7" s="59">
        <f t="shared" ref="O7:T7" si="2">AG7-X7</f>
        <v>-3.79772</v>
      </c>
      <c r="P7" s="59">
        <f t="shared" si="2"/>
        <v>-16.05219</v>
      </c>
      <c r="Q7" s="59">
        <f t="shared" si="2"/>
        <v>0</v>
      </c>
      <c r="R7" s="59">
        <f t="shared" si="2"/>
        <v>23.7683</v>
      </c>
      <c r="S7" s="59">
        <f t="shared" si="2"/>
        <v>0</v>
      </c>
      <c r="T7" s="59">
        <f t="shared" si="2"/>
        <v>5.420499999999997</v>
      </c>
      <c r="U7" s="14"/>
      <c r="V7" s="27" t="str">
        <f>M7</f>
        <v>攻击性</v>
      </c>
      <c r="W7" s="59">
        <f>'M1'!B5*1</f>
        <v>29.203900000000001</v>
      </c>
      <c r="X7" s="59">
        <f>'M1'!C5*1</f>
        <v>7.2252999999999998</v>
      </c>
      <c r="Y7" s="59">
        <f>'M1'!D5*1</f>
        <v>24.7409</v>
      </c>
      <c r="Z7" s="59">
        <f>'M1'!E5*1</f>
        <v>20</v>
      </c>
      <c r="AA7" s="59">
        <f>'M1'!F5*1</f>
        <v>6.8628999999999998</v>
      </c>
      <c r="AB7" s="59">
        <f>'M1'!G5*1</f>
        <v>50</v>
      </c>
      <c r="AC7" s="59">
        <f>'M1'!H5*1</f>
        <v>38.640900000000002</v>
      </c>
      <c r="AE7" s="27" t="str">
        <f>V7</f>
        <v>攻击性</v>
      </c>
      <c r="AF7" s="59">
        <f>'M2'!B5*1</f>
        <v>39.448700000000002</v>
      </c>
      <c r="AG7" s="59">
        <f>'M2'!C5*1</f>
        <v>3.4275799999999998</v>
      </c>
      <c r="AH7" s="59">
        <f>'M2'!D5*1</f>
        <v>8.6887100000000004</v>
      </c>
      <c r="AI7" s="59">
        <f>'M2'!E5*1</f>
        <v>20</v>
      </c>
      <c r="AJ7" s="59">
        <f>'M2'!F5*1</f>
        <v>30.6312</v>
      </c>
      <c r="AK7" s="59">
        <f>'M2'!G5*1</f>
        <v>50</v>
      </c>
      <c r="AL7" s="59">
        <f>'M2'!H5*1</f>
        <v>44.061399999999999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3.254800000000003</v>
      </c>
      <c r="O8" s="59">
        <f t="shared" ref="O8:O16" si="5">AG8-X8</f>
        <v>-2.7380999999999998</v>
      </c>
      <c r="P8" s="59">
        <f t="shared" ref="P8:P16" si="6">AH8-Y8</f>
        <v>-9.3549399999999991</v>
      </c>
      <c r="Q8" s="59">
        <f t="shared" ref="Q8:Q16" si="7">AI8-Z8</f>
        <v>0</v>
      </c>
      <c r="R8" s="59">
        <f t="shared" ref="R8:R16" si="8">AJ8-AA8</f>
        <v>5.0167999999999999</v>
      </c>
      <c r="S8" s="59">
        <f t="shared" ref="S8:S16" si="9">AK8-AB8</f>
        <v>0</v>
      </c>
      <c r="T8" s="59">
        <f t="shared" ref="T8:T16" si="10">AL8-AC8</f>
        <v>-1.6014000000000053</v>
      </c>
      <c r="U8" s="15"/>
      <c r="V8" s="27" t="str">
        <f t="shared" ref="V8:V16" si="11">M8</f>
        <v>压力</v>
      </c>
      <c r="W8" s="59">
        <f>'M1'!B6*1</f>
        <v>30.476199999999999</v>
      </c>
      <c r="X8" s="59">
        <f>'M1'!C6*1</f>
        <v>3.9083199999999998</v>
      </c>
      <c r="Y8" s="59">
        <f>'M1'!D6*1</f>
        <v>12.824199999999999</v>
      </c>
      <c r="Z8" s="59">
        <f>'M1'!E6*1</f>
        <v>20</v>
      </c>
      <c r="AA8" s="59">
        <f>'M1'!F6*1</f>
        <v>26.496200000000002</v>
      </c>
      <c r="AB8" s="59">
        <f>'M1'!G6*1</f>
        <v>40</v>
      </c>
      <c r="AC8" s="59">
        <f>'M1'!H6*1</f>
        <v>37.733400000000003</v>
      </c>
      <c r="AE8" s="27" t="str">
        <f t="shared" ref="AE8:AE16" si="12">V8</f>
        <v>压力</v>
      </c>
      <c r="AF8" s="59">
        <f>'M2'!B6*1</f>
        <v>33.731000000000002</v>
      </c>
      <c r="AG8" s="59">
        <f>'M2'!C6*1</f>
        <v>1.17022</v>
      </c>
      <c r="AH8" s="59">
        <f>'M2'!D6*1</f>
        <v>3.4692599999999998</v>
      </c>
      <c r="AI8" s="59">
        <f>'M2'!E6*1</f>
        <v>20</v>
      </c>
      <c r="AJ8" s="59">
        <f>'M2'!F6*1</f>
        <v>31.513000000000002</v>
      </c>
      <c r="AK8" s="59">
        <f>'M2'!G6*1</f>
        <v>40</v>
      </c>
      <c r="AL8" s="59">
        <f>'M2'!H6*1</f>
        <v>36.131999999999998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23.7683</v>
      </c>
      <c r="D9" s="78">
        <f>N7</f>
        <v>10.244800000000001</v>
      </c>
      <c r="E9" s="79">
        <f>T7</f>
        <v>5.420499999999997</v>
      </c>
      <c r="F9" s="79">
        <f>P7</f>
        <v>-16.05219</v>
      </c>
      <c r="G9" s="80" t="str">
        <f>CONCATENATE(M8,"
(20 ~ 40)")</f>
        <v>压力
(20 ~ 40)</v>
      </c>
      <c r="H9" s="77">
        <f>R8</f>
        <v>5.0167999999999999</v>
      </c>
      <c r="I9" s="81">
        <f>N8</f>
        <v>3.254800000000003</v>
      </c>
      <c r="J9" s="77">
        <f>T8</f>
        <v>-1.6014000000000053</v>
      </c>
      <c r="K9" s="82">
        <f>P8</f>
        <v>-9.3549399999999991</v>
      </c>
      <c r="L9" s="6"/>
      <c r="M9" s="27" t="str">
        <f>lang!B16</f>
        <v>焦虑</v>
      </c>
      <c r="N9" s="59">
        <f t="shared" si="4"/>
        <v>-6.9999999999978968E-3</v>
      </c>
      <c r="O9" s="59">
        <f t="shared" si="5"/>
        <v>-3.4594499999999995</v>
      </c>
      <c r="P9" s="59">
        <f t="shared" si="6"/>
        <v>-10.277000000000001</v>
      </c>
      <c r="Q9" s="59">
        <f t="shared" si="7"/>
        <v>0</v>
      </c>
      <c r="R9" s="59">
        <f t="shared" si="8"/>
        <v>2.9869800000000009</v>
      </c>
      <c r="S9" s="59">
        <f t="shared" si="9"/>
        <v>0</v>
      </c>
      <c r="T9" s="59">
        <f t="shared" si="10"/>
        <v>1.1238000000000028</v>
      </c>
      <c r="U9" s="14"/>
      <c r="V9" s="27" t="str">
        <f t="shared" si="11"/>
        <v>焦虑</v>
      </c>
      <c r="W9" s="59">
        <f>'M1'!B7*1</f>
        <v>33.650599999999997</v>
      </c>
      <c r="X9" s="59">
        <f>'M1'!C7*1</f>
        <v>9.0177999999999994</v>
      </c>
      <c r="Y9" s="59">
        <f>'M1'!D7*1</f>
        <v>26.798300000000001</v>
      </c>
      <c r="Z9" s="59">
        <f>'M1'!E7*1</f>
        <v>15</v>
      </c>
      <c r="AA9" s="59">
        <f>'M1'!F7*1</f>
        <v>9.8352199999999996</v>
      </c>
      <c r="AB9" s="59">
        <f>'M1'!G7*1</f>
        <v>40</v>
      </c>
      <c r="AC9" s="59">
        <f>'M1'!H7*1</f>
        <v>49.4026</v>
      </c>
      <c r="AE9" s="27" t="str">
        <f t="shared" si="12"/>
        <v>焦虑</v>
      </c>
      <c r="AF9" s="59">
        <f>'M2'!B7*1</f>
        <v>33.643599999999999</v>
      </c>
      <c r="AG9" s="59">
        <f>'M2'!C7*1</f>
        <v>5.5583499999999999</v>
      </c>
      <c r="AH9" s="59">
        <f>'M2'!D7*1</f>
        <v>16.5213</v>
      </c>
      <c r="AI9" s="59">
        <f>'M2'!E7*1</f>
        <v>15</v>
      </c>
      <c r="AJ9" s="59">
        <f>'M2'!F7*1</f>
        <v>12.8222</v>
      </c>
      <c r="AK9" s="59">
        <f>'M2'!G7*1</f>
        <v>40</v>
      </c>
      <c r="AL9" s="59">
        <f>'M2'!H7*1</f>
        <v>50.526400000000002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2.9869800000000009</v>
      </c>
      <c r="D10" s="51">
        <f>N9</f>
        <v>-6.9999999999978968E-3</v>
      </c>
      <c r="E10" s="53">
        <f>T9</f>
        <v>1.1238000000000028</v>
      </c>
      <c r="F10" s="53">
        <f>P9</f>
        <v>-10.277000000000001</v>
      </c>
      <c r="G10" s="73" t="str">
        <f>CONCATENATE(M10,"
(20 ~ 50)")</f>
        <v>可疑
(20 ~ 50)</v>
      </c>
      <c r="H10" s="24">
        <f>R10</f>
        <v>9.8336999999999968</v>
      </c>
      <c r="I10" s="52">
        <f>N10</f>
        <v>2.4975999999999985</v>
      </c>
      <c r="J10" s="24">
        <f>T10</f>
        <v>-0.52729999999999677</v>
      </c>
      <c r="K10" s="25">
        <f>P10</f>
        <v>-13.051159999999999</v>
      </c>
      <c r="L10" s="4"/>
      <c r="M10" s="27" t="str">
        <f>lang!B17</f>
        <v>可疑</v>
      </c>
      <c r="N10" s="59">
        <f t="shared" si="4"/>
        <v>2.4975999999999985</v>
      </c>
      <c r="O10" s="59">
        <f t="shared" si="5"/>
        <v>-4.1059299999999999</v>
      </c>
      <c r="P10" s="59">
        <f t="shared" si="6"/>
        <v>-13.051159999999999</v>
      </c>
      <c r="Q10" s="59">
        <f t="shared" si="7"/>
        <v>0</v>
      </c>
      <c r="R10" s="59">
        <f t="shared" si="8"/>
        <v>9.8336999999999968</v>
      </c>
      <c r="S10" s="59">
        <f t="shared" si="9"/>
        <v>0</v>
      </c>
      <c r="T10" s="59">
        <f t="shared" si="10"/>
        <v>-0.52729999999999677</v>
      </c>
      <c r="U10" s="14"/>
      <c r="V10" s="27" t="str">
        <f t="shared" si="11"/>
        <v>可疑</v>
      </c>
      <c r="W10" s="59">
        <f>'M1'!B8*1</f>
        <v>32.280999999999999</v>
      </c>
      <c r="X10" s="59">
        <f>'M1'!C8*1</f>
        <v>5.5975299999999999</v>
      </c>
      <c r="Y10" s="59">
        <f>'M1'!D8*1</f>
        <v>17.34</v>
      </c>
      <c r="Z10" s="59">
        <f>'M1'!E8*1</f>
        <v>20</v>
      </c>
      <c r="AA10" s="59">
        <f>'M1'!F8*1</f>
        <v>20.782900000000001</v>
      </c>
      <c r="AB10" s="59">
        <f>'M1'!G8*1</f>
        <v>50</v>
      </c>
      <c r="AC10" s="59">
        <f>'M1'!H8*1</f>
        <v>39.480699999999999</v>
      </c>
      <c r="AE10" s="27" t="str">
        <f t="shared" si="12"/>
        <v>可疑</v>
      </c>
      <c r="AF10" s="59">
        <f>'M2'!B8*1</f>
        <v>34.778599999999997</v>
      </c>
      <c r="AG10" s="59">
        <f>'M2'!C8*1</f>
        <v>1.4916</v>
      </c>
      <c r="AH10" s="59">
        <f>'M2'!D8*1</f>
        <v>4.2888400000000004</v>
      </c>
      <c r="AI10" s="59">
        <f>'M2'!E8*1</f>
        <v>20</v>
      </c>
      <c r="AJ10" s="59">
        <f>'M2'!F8*1</f>
        <v>30.616599999999998</v>
      </c>
      <c r="AK10" s="59">
        <f>'M2'!G8*1</f>
        <v>50</v>
      </c>
      <c r="AL10" s="59">
        <f>'M2'!H8*1</f>
        <v>38.953400000000002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1.0225000000000009</v>
      </c>
      <c r="D11" s="52">
        <f>N11</f>
        <v>-0.3539000000000101</v>
      </c>
      <c r="E11" s="24">
        <f>T11</f>
        <v>-19.193700000000007</v>
      </c>
      <c r="F11" s="24">
        <f>P11</f>
        <v>-3.7912699999999999</v>
      </c>
      <c r="G11" s="73" t="str">
        <f>CONCATENATE(M12,"
(40 ~ 100)")</f>
        <v>自信
(40 ~ 100)</v>
      </c>
      <c r="H11" s="24">
        <f>R12</f>
        <v>1.631299999999996</v>
      </c>
      <c r="I11" s="52">
        <f>N12</f>
        <v>-3.9462999999999937</v>
      </c>
      <c r="J11" s="24">
        <f>T12</f>
        <v>-1.649799999999999</v>
      </c>
      <c r="K11" s="25">
        <f>P12</f>
        <v>-0.49753000000000025</v>
      </c>
      <c r="L11" s="4"/>
      <c r="M11" s="27" t="str">
        <f>lang!B18</f>
        <v>平衡</v>
      </c>
      <c r="N11" s="59">
        <f t="shared" si="4"/>
        <v>-0.3539000000000101</v>
      </c>
      <c r="O11" s="59">
        <f t="shared" si="5"/>
        <v>-2.5866499999999997</v>
      </c>
      <c r="P11" s="59">
        <f t="shared" si="6"/>
        <v>-3.7912699999999999</v>
      </c>
      <c r="Q11" s="59">
        <f t="shared" si="7"/>
        <v>0</v>
      </c>
      <c r="R11" s="59">
        <f t="shared" si="8"/>
        <v>1.0225000000000009</v>
      </c>
      <c r="S11" s="59">
        <f t="shared" si="9"/>
        <v>0</v>
      </c>
      <c r="T11" s="59">
        <f t="shared" si="10"/>
        <v>-19.193700000000007</v>
      </c>
      <c r="U11" s="14"/>
      <c r="V11" s="27" t="str">
        <f t="shared" si="11"/>
        <v>平衡</v>
      </c>
      <c r="W11" s="59">
        <f>'M1'!B9*1</f>
        <v>67.591700000000003</v>
      </c>
      <c r="X11" s="59">
        <f>'M1'!C9*1</f>
        <v>7.1563499999999998</v>
      </c>
      <c r="Y11" s="59">
        <f>'M1'!D9*1</f>
        <v>10.5876</v>
      </c>
      <c r="Z11" s="59">
        <f>'M1'!E9*1</f>
        <v>50</v>
      </c>
      <c r="AA11" s="59">
        <f>'M1'!F9*1</f>
        <v>53.909100000000002</v>
      </c>
      <c r="AB11" s="59">
        <f>'M1'!G9*1</f>
        <v>100</v>
      </c>
      <c r="AC11" s="59">
        <f>'M1'!H9*1</f>
        <v>93.196700000000007</v>
      </c>
      <c r="AE11" s="27" t="str">
        <f t="shared" si="12"/>
        <v>平衡</v>
      </c>
      <c r="AF11" s="59">
        <f>'M2'!B9*1</f>
        <v>67.237799999999993</v>
      </c>
      <c r="AG11" s="59">
        <f>'M2'!C9*1</f>
        <v>4.5697000000000001</v>
      </c>
      <c r="AH11" s="59">
        <f>'M2'!D9*1</f>
        <v>6.7963300000000002</v>
      </c>
      <c r="AI11" s="59">
        <f>'M2'!E9*1</f>
        <v>50</v>
      </c>
      <c r="AJ11" s="59">
        <f>'M2'!F9*1</f>
        <v>54.931600000000003</v>
      </c>
      <c r="AK11" s="59">
        <f>'M2'!G9*1</f>
        <v>100</v>
      </c>
      <c r="AL11" s="59">
        <f>'M2'!H9*1</f>
        <v>74.003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8.3251600000000003</v>
      </c>
      <c r="D12" s="51">
        <f>N13</f>
        <v>4.3872999999999998</v>
      </c>
      <c r="E12" s="53">
        <f>T13</f>
        <v>5.3576000000000015</v>
      </c>
      <c r="F12" s="53">
        <f>P13</f>
        <v>-9.5739000000000001</v>
      </c>
      <c r="G12" s="73" t="str">
        <f>CONCATENATE(M14,"
(50 ~ 100)")</f>
        <v>自我调节
(50 ~ 100)</v>
      </c>
      <c r="H12" s="24">
        <f>R14</f>
        <v>1.1884000000000015</v>
      </c>
      <c r="I12" s="52">
        <f>N14</f>
        <v>-2.3038000000000096</v>
      </c>
      <c r="J12" s="24">
        <f>T14</f>
        <v>-7.0370000000000061</v>
      </c>
      <c r="K12" s="25">
        <f>P14</f>
        <v>-1.76932</v>
      </c>
      <c r="L12" s="4"/>
      <c r="M12" s="27" t="str">
        <f>lang!B19</f>
        <v>自信</v>
      </c>
      <c r="N12" s="59">
        <f t="shared" si="4"/>
        <v>-3.9462999999999937</v>
      </c>
      <c r="O12" s="59">
        <f t="shared" si="5"/>
        <v>-0.51521000000000017</v>
      </c>
      <c r="P12" s="59">
        <f t="shared" si="6"/>
        <v>-0.49753000000000025</v>
      </c>
      <c r="Q12" s="59">
        <f t="shared" si="7"/>
        <v>0</v>
      </c>
      <c r="R12" s="59">
        <f t="shared" si="8"/>
        <v>1.631299999999996</v>
      </c>
      <c r="S12" s="59">
        <f t="shared" si="9"/>
        <v>0</v>
      </c>
      <c r="T12" s="59">
        <f t="shared" si="10"/>
        <v>-1.649799999999999</v>
      </c>
      <c r="U12" s="15"/>
      <c r="V12" s="27" t="str">
        <f t="shared" si="11"/>
        <v>自信</v>
      </c>
      <c r="W12" s="59">
        <f>'M1'!B10*1</f>
        <v>73.783199999999994</v>
      </c>
      <c r="X12" s="59">
        <f>'M1'!C10*1</f>
        <v>3.1364200000000002</v>
      </c>
      <c r="Y12" s="59">
        <f>'M1'!D10*1</f>
        <v>4.2508600000000003</v>
      </c>
      <c r="Z12" s="59">
        <f>'M1'!E10*1</f>
        <v>40</v>
      </c>
      <c r="AA12" s="59">
        <f>'M1'!F10*1</f>
        <v>63.7804</v>
      </c>
      <c r="AB12" s="59">
        <f>'M1'!G10*1</f>
        <v>100</v>
      </c>
      <c r="AC12" s="59">
        <f>'M1'!H10*1</f>
        <v>77.010000000000005</v>
      </c>
      <c r="AE12" s="27" t="str">
        <f t="shared" si="12"/>
        <v>自信</v>
      </c>
      <c r="AF12" s="59">
        <f>'M2'!B10*1</f>
        <v>69.8369</v>
      </c>
      <c r="AG12" s="59">
        <f>'M2'!C10*1</f>
        <v>2.62121</v>
      </c>
      <c r="AH12" s="59">
        <f>'M2'!D10*1</f>
        <v>3.7533300000000001</v>
      </c>
      <c r="AI12" s="59">
        <f>'M2'!E10*1</f>
        <v>40</v>
      </c>
      <c r="AJ12" s="59">
        <f>'M2'!F10*1</f>
        <v>65.411699999999996</v>
      </c>
      <c r="AK12" s="59">
        <f>'M2'!G10*1</f>
        <v>100</v>
      </c>
      <c r="AL12" s="59">
        <f>'M2'!H10*1</f>
        <v>75.360200000000006</v>
      </c>
    </row>
    <row r="13" spans="2:38" ht="25.5" customHeight="1" thickBot="1">
      <c r="B13" s="72" t="str">
        <f>CONCATENATE(M15,"
(10 ~ 25)")</f>
        <v>抑郁
(10 ~ 25)</v>
      </c>
      <c r="C13" s="54">
        <f>R15</f>
        <v>-0.19130000000000003</v>
      </c>
      <c r="D13" s="55">
        <f>N15</f>
        <v>-6.670000000000087E-2</v>
      </c>
      <c r="E13" s="56">
        <f>T15</f>
        <v>1.1167000000000016</v>
      </c>
      <c r="F13" s="56">
        <f>P15</f>
        <v>1.5015999999999998</v>
      </c>
      <c r="G13" s="74" t="str">
        <f>CONCATENATE(M16,"
(10 ~ 50)")</f>
        <v>神经质
(10 ~ 50)</v>
      </c>
      <c r="H13" s="54">
        <f>R16</f>
        <v>0.72946999999999984</v>
      </c>
      <c r="I13" s="55">
        <f>N16</f>
        <v>2.2837999999999994</v>
      </c>
      <c r="J13" s="56">
        <f>T16</f>
        <v>6.4782000000000011</v>
      </c>
      <c r="K13" s="57">
        <f>P16</f>
        <v>8.763300000000001</v>
      </c>
      <c r="M13" s="27" t="str">
        <f>lang!B20</f>
        <v>活力</v>
      </c>
      <c r="N13" s="59">
        <f t="shared" si="4"/>
        <v>4.3872999999999998</v>
      </c>
      <c r="O13" s="59">
        <f t="shared" si="5"/>
        <v>-0.73746999999999963</v>
      </c>
      <c r="P13" s="59">
        <f t="shared" si="6"/>
        <v>-9.5739000000000001</v>
      </c>
      <c r="Q13" s="59">
        <f t="shared" si="7"/>
        <v>0</v>
      </c>
      <c r="R13" s="59">
        <f t="shared" si="8"/>
        <v>8.3251600000000003</v>
      </c>
      <c r="S13" s="59">
        <f t="shared" si="9"/>
        <v>0</v>
      </c>
      <c r="T13" s="59">
        <f t="shared" si="10"/>
        <v>5.3576000000000015</v>
      </c>
      <c r="U13" s="14"/>
      <c r="V13" s="27" t="str">
        <f t="shared" si="11"/>
        <v>活力</v>
      </c>
      <c r="W13" s="59">
        <f>'M1'!B11*1</f>
        <v>13.7181</v>
      </c>
      <c r="X13" s="59">
        <f>'M1'!C11*1</f>
        <v>3.1139899999999998</v>
      </c>
      <c r="Y13" s="59">
        <f>'M1'!D11*1</f>
        <v>22.6999</v>
      </c>
      <c r="Z13" s="59">
        <f>'M1'!E11*1</f>
        <v>10</v>
      </c>
      <c r="AA13" s="59">
        <f>'M1'!F11*1</f>
        <v>3.65394</v>
      </c>
      <c r="AB13" s="59">
        <f>'M1'!G11*1</f>
        <v>50</v>
      </c>
      <c r="AC13" s="59">
        <f>'M1'!H11*1</f>
        <v>15.7377</v>
      </c>
      <c r="AE13" s="27" t="str">
        <f t="shared" si="12"/>
        <v>活力</v>
      </c>
      <c r="AF13" s="59">
        <f>'M2'!B11*1</f>
        <v>18.105399999999999</v>
      </c>
      <c r="AG13" s="59">
        <f>'M2'!C11*1</f>
        <v>2.3765200000000002</v>
      </c>
      <c r="AH13" s="59">
        <f>'M2'!D11*1</f>
        <v>13.125999999999999</v>
      </c>
      <c r="AI13" s="59">
        <f>'M2'!E11*1</f>
        <v>10</v>
      </c>
      <c r="AJ13" s="59">
        <f>'M2'!F11*1</f>
        <v>11.979100000000001</v>
      </c>
      <c r="AK13" s="59">
        <f>'M2'!G11*1</f>
        <v>50</v>
      </c>
      <c r="AL13" s="59">
        <f>'M2'!H11*1</f>
        <v>21.095300000000002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-2.3038000000000096</v>
      </c>
      <c r="O14" s="59">
        <f t="shared" si="5"/>
        <v>-1.3332600000000001</v>
      </c>
      <c r="P14" s="59">
        <f t="shared" si="6"/>
        <v>-1.76932</v>
      </c>
      <c r="Q14" s="59">
        <f t="shared" si="7"/>
        <v>0</v>
      </c>
      <c r="R14" s="59">
        <f t="shared" si="8"/>
        <v>1.1884000000000015</v>
      </c>
      <c r="S14" s="59">
        <f t="shared" si="9"/>
        <v>0</v>
      </c>
      <c r="T14" s="59">
        <f t="shared" si="10"/>
        <v>-7.0370000000000061</v>
      </c>
      <c r="U14" s="14"/>
      <c r="V14" s="27" t="str">
        <f t="shared" si="11"/>
        <v>自我调节</v>
      </c>
      <c r="W14" s="59">
        <f>'M1'!B12*1</f>
        <v>70.709100000000007</v>
      </c>
      <c r="X14" s="59">
        <f>'M1'!C12*1</f>
        <v>3.77366</v>
      </c>
      <c r="Y14" s="59">
        <f>'M1'!D12*1</f>
        <v>5.3368799999999998</v>
      </c>
      <c r="Z14" s="59">
        <f>'M1'!E12*1</f>
        <v>50</v>
      </c>
      <c r="AA14" s="59">
        <f>'M1'!F12*1</f>
        <v>61.145499999999998</v>
      </c>
      <c r="AB14" s="59">
        <f>'M1'!G12*1</f>
        <v>100</v>
      </c>
      <c r="AC14" s="59">
        <f>'M1'!H12*1</f>
        <v>79.690700000000007</v>
      </c>
      <c r="AE14" s="27" t="str">
        <f t="shared" si="12"/>
        <v>自我调节</v>
      </c>
      <c r="AF14" s="59">
        <f>'M2'!B12*1</f>
        <v>68.405299999999997</v>
      </c>
      <c r="AG14" s="59">
        <f>'M2'!C12*1</f>
        <v>2.4403999999999999</v>
      </c>
      <c r="AH14" s="59">
        <f>'M2'!D12*1</f>
        <v>3.5675599999999998</v>
      </c>
      <c r="AI14" s="59">
        <f>'M2'!E12*1</f>
        <v>50</v>
      </c>
      <c r="AJ14" s="59">
        <f>'M2'!F12*1</f>
        <v>62.3339</v>
      </c>
      <c r="AK14" s="59">
        <f>'M2'!G12*1</f>
        <v>100</v>
      </c>
      <c r="AL14" s="59">
        <f>'M2'!H12*1</f>
        <v>72.653700000000001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-6.670000000000087E-2</v>
      </c>
      <c r="O15" s="59">
        <f t="shared" si="5"/>
        <v>0.22837999999999981</v>
      </c>
      <c r="P15" s="59">
        <f t="shared" si="6"/>
        <v>1.5015999999999998</v>
      </c>
      <c r="Q15" s="59">
        <f t="shared" si="7"/>
        <v>0</v>
      </c>
      <c r="R15" s="59">
        <f t="shared" si="8"/>
        <v>-0.19130000000000003</v>
      </c>
      <c r="S15" s="59">
        <f t="shared" si="9"/>
        <v>0</v>
      </c>
      <c r="T15" s="59">
        <f t="shared" si="10"/>
        <v>1.1167000000000016</v>
      </c>
      <c r="U15" s="14"/>
      <c r="V15" s="27" t="str">
        <f t="shared" si="11"/>
        <v>抑郁</v>
      </c>
      <c r="W15" s="59">
        <f>'M1'!B13*1</f>
        <v>15.7926</v>
      </c>
      <c r="X15" s="59">
        <f>'M1'!C13*1</f>
        <v>1.8399300000000001</v>
      </c>
      <c r="Y15" s="59">
        <f>'M1'!D13*1</f>
        <v>11.650600000000001</v>
      </c>
      <c r="Z15" s="59">
        <f>'M1'!E13*1</f>
        <v>10</v>
      </c>
      <c r="AA15" s="59">
        <f>'M1'!F13*1</f>
        <v>12.315</v>
      </c>
      <c r="AB15" s="59">
        <f>'M1'!G13*1</f>
        <v>25</v>
      </c>
      <c r="AC15" s="59">
        <f>'M1'!H13*1</f>
        <v>20.297799999999999</v>
      </c>
      <c r="AE15" s="27" t="str">
        <f t="shared" si="12"/>
        <v>抑郁</v>
      </c>
      <c r="AF15" s="59">
        <f>'M2'!B13*1</f>
        <v>15.725899999999999</v>
      </c>
      <c r="AG15" s="59">
        <f>'M2'!C13*1</f>
        <v>2.0683099999999999</v>
      </c>
      <c r="AH15" s="59">
        <f>'M2'!D13*1</f>
        <v>13.152200000000001</v>
      </c>
      <c r="AI15" s="59">
        <f>'M2'!E13*1</f>
        <v>10</v>
      </c>
      <c r="AJ15" s="59">
        <f>'M2'!F13*1</f>
        <v>12.123699999999999</v>
      </c>
      <c r="AK15" s="59">
        <f>'M2'!G13*1</f>
        <v>25</v>
      </c>
      <c r="AL15" s="59">
        <f>'M2'!H13*1</f>
        <v>21.4145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2.2837999999999994</v>
      </c>
      <c r="O16" s="59">
        <f t="shared" si="5"/>
        <v>2.4033899999999999</v>
      </c>
      <c r="P16" s="59">
        <f t="shared" si="6"/>
        <v>8.763300000000001</v>
      </c>
      <c r="Q16" s="59">
        <f t="shared" si="7"/>
        <v>0</v>
      </c>
      <c r="R16" s="59">
        <f t="shared" si="8"/>
        <v>0.72946999999999984</v>
      </c>
      <c r="S16" s="59">
        <f t="shared" si="9"/>
        <v>0</v>
      </c>
      <c r="T16" s="59">
        <f t="shared" si="10"/>
        <v>6.4782000000000011</v>
      </c>
      <c r="U16" s="15"/>
      <c r="V16" s="27" t="str">
        <f t="shared" si="11"/>
        <v>神经质</v>
      </c>
      <c r="W16" s="59">
        <f>'M1'!B14*1</f>
        <v>18.3993</v>
      </c>
      <c r="X16" s="59">
        <f>'M1'!C14*1</f>
        <v>4.76044</v>
      </c>
      <c r="Y16" s="59">
        <f>'M1'!D14*1</f>
        <v>25.872900000000001</v>
      </c>
      <c r="Z16" s="59">
        <f>'M1'!E14*1</f>
        <v>10</v>
      </c>
      <c r="AA16" s="59">
        <f>'M1'!F14*1</f>
        <v>1.69147</v>
      </c>
      <c r="AB16" s="59">
        <f>'M1'!G14*1</f>
        <v>50</v>
      </c>
      <c r="AC16" s="59">
        <f>'M1'!H14*1</f>
        <v>18.3993</v>
      </c>
      <c r="AE16" s="27" t="str">
        <f t="shared" si="12"/>
        <v>神经质</v>
      </c>
      <c r="AF16" s="59">
        <f>'M2'!B14*1</f>
        <v>20.6831</v>
      </c>
      <c r="AG16" s="59">
        <f>'M2'!C14*1</f>
        <v>7.1638299999999999</v>
      </c>
      <c r="AH16" s="59">
        <f>'M2'!D14*1</f>
        <v>34.636200000000002</v>
      </c>
      <c r="AI16" s="59">
        <f>'M2'!E14*1</f>
        <v>10</v>
      </c>
      <c r="AJ16" s="59">
        <f>'M2'!F14*1</f>
        <v>2.4209399999999999</v>
      </c>
      <c r="AK16" s="59">
        <f>'M2'!G14*1</f>
        <v>50</v>
      </c>
      <c r="AL16" s="59">
        <f>'M2'!H14*1</f>
        <v>24.877500000000001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-0.55417500000000341</v>
      </c>
      <c r="O17" s="22">
        <f>N17/(N17+N18+N19)</f>
        <v>-0.12174519571390209</v>
      </c>
      <c r="P17" s="65">
        <f>SUM(P11:P14)/4</f>
        <v>-3.9080050000000002</v>
      </c>
      <c r="Q17" s="22">
        <f>P17/(P17+P18+P19)</f>
        <v>0.35659005267406851</v>
      </c>
      <c r="R17" s="14"/>
      <c r="S17" s="14"/>
      <c r="T17" s="14"/>
      <c r="U17" s="14"/>
      <c r="V17" s="21" t="str">
        <f>M17</f>
        <v>Positive</v>
      </c>
      <c r="W17" s="65">
        <f>SUM(W11:W14)/4</f>
        <v>56.450524999999999</v>
      </c>
      <c r="X17" s="22">
        <f>W17/(W17+W18+W19)</f>
        <v>0.53788325612152144</v>
      </c>
      <c r="Y17" s="65">
        <f>SUM(Y11:Y14)/4</f>
        <v>10.71881</v>
      </c>
      <c r="Z17" s="22">
        <f>Y17/(Y17+Y18+Y19)</f>
        <v>0.21477822187570694</v>
      </c>
      <c r="AA17" s="14"/>
      <c r="AB17" s="14"/>
      <c r="AC17" s="14"/>
      <c r="AE17" s="21" t="str">
        <f>V17</f>
        <v>Positive</v>
      </c>
      <c r="AF17" s="65">
        <f>SUM(AF11:AF14)/4</f>
        <v>55.896349999999998</v>
      </c>
      <c r="AG17" s="22">
        <f>AF17/(AF17+AF18+AF19)</f>
        <v>0.51046277293904896</v>
      </c>
      <c r="AH17" s="65">
        <f>SUM(AH11:AH14)/4</f>
        <v>6.8108050000000002</v>
      </c>
      <c r="AI17" s="22">
        <f>AH17/(AH17+AH18+AH19)</f>
        <v>0.17487352855445404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3.9975500000000013</v>
      </c>
      <c r="O18" s="22">
        <f>N18/(N17+N18+N19)</f>
        <v>0.87821086683106686</v>
      </c>
      <c r="P18" s="18">
        <f>SUM(P7:P10)/4</f>
        <v>-12.183822499999998</v>
      </c>
      <c r="Q18" s="22">
        <f>P18/(P17+P18+P19)</f>
        <v>1.1117257800454452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31.402924999999996</v>
      </c>
      <c r="X18" s="22">
        <f>W18/(W17+W18+W19)</f>
        <v>0.29921967157506374</v>
      </c>
      <c r="Y18" s="18">
        <f>SUM(Y7:Y10)/4</f>
        <v>20.425850000000001</v>
      </c>
      <c r="Z18" s="22">
        <f>Y18/(Y17+Y18+Y19)</f>
        <v>0.40928309609927865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35.400475</v>
      </c>
      <c r="AG18" s="22">
        <f>AF18/(AF17+AF18+AF19)</f>
        <v>0.32328809719882384</v>
      </c>
      <c r="AH18" s="18">
        <f>SUM(AH7:AH10)/4</f>
        <v>8.2420275000000007</v>
      </c>
      <c r="AI18" s="22">
        <f>AH18/(AH17+AH18+AH19)</f>
        <v>0.21162145023500825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1.1085499999999993</v>
      </c>
      <c r="O19" s="22">
        <f>N19/(N17+N18+N19)</f>
        <v>0.24353432888283527</v>
      </c>
      <c r="P19" s="18">
        <f>(P15+P16)/2</f>
        <v>5.1324500000000004</v>
      </c>
      <c r="Q19" s="22">
        <f>P19/(P17+P18+P19)</f>
        <v>-0.46831583271951366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17.095950000000002</v>
      </c>
      <c r="X19" s="22">
        <f>W19/(W17+W18+W19)</f>
        <v>0.16289707230341482</v>
      </c>
      <c r="Y19" s="18">
        <f>(Y15+Y16)/2</f>
        <v>18.761749999999999</v>
      </c>
      <c r="Z19" s="22">
        <f>Y19/(Y17+Y18+Y19)</f>
        <v>0.3759386820250144</v>
      </c>
      <c r="AA19" s="14"/>
      <c r="AB19" s="14"/>
      <c r="AC19" s="14"/>
      <c r="AE19" s="21" t="str">
        <f t="shared" si="14"/>
        <v>Physiological</v>
      </c>
      <c r="AF19" s="18">
        <f>(AF15+AF16)/2</f>
        <v>18.204499999999999</v>
      </c>
      <c r="AG19" s="22">
        <f>AF19/(AF17+AF18+AF19)</f>
        <v>0.16624912986212725</v>
      </c>
      <c r="AH19" s="18">
        <f>(AH15+AH16)/2</f>
        <v>23.894200000000001</v>
      </c>
      <c r="AI19" s="22">
        <f>AH19/(AH17+AH18+AH19)</f>
        <v>0.61350502121053763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1.11/1.48</v>
      </c>
      <c r="D24" s="44" t="str">
        <f>lang!B11</f>
        <v>频率方差</v>
      </c>
      <c r="E24" s="182" t="str">
        <f ca="1">CONCATENATE(ROUND('FH1'!L3,2),"/",ROUND('FH2'!L3,2))</f>
        <v>0.51/0.62</v>
      </c>
      <c r="F24" s="183"/>
      <c r="G24" s="174" t="str">
        <f>lang!B12</f>
        <v>生理变化率</v>
      </c>
      <c r="H24" s="175"/>
      <c r="I24" s="62" t="str">
        <f ca="1">CONCATENATE(info!M7,"-",info!M8)</f>
        <v>35.2-63.6</v>
      </c>
      <c r="J24" s="42" t="str">
        <f>lang!B13</f>
        <v>千卡l/分钟</v>
      </c>
      <c r="K24" s="41" t="str">
        <f ca="1">CONCATENATE(info!M5,"-",info!M6)</f>
        <v>1.6-3.3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14.018600000000003</v>
      </c>
      <c r="F27" s="121"/>
      <c r="G27" s="135" t="str">
        <f>lang!B33</f>
        <v>稳定性</v>
      </c>
      <c r="H27" s="136"/>
      <c r="I27" s="137"/>
      <c r="J27" s="138">
        <f>dM!B19*100</f>
        <v>11.722299999999997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-0.87401576162789696</v>
      </c>
      <c r="C2">
        <f t="array" aca="1" ref="C2" ca="1">CORREL(FT_E02,FT_PH02)</f>
        <v>-0.35442223087473418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1.6147800000000001</v>
      </c>
      <c r="G2" s="61">
        <f>IF(FT!B2&lt;&gt;"",FT!B2*100,"")</f>
        <v>63.62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1.66648</v>
      </c>
      <c r="G3" s="61">
        <f>IF(FT!B3&lt;&gt;"",FT!B3*100,"")</f>
        <v>63.387800000000006</v>
      </c>
      <c r="H3" s="61">
        <f t="shared" ref="H3:H66" si="1">(IF(F3&lt;&gt;"",1,""))</f>
        <v>1</v>
      </c>
      <c r="I3" t="str">
        <f>IF(FT!B3&lt;&gt;"",FT!E3,"")</f>
        <v>1 [0.404626]</v>
      </c>
      <c r="J3">
        <f>IF(FT!B3&lt;&gt;"",FT!C3,"")</f>
        <v>0.40462599999999999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0.49533137837837821</v>
      </c>
      <c r="V3">
        <f ca="1">AVERAGE(OFFSET(FT!B2,info!$L$3/2,0,info!$L$3/2,1))</f>
        <v>0.37658974324324318</v>
      </c>
      <c r="W3">
        <f ca="1">AVERAGE(OFFSET(FT!A2,0,0,info!$L$3/2,1))</f>
        <v>0.23748894594594594</v>
      </c>
      <c r="X3">
        <f ca="1">AVERAGE(OFFSET(FT!A2,info!$L$3/2,0,info!$L$3/2,1))</f>
        <v>0.30824424324324323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1.7164899999999998</v>
      </c>
      <c r="G4" s="61">
        <f>IF(FT!B4&lt;&gt;"",FT!B4*100,"")</f>
        <v>63.229800000000004</v>
      </c>
      <c r="H4" s="61">
        <f t="shared" si="1"/>
        <v>1</v>
      </c>
      <c r="I4" t="str">
        <f>IF(FT!B4&lt;&gt;"",FT!E4,"")</f>
        <v>1 [0.809815]</v>
      </c>
      <c r="J4">
        <f>IF(FT!B4&lt;&gt;"",FT!C4,"")</f>
        <v>0.80981499999999995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14.95575</v>
      </c>
      <c r="V4">
        <f>U4*3</f>
        <v>44.867249999999999</v>
      </c>
      <c r="W4">
        <f>U4</f>
        <v>14.95575</v>
      </c>
      <c r="X4">
        <f>V4</f>
        <v>44.867249999999999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1.7641100000000001</v>
      </c>
      <c r="G5" s="61">
        <f>IF(FT!B5&lt;&gt;"",FT!B5*100,"")</f>
        <v>63.146899999999995</v>
      </c>
      <c r="H5" s="61">
        <f t="shared" si="1"/>
        <v>1</v>
      </c>
      <c r="I5" t="str">
        <f>IF(FT!B5&lt;&gt;"",FT!E5,"")</f>
        <v>1 [1.216478]</v>
      </c>
      <c r="J5">
        <f>IF(FT!B5&lt;&gt;"",FT!C5,"")</f>
        <v>1.21648</v>
      </c>
      <c r="K5" t="s">
        <v>53</v>
      </c>
      <c r="L5" s="63">
        <f ca="1">MIN(FT_E)</f>
        <v>1.6147800000000001</v>
      </c>
      <c r="M5" s="63">
        <f ca="1">ROUND(L5,1)</f>
        <v>1.6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49.53313783783782</v>
      </c>
      <c r="V5">
        <f ca="1">V3*100</f>
        <v>37.658974324324319</v>
      </c>
      <c r="W5">
        <f ca="1">W3*10</f>
        <v>2.3748894594594594</v>
      </c>
      <c r="X5">
        <f ca="1">X3*10</f>
        <v>3.0824424324324324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1.8103199999999999</v>
      </c>
      <c r="G6" s="61">
        <f>IF(FT!B6&lt;&gt;"",FT!B6*100,"")</f>
        <v>63.027500000000003</v>
      </c>
      <c r="H6" s="61">
        <f t="shared" si="1"/>
        <v>1</v>
      </c>
      <c r="I6" t="str">
        <f>IF(FT!B6&lt;&gt;"",FT!E6,"")</f>
        <v>1 [1.624926]</v>
      </c>
      <c r="J6">
        <f>IF(FT!B6&lt;&gt;"",FT!C6,"")</f>
        <v>1.62493</v>
      </c>
      <c r="K6" t="s">
        <v>54</v>
      </c>
      <c r="L6" s="63">
        <f ca="1">MAX(FT_E)</f>
        <v>3.2571899999999996</v>
      </c>
      <c r="M6" s="63">
        <f ca="1">ROUND(L6,1)</f>
        <v>3.3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1.8569800000000001</v>
      </c>
      <c r="G7" s="61">
        <f>IF(FT!B7&lt;&gt;"",FT!B7*100,"")</f>
        <v>62.854100000000003</v>
      </c>
      <c r="H7" s="61">
        <f t="shared" si="1"/>
        <v>1</v>
      </c>
      <c r="I7" t="str">
        <f>IF(FT!B7&lt;&gt;"",FT!E7,"")</f>
        <v>1 [2.029404]</v>
      </c>
      <c r="J7">
        <f>IF(FT!B7&lt;&gt;"",FT!C7,"")</f>
        <v>2.0293999999999999</v>
      </c>
      <c r="K7" t="s">
        <v>55</v>
      </c>
      <c r="L7" s="63">
        <f ca="1">MIN(FT_PH)</f>
        <v>35.189300000000003</v>
      </c>
      <c r="M7" s="63">
        <f ca="1">ROUND(L7,1)</f>
        <v>35.200000000000003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18390</v>
      </c>
      <c r="D8" s="61">
        <f>FH!B8*1</f>
        <v>18390</v>
      </c>
      <c r="E8">
        <f t="shared" si="3"/>
        <v>6</v>
      </c>
      <c r="F8" s="61">
        <f>IF(FT!A8&lt;&gt;"",FT!A8*10,"")</f>
        <v>1.90168</v>
      </c>
      <c r="G8" s="61">
        <f>IF(FT!B8&lt;&gt;"",FT!B8*100,"")</f>
        <v>62.707999999999998</v>
      </c>
      <c r="H8" s="61">
        <f t="shared" si="1"/>
        <v>1</v>
      </c>
      <c r="I8" t="str">
        <f>IF(FT!B8&lt;&gt;"",FT!E8,"")</f>
        <v>1 [2.434827]</v>
      </c>
      <c r="J8">
        <f>IF(FT!B8&lt;&gt;"",FT!C8,"")</f>
        <v>2.4348299999999998</v>
      </c>
      <c r="K8" t="s">
        <v>56</v>
      </c>
      <c r="L8" s="63">
        <f ca="1">MAX(FT_PH)</f>
        <v>63.62</v>
      </c>
      <c r="M8" s="63">
        <f ca="1">ROUND(L8,1)</f>
        <v>63.6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1.94462</v>
      </c>
      <c r="G9" s="61">
        <f>IF(FT!B9&lt;&gt;"",FT!B9*100,"")</f>
        <v>62.507500000000007</v>
      </c>
      <c r="H9" s="61">
        <f t="shared" si="1"/>
        <v>1</v>
      </c>
      <c r="I9" t="str">
        <f>IF(FT!B9&lt;&gt;"",FT!E9,"")</f>
        <v>1 [2.841028]</v>
      </c>
      <c r="J9">
        <f>IF(FT!B9&lt;&gt;"",FT!C9,"")</f>
        <v>2.8410299999999999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28300</v>
      </c>
      <c r="D10" s="61">
        <f>FH!B10*1</f>
        <v>28300</v>
      </c>
      <c r="E10">
        <f t="shared" si="3"/>
        <v>8</v>
      </c>
      <c r="F10" s="61">
        <f>IF(FT!A10&lt;&gt;"",FT!A10*10,"")</f>
        <v>1.98584</v>
      </c>
      <c r="G10" s="61">
        <f>IF(FT!B10&lt;&gt;"",FT!B10*100,"")</f>
        <v>62.361500000000007</v>
      </c>
      <c r="H10" s="61">
        <f t="shared" si="1"/>
        <v>1</v>
      </c>
      <c r="I10" t="str">
        <f>IF(FT!B10&lt;&gt;"",FT!E10,"")</f>
        <v>1 [3.246991]</v>
      </c>
      <c r="J10">
        <f>IF(FT!B10&lt;&gt;"",FT!C10,"")</f>
        <v>3.2469899999999998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2.0253099999999997</v>
      </c>
      <c r="G11" s="61">
        <f>IF(FT!B11&lt;&gt;"",FT!B11*100,"")</f>
        <v>62.234599999999993</v>
      </c>
      <c r="H11" s="61">
        <f t="shared" si="1"/>
        <v>1</v>
      </c>
      <c r="I11" t="str">
        <f>IF(FT!B11&lt;&gt;"",FT!E11,"")</f>
        <v>1 [3.656254]</v>
      </c>
      <c r="J11">
        <f>IF(FT!B11&lt;&gt;"",FT!C11,"")</f>
        <v>3.65625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2.0620500000000002</v>
      </c>
      <c r="G12" s="61">
        <f>IF(FT!B12&lt;&gt;"",FT!B12*100,"")</f>
        <v>62.056400000000004</v>
      </c>
      <c r="H12" s="61">
        <f t="shared" si="1"/>
        <v>1</v>
      </c>
      <c r="I12" t="str">
        <f>IF(FT!B12&lt;&gt;"",FT!E12,"")</f>
        <v>1 [4.061479]</v>
      </c>
      <c r="J12">
        <f>IF(FT!B12&lt;&gt;"",FT!C12,"")</f>
        <v>4.0614800000000004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42893</v>
      </c>
      <c r="D13" s="61">
        <f>FH!B13*1</f>
        <v>42893</v>
      </c>
      <c r="E13">
        <f t="shared" si="3"/>
        <v>11</v>
      </c>
      <c r="F13" s="61">
        <f>IF(FT!A13&lt;&gt;"",FT!A13*10,"")</f>
        <v>2.09741</v>
      </c>
      <c r="G13" s="61">
        <f>IF(FT!B13&lt;&gt;"",FT!B13*100,"")</f>
        <v>61.830500000000001</v>
      </c>
      <c r="H13" s="61">
        <f t="shared" si="1"/>
        <v>1</v>
      </c>
      <c r="I13" t="str">
        <f>IF(FT!B13&lt;&gt;"",FT!E13,"")</f>
        <v>1 [4.464794]</v>
      </c>
      <c r="J13">
        <f>IF(FT!B13&lt;&gt;"",FT!C13,"")</f>
        <v>4.4647899999999998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2.1316299999999999</v>
      </c>
      <c r="G14" s="61">
        <f>IF(FT!B14&lt;&gt;"",FT!B14*100,"")</f>
        <v>61.425200000000004</v>
      </c>
      <c r="H14" s="61">
        <f t="shared" si="1"/>
        <v>1</v>
      </c>
      <c r="I14" t="str">
        <f>IF(FT!B14&lt;&gt;"",FT!E14,"")</f>
        <v>1 [4.872641]</v>
      </c>
      <c r="J14">
        <f>IF(FT!B14&lt;&gt;"",FT!C14,"")</f>
        <v>4.8726399999999996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49596</v>
      </c>
      <c r="D15" s="61">
        <f>FH!B15*1</f>
        <v>49596</v>
      </c>
      <c r="E15">
        <f t="shared" si="3"/>
        <v>13</v>
      </c>
      <c r="F15" s="61">
        <f>IF(FT!A15&lt;&gt;"",FT!A15*10,"")</f>
        <v>2.1668599999999998</v>
      </c>
      <c r="G15" s="61">
        <f>IF(FT!B15&lt;&gt;"",FT!B15*100,"")</f>
        <v>60.880199999999995</v>
      </c>
      <c r="H15" s="61">
        <f t="shared" si="1"/>
        <v>1</v>
      </c>
      <c r="I15" t="str">
        <f>IF(FT!B15&lt;&gt;"",FT!E15,"")</f>
        <v>1 [5.277861]</v>
      </c>
      <c r="J15">
        <f>IF(FT!B15&lt;&gt;"",FT!C15,"")</f>
        <v>5.2778600000000004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2.2011400000000001</v>
      </c>
      <c r="G16" s="61">
        <f>IF(FT!B16&lt;&gt;"",FT!B16*100,"")</f>
        <v>60.275999999999996</v>
      </c>
      <c r="H16" s="61">
        <f t="shared" si="1"/>
        <v>1</v>
      </c>
      <c r="I16" t="str">
        <f>IF(FT!B16&lt;&gt;"",FT!E16,"")</f>
        <v>1 [5.685098]</v>
      </c>
      <c r="J16">
        <f>IF(FT!B16&lt;&gt;"",FT!C16,"")</f>
        <v>5.6851000000000003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2.2317999999999998</v>
      </c>
      <c r="G17" s="61">
        <f>IF(FT!B17&lt;&gt;"",FT!B17*100,"")</f>
        <v>59.576499999999996</v>
      </c>
      <c r="H17" s="61">
        <f t="shared" si="1"/>
        <v>1</v>
      </c>
      <c r="I17" t="str">
        <f>IF(FT!B17&lt;&gt;"",FT!E17,"")</f>
        <v>1 [6.092833]</v>
      </c>
      <c r="J17">
        <f>IF(FT!B17&lt;&gt;"",FT!C17,"")</f>
        <v>6.0928300000000002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46359</v>
      </c>
      <c r="D18" s="61">
        <f>FH!B18*1</f>
        <v>46359</v>
      </c>
      <c r="E18">
        <f t="shared" si="3"/>
        <v>16</v>
      </c>
      <c r="F18" s="61">
        <f>IF(FT!A18&lt;&gt;"",FT!A18*10,"")</f>
        <v>2.25969</v>
      </c>
      <c r="G18" s="61">
        <f>IF(FT!B18&lt;&gt;"",FT!B18*100,"")</f>
        <v>58.835400000000007</v>
      </c>
      <c r="H18" s="61">
        <f t="shared" si="1"/>
        <v>1</v>
      </c>
      <c r="I18" t="str">
        <f>IF(FT!B18&lt;&gt;"",FT!E18,"")</f>
        <v>1 [6.498019]</v>
      </c>
      <c r="J18">
        <f>IF(FT!B18&lt;&gt;"",FT!C18,"")</f>
        <v>6.4980200000000004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2.2871800000000002</v>
      </c>
      <c r="G19" s="61">
        <f>IF(FT!B19&lt;&gt;"",FT!B19*100,"")</f>
        <v>57.993399999999994</v>
      </c>
      <c r="H19" s="61">
        <f t="shared" si="1"/>
        <v>1</v>
      </c>
      <c r="I19" t="str">
        <f>IF(FT!B19&lt;&gt;"",FT!E19,"")</f>
        <v>1 [6.903255]</v>
      </c>
      <c r="J19">
        <f>IF(FT!B19&lt;&gt;"",FT!C19,"")</f>
        <v>6.9032600000000004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2.3140999999999998</v>
      </c>
      <c r="G20" s="61">
        <f>IF(FT!B20&lt;&gt;"",FT!B20*100,"")</f>
        <v>57.155599999999993</v>
      </c>
      <c r="H20" s="61">
        <f t="shared" si="1"/>
        <v>1</v>
      </c>
      <c r="I20" t="str">
        <f>IF(FT!B20&lt;&gt;"",FT!E20,"")</f>
        <v>1 [7.312947]</v>
      </c>
      <c r="J20">
        <f>IF(FT!B20&lt;&gt;"",FT!C20,"")</f>
        <v>7.3129499999999998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55083</v>
      </c>
      <c r="D21" s="61">
        <f>FH!B21*1</f>
        <v>55083</v>
      </c>
      <c r="E21">
        <f t="shared" si="3"/>
        <v>19</v>
      </c>
      <c r="F21" s="61">
        <f>IF(FT!A21&lt;&gt;"",FT!A21*10,"")</f>
        <v>2.3404799999999999</v>
      </c>
      <c r="G21" s="61">
        <f>IF(FT!B21&lt;&gt;"",FT!B21*100,"")</f>
        <v>56.3508</v>
      </c>
      <c r="H21" s="61">
        <f t="shared" si="1"/>
        <v>1</v>
      </c>
      <c r="I21" t="str">
        <f>IF(FT!B21&lt;&gt;"",FT!E21,"")</f>
        <v>1 [7.717625]</v>
      </c>
      <c r="J21">
        <f>IF(FT!B21&lt;&gt;"",FT!C21,"")</f>
        <v>7.7176200000000001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2.3660900000000002</v>
      </c>
      <c r="G22" s="61">
        <f>IF(FT!B22&lt;&gt;"",FT!B22*100,"")</f>
        <v>55.471699999999998</v>
      </c>
      <c r="H22" s="61">
        <f t="shared" si="1"/>
        <v>1</v>
      </c>
      <c r="I22" t="str">
        <f>IF(FT!B22&lt;&gt;"",FT!E22,"")</f>
        <v>1 [8.125416]</v>
      </c>
      <c r="J22">
        <f>IF(FT!B22&lt;&gt;"",FT!C22,"")</f>
        <v>8.1254200000000001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61554</v>
      </c>
      <c r="D23" s="61">
        <f>FH!B23*1</f>
        <v>61554</v>
      </c>
      <c r="E23">
        <f t="shared" si="3"/>
        <v>21</v>
      </c>
      <c r="F23" s="61">
        <f>IF(FT!A23&lt;&gt;"",FT!A23*10,"")</f>
        <v>2.3905000000000003</v>
      </c>
      <c r="G23" s="61">
        <f>IF(FT!B23&lt;&gt;"",FT!B23*100,"")</f>
        <v>54.697300000000006</v>
      </c>
      <c r="H23" s="61">
        <f t="shared" si="1"/>
        <v>1</v>
      </c>
      <c r="I23" t="str">
        <f>IF(FT!B23&lt;&gt;"",FT!E23,"")</f>
        <v>1 [8.529772]</v>
      </c>
      <c r="J23">
        <f>IF(FT!B23&lt;&gt;"",FT!C23,"")</f>
        <v>8.5297699999999992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2.4125100000000002</v>
      </c>
      <c r="G24" s="61">
        <f>IF(FT!B24&lt;&gt;"",FT!B24*100,"")</f>
        <v>54.014399999999995</v>
      </c>
      <c r="H24" s="61">
        <f t="shared" si="1"/>
        <v>1</v>
      </c>
      <c r="I24" t="str">
        <f>IF(FT!B24&lt;&gt;"",FT!E24,"")</f>
        <v>1 [8.933550]</v>
      </c>
      <c r="J24">
        <f>IF(FT!B24&lt;&gt;"",FT!C24,"")</f>
        <v>8.9335500000000003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2.4315700000000002</v>
      </c>
      <c r="G25" s="61">
        <f>IF(FT!B25&lt;&gt;"",FT!B25*100,"")</f>
        <v>53.2864</v>
      </c>
      <c r="H25" s="61">
        <f t="shared" si="1"/>
        <v>1</v>
      </c>
      <c r="I25" t="str">
        <f>IF(FT!B25&lt;&gt;"",FT!E25,"")</f>
        <v>1 [9.342937]</v>
      </c>
      <c r="J25">
        <f>IF(FT!B25&lt;&gt;"",FT!C25,"")</f>
        <v>9.3429400000000005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73984</v>
      </c>
      <c r="D26" s="61">
        <f>FH!B26*1</f>
        <v>73984</v>
      </c>
      <c r="E26">
        <f t="shared" si="3"/>
        <v>24</v>
      </c>
      <c r="F26" s="61">
        <f>IF(FT!A26&lt;&gt;"",FT!A26*10,"")</f>
        <v>2.4479799999999998</v>
      </c>
      <c r="G26" s="61">
        <f>IF(FT!B26&lt;&gt;"",FT!B26*100,"")</f>
        <v>52.626399999999997</v>
      </c>
      <c r="H26" s="61">
        <f t="shared" si="1"/>
        <v>1</v>
      </c>
      <c r="I26" t="str">
        <f>IF(FT!B26&lt;&gt;"",FT!E26,"")</f>
        <v>1 [9.749650]</v>
      </c>
      <c r="J26">
        <f>IF(FT!B26&lt;&gt;"",FT!C26,"")</f>
        <v>9.7496500000000008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2.4607899999999998</v>
      </c>
      <c r="G27" s="61">
        <f>IF(FT!B27&lt;&gt;"",FT!B27*100,"")</f>
        <v>52.042500000000004</v>
      </c>
      <c r="H27" s="61">
        <f t="shared" si="1"/>
        <v>1</v>
      </c>
      <c r="I27" t="str">
        <f>IF(FT!B27&lt;&gt;"",FT!E27,"")</f>
        <v>1 [10.156643]</v>
      </c>
      <c r="J27">
        <f>IF(FT!B27&lt;&gt;"",FT!C27,"")</f>
        <v>10.156599999999999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90400</v>
      </c>
      <c r="D28" s="61">
        <f>FH!B28*1</f>
        <v>90400</v>
      </c>
      <c r="E28">
        <f t="shared" si="3"/>
        <v>26</v>
      </c>
      <c r="F28" s="61">
        <f>IF(FT!A28&lt;&gt;"",FT!A28*10,"")</f>
        <v>2.472</v>
      </c>
      <c r="G28" s="61">
        <f>IF(FT!B28&lt;&gt;"",FT!B28*100,"")</f>
        <v>51.429499999999997</v>
      </c>
      <c r="H28" s="61">
        <f t="shared" si="1"/>
        <v>1</v>
      </c>
      <c r="I28" t="str">
        <f>IF(FT!B28&lt;&gt;"",FT!E28,"")</f>
        <v>1 [10.561578]</v>
      </c>
      <c r="J28">
        <f>IF(FT!B28&lt;&gt;"",FT!C28,"")</f>
        <v>10.5616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2.4846399999999997</v>
      </c>
      <c r="G29" s="61">
        <f>IF(FT!B29&lt;&gt;"",FT!B29*100,"")</f>
        <v>50.774600000000007</v>
      </c>
      <c r="H29" s="61">
        <f t="shared" si="1"/>
        <v>1</v>
      </c>
      <c r="I29" t="str">
        <f>IF(FT!B29&lt;&gt;"",FT!E29,"")</f>
        <v>1 [10.965985]</v>
      </c>
      <c r="J29">
        <f>IF(FT!B29&lt;&gt;"",FT!C29,"")</f>
        <v>10.965999999999999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2.4973700000000001</v>
      </c>
      <c r="G30" s="61">
        <f>IF(FT!B30&lt;&gt;"",FT!B30*100,"")</f>
        <v>50.116999999999997</v>
      </c>
      <c r="H30" s="61">
        <f t="shared" si="1"/>
        <v>1</v>
      </c>
      <c r="I30" t="str">
        <f>IF(FT!B30&lt;&gt;"",FT!E30,"")</f>
        <v>1 [11.378579]</v>
      </c>
      <c r="J30">
        <f>IF(FT!B30&lt;&gt;"",FT!C30,"")</f>
        <v>11.3786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87663</v>
      </c>
      <c r="D31" s="61">
        <f>FH!B31*1</f>
        <v>87663</v>
      </c>
      <c r="E31">
        <f t="shared" si="3"/>
        <v>29</v>
      </c>
      <c r="F31" s="61">
        <f>IF(FT!A31&lt;&gt;"",FT!A31*10,"")</f>
        <v>2.5093399999999999</v>
      </c>
      <c r="G31" s="61">
        <f>IF(FT!B31&lt;&gt;"",FT!B31*100,"")</f>
        <v>49.459900000000005</v>
      </c>
      <c r="H31" s="61">
        <f t="shared" si="1"/>
        <v>1</v>
      </c>
      <c r="I31" t="str">
        <f>IF(FT!B31&lt;&gt;"",FT!E31,"")</f>
        <v>1 [11.779290]</v>
      </c>
      <c r="J31">
        <f>IF(FT!B31&lt;&gt;"",FT!C31,"")</f>
        <v>11.779299999999999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2.5182900000000004</v>
      </c>
      <c r="G32" s="61">
        <f>IF(FT!B32&lt;&gt;"",FT!B32*100,"")</f>
        <v>48.903600000000004</v>
      </c>
      <c r="H32" s="61">
        <f t="shared" si="1"/>
        <v>1</v>
      </c>
      <c r="I32" t="str">
        <f>IF(FT!B32&lt;&gt;"",FT!E32,"")</f>
        <v>1 [12.187109]</v>
      </c>
      <c r="J32">
        <f>IF(FT!B32&lt;&gt;"",FT!C32,"")</f>
        <v>12.187099999999999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102197</v>
      </c>
      <c r="D33" s="61">
        <f>FH!B33*1</f>
        <v>102197</v>
      </c>
      <c r="E33">
        <f t="shared" si="3"/>
        <v>31</v>
      </c>
      <c r="F33" s="61">
        <f>IF(FT!A33&lt;&gt;"",FT!A33*10,"")</f>
        <v>2.5259</v>
      </c>
      <c r="G33" s="61">
        <f>IF(FT!B33&lt;&gt;"",FT!B33*100,"")</f>
        <v>48.398299999999999</v>
      </c>
      <c r="H33" s="61">
        <f t="shared" si="1"/>
        <v>1</v>
      </c>
      <c r="I33" t="str">
        <f>IF(FT!B33&lt;&gt;"",FT!E33,"")</f>
        <v>1 [12.601727]</v>
      </c>
      <c r="J33">
        <f>IF(FT!B33&lt;&gt;"",FT!C33,"")</f>
        <v>12.601699999999999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2.5323699999999998</v>
      </c>
      <c r="G34" s="61">
        <f>IF(FT!B34&lt;&gt;"",FT!B34*100,"")</f>
        <v>47.913699999999999</v>
      </c>
      <c r="H34" s="61">
        <f t="shared" si="1"/>
        <v>1</v>
      </c>
      <c r="I34" t="str">
        <f>IF(FT!B34&lt;&gt;"",FT!E34,"")</f>
        <v>1 [13.003086]</v>
      </c>
      <c r="J34">
        <f>IF(FT!B34&lt;&gt;"",FT!C34,"")</f>
        <v>13.0031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2.5385999999999997</v>
      </c>
      <c r="G35" s="61">
        <f>IF(FT!B35&lt;&gt;"",FT!B35*100,"")</f>
        <v>47.4407</v>
      </c>
      <c r="H35" s="61">
        <f t="shared" si="1"/>
        <v>1</v>
      </c>
      <c r="I35" t="str">
        <f>IF(FT!B35&lt;&gt;"",FT!E35,"")</f>
        <v>1 [13.404513]</v>
      </c>
      <c r="J35">
        <f>IF(FT!B35&lt;&gt;"",FT!C35,"")</f>
        <v>13.404500000000001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124527</v>
      </c>
      <c r="D36" s="61">
        <f>FH!B36*1</f>
        <v>124527</v>
      </c>
      <c r="E36">
        <f t="shared" si="3"/>
        <v>34</v>
      </c>
      <c r="F36" s="61">
        <f>IF(FT!A36&lt;&gt;"",FT!A36*10,"")</f>
        <v>2.5449999999999999</v>
      </c>
      <c r="G36" s="61">
        <f>IF(FT!B36&lt;&gt;"",FT!B36*100,"")</f>
        <v>46.949300000000001</v>
      </c>
      <c r="H36" s="61">
        <f t="shared" si="1"/>
        <v>1</v>
      </c>
      <c r="I36" t="str">
        <f>IF(FT!B36&lt;&gt;"",FT!E36,"")</f>
        <v>1 [13.810013]</v>
      </c>
      <c r="J36">
        <f>IF(FT!B36&lt;&gt;"",FT!C36,"")</f>
        <v>13.81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2.5505899999999997</v>
      </c>
      <c r="G37" s="61">
        <f>IF(FT!B37&lt;&gt;"",FT!B37*100,"")</f>
        <v>46.469700000000003</v>
      </c>
      <c r="H37" s="61">
        <f t="shared" si="1"/>
        <v>1</v>
      </c>
      <c r="I37" t="str">
        <f>IF(FT!B37&lt;&gt;"",FT!E37,"")</f>
        <v>1 [14.214456]</v>
      </c>
      <c r="J37">
        <f>IF(FT!B37&lt;&gt;"",FT!C37,"")</f>
        <v>14.214499999999999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2.5540200000000004</v>
      </c>
      <c r="G38" s="61">
        <f>IF(FT!B38&lt;&gt;"",FT!B38*100,"")</f>
        <v>46.041600000000003</v>
      </c>
      <c r="H38" s="61">
        <f t="shared" si="1"/>
        <v>1</v>
      </c>
      <c r="I38" t="str">
        <f>IF(FT!B38&lt;&gt;"",FT!E38,"")</f>
        <v>1 [14.623486]</v>
      </c>
      <c r="J38">
        <f>IF(FT!B38&lt;&gt;"",FT!C38,"")</f>
        <v>14.6235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135121</v>
      </c>
      <c r="D39" s="61">
        <f>FH!B39*1</f>
        <v>135121</v>
      </c>
      <c r="E39">
        <f t="shared" si="3"/>
        <v>37</v>
      </c>
      <c r="F39" s="61">
        <f>IF(FT!A39&lt;&gt;"",FT!A39*10,"")</f>
        <v>2.55572</v>
      </c>
      <c r="G39" s="61">
        <f>IF(FT!B39&lt;&gt;"",FT!B39*100,"")</f>
        <v>45.648400000000002</v>
      </c>
      <c r="H39" s="61">
        <f t="shared" si="1"/>
        <v>1</v>
      </c>
      <c r="I39" t="str">
        <f>IF(FT!B39&lt;&gt;"",FT!E39,"")</f>
        <v>1 [15.027033]</v>
      </c>
      <c r="J39">
        <f>IF(FT!B39&lt;&gt;"",FT!C39,"")</f>
        <v>15.026999999999999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2.5553999999999997</v>
      </c>
      <c r="G40" s="61">
        <f>IF(FT!B40&lt;&gt;"",FT!B40*100,"")</f>
        <v>45.294899999999998</v>
      </c>
      <c r="H40" s="61">
        <f t="shared" si="1"/>
        <v>1</v>
      </c>
      <c r="I40" t="str">
        <f>IF(FT!B40&lt;&gt;"",FT!E40,"")</f>
        <v>1 [15.437229]</v>
      </c>
      <c r="J40">
        <f>IF(FT!B40&lt;&gt;"",FT!C40,"")</f>
        <v>15.437200000000001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140675</v>
      </c>
      <c r="D41" s="61">
        <f>FH!B41*1</f>
        <v>140675</v>
      </c>
      <c r="E41">
        <f t="shared" si="3"/>
        <v>39</v>
      </c>
      <c r="F41" s="61">
        <f>IF(FT!A41&lt;&gt;"",FT!A41*10,"")</f>
        <v>2.5534299999999996</v>
      </c>
      <c r="G41" s="61">
        <f>IF(FT!B41&lt;&gt;"",FT!B41*100,"")</f>
        <v>44.995000000000005</v>
      </c>
      <c r="H41" s="61">
        <f t="shared" si="1"/>
        <v>1</v>
      </c>
      <c r="I41" t="str">
        <f>IF(FT!B41&lt;&gt;"",FT!E41,"")</f>
        <v>1 [15.841935]</v>
      </c>
      <c r="J41">
        <f>IF(FT!B41&lt;&gt;"",FT!C41,"")</f>
        <v>15.841900000000001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2.54996</v>
      </c>
      <c r="G42" s="61">
        <f>IF(FT!B42&lt;&gt;"",FT!B42*100,"")</f>
        <v>44.743400000000001</v>
      </c>
      <c r="H42" s="61">
        <f t="shared" si="1"/>
        <v>1</v>
      </c>
      <c r="I42" t="str">
        <f>IF(FT!B42&lt;&gt;"",FT!E42,"")</f>
        <v>1 [16.245156]</v>
      </c>
      <c r="J42">
        <f>IF(FT!B42&lt;&gt;"",FT!C42,"")</f>
        <v>16.245200000000001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2.5446800000000005</v>
      </c>
      <c r="G43" s="61">
        <f>IF(FT!B43&lt;&gt;"",FT!B43*100,"")</f>
        <v>44.543999999999997</v>
      </c>
      <c r="H43" s="61">
        <f t="shared" si="1"/>
        <v>1</v>
      </c>
      <c r="I43" t="str">
        <f>IF(FT!B43&lt;&gt;"",FT!E43,"")</f>
        <v>1 [16.653189]</v>
      </c>
      <c r="J43">
        <f>IF(FT!B43&lt;&gt;"",FT!C43,"")</f>
        <v>16.653199999999998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153708</v>
      </c>
      <c r="D44" s="61">
        <f>FH!B44*1</f>
        <v>153708</v>
      </c>
      <c r="E44">
        <f t="shared" si="3"/>
        <v>42</v>
      </c>
      <c r="F44" s="61">
        <f>IF(FT!A44&lt;&gt;"",FT!A44*10,"")</f>
        <v>2.5383599999999999</v>
      </c>
      <c r="G44" s="61">
        <f>IF(FT!B44&lt;&gt;"",FT!B44*100,"")</f>
        <v>44.393999999999998</v>
      </c>
      <c r="H44" s="61">
        <f t="shared" si="1"/>
        <v>1</v>
      </c>
      <c r="I44" t="str">
        <f>IF(FT!B44&lt;&gt;"",FT!E44,"")</f>
        <v>1 [17.059663]</v>
      </c>
      <c r="J44">
        <f>IF(FT!B44&lt;&gt;"",FT!C44,"")</f>
        <v>17.059699999999999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2.5318800000000001</v>
      </c>
      <c r="G45" s="61">
        <f>IF(FT!B45&lt;&gt;"",FT!B45*100,"")</f>
        <v>44.253500000000003</v>
      </c>
      <c r="H45" s="61">
        <f t="shared" si="1"/>
        <v>1</v>
      </c>
      <c r="I45" t="str">
        <f>IF(FT!B45&lt;&gt;"",FT!E45,"")</f>
        <v>1 [17.467096]</v>
      </c>
      <c r="J45">
        <f>IF(FT!B45&lt;&gt;"",FT!C45,"")</f>
        <v>17.467099999999999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157943</v>
      </c>
      <c r="D46" s="61">
        <f>FH!B46*1</f>
        <v>157943</v>
      </c>
      <c r="E46">
        <f t="shared" si="3"/>
        <v>44</v>
      </c>
      <c r="F46" s="61">
        <f>IF(FT!A46&lt;&gt;"",FT!A46*10,"")</f>
        <v>2.5242300000000002</v>
      </c>
      <c r="G46" s="61">
        <f>IF(FT!B46&lt;&gt;"",FT!B46*100,"")</f>
        <v>44.1252</v>
      </c>
      <c r="H46" s="61">
        <f t="shared" si="1"/>
        <v>1</v>
      </c>
      <c r="I46" t="str">
        <f>IF(FT!B46&lt;&gt;"",FT!E46,"")</f>
        <v>1 [17.872891]</v>
      </c>
      <c r="J46">
        <f>IF(FT!B46&lt;&gt;"",FT!C46,"")</f>
        <v>17.872900000000001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2.5134400000000001</v>
      </c>
      <c r="G47" s="61">
        <f>IF(FT!B47&lt;&gt;"",FT!B47*100,"")</f>
        <v>44.068000000000005</v>
      </c>
      <c r="H47" s="61">
        <f t="shared" si="1"/>
        <v>1</v>
      </c>
      <c r="I47" t="str">
        <f>IF(FT!B47&lt;&gt;"",FT!E47,"")</f>
        <v>1 [18.278686]</v>
      </c>
      <c r="J47">
        <f>IF(FT!B47&lt;&gt;"",FT!C47,"")</f>
        <v>18.278700000000001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2.5033599999999998</v>
      </c>
      <c r="G48" s="61">
        <f>IF(FT!B48&lt;&gt;"",FT!B48*100,"")</f>
        <v>43.969799999999999</v>
      </c>
      <c r="H48" s="61">
        <f t="shared" si="1"/>
        <v>1</v>
      </c>
      <c r="I48" t="str">
        <f>IF(FT!B48&lt;&gt;"",FT!E48,"")</f>
        <v>1 [18.683457]</v>
      </c>
      <c r="J48">
        <f>IF(FT!B48&lt;&gt;"",FT!C48,"")</f>
        <v>18.683499999999999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162099</v>
      </c>
      <c r="D49" s="61">
        <f>FH!B49*1</f>
        <v>162099</v>
      </c>
      <c r="E49">
        <f t="shared" si="3"/>
        <v>47</v>
      </c>
      <c r="F49" s="61">
        <f>IF(FT!A49&lt;&gt;"",FT!A49*10,"")</f>
        <v>2.4940599999999997</v>
      </c>
      <c r="G49" s="61">
        <f>IF(FT!B49&lt;&gt;"",FT!B49*100,"")</f>
        <v>43.828299999999999</v>
      </c>
      <c r="H49" s="61">
        <f t="shared" si="1"/>
        <v>1</v>
      </c>
      <c r="I49" t="str">
        <f>IF(FT!B49&lt;&gt;"",FT!E49,"")</f>
        <v>1 [19.090487]</v>
      </c>
      <c r="J49">
        <f>IF(FT!B49&lt;&gt;"",FT!C49,"")</f>
        <v>19.090499999999999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2.4846300000000001</v>
      </c>
      <c r="G50" s="61">
        <f>IF(FT!B50&lt;&gt;"",FT!B50*100,"")</f>
        <v>43.758099999999999</v>
      </c>
      <c r="H50" s="61">
        <f t="shared" si="1"/>
        <v>1</v>
      </c>
      <c r="I50" t="str">
        <f>IF(FT!B50&lt;&gt;"",FT!E50,"")</f>
        <v>1 [19.503631]</v>
      </c>
      <c r="J50">
        <f>IF(FT!B50&lt;&gt;"",FT!C50,"")</f>
        <v>19.503599999999999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174570</v>
      </c>
      <c r="D51" s="61">
        <f>FH!B51*1</f>
        <v>174570</v>
      </c>
      <c r="E51">
        <f t="shared" si="3"/>
        <v>49</v>
      </c>
      <c r="F51" s="61">
        <f>IF(FT!A51&lt;&gt;"",FT!A51*10,"")</f>
        <v>2.47681</v>
      </c>
      <c r="G51" s="61">
        <f>IF(FT!B51&lt;&gt;"",FT!B51*100,"")</f>
        <v>43.651299999999999</v>
      </c>
      <c r="H51" s="61">
        <f t="shared" si="1"/>
        <v>1</v>
      </c>
      <c r="I51" t="str">
        <f>IF(FT!B51&lt;&gt;"",FT!E51,"")</f>
        <v>1 [19.907669]</v>
      </c>
      <c r="J51">
        <f>IF(FT!B51&lt;&gt;"",FT!C51,"")</f>
        <v>19.907699999999998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2.4731399999999999</v>
      </c>
      <c r="G52" s="61">
        <f>IF(FT!B52&lt;&gt;"",FT!B52*100,"")</f>
        <v>43.524700000000003</v>
      </c>
      <c r="H52" s="61">
        <f t="shared" si="1"/>
        <v>1</v>
      </c>
      <c r="I52" t="str">
        <f>IF(FT!B52&lt;&gt;"",FT!E52,"")</f>
        <v>1 [20.311344]</v>
      </c>
      <c r="J52">
        <f>IF(FT!B52&lt;&gt;"",FT!C52,"")</f>
        <v>20.311299999999999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2.4683199999999998</v>
      </c>
      <c r="G53" s="61">
        <f>IF(FT!B53&lt;&gt;"",FT!B53*100,"")</f>
        <v>43.417000000000002</v>
      </c>
      <c r="H53" s="61">
        <f t="shared" si="1"/>
        <v>1</v>
      </c>
      <c r="I53" t="str">
        <f>IF(FT!B53&lt;&gt;"",FT!E53,"")</f>
        <v>1 [20.717577]</v>
      </c>
      <c r="J53">
        <f>IF(FT!B53&lt;&gt;"",FT!C53,"")</f>
        <v>20.717600000000001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167689</v>
      </c>
      <c r="D54" s="61">
        <f>FH!B54*1</f>
        <v>167689</v>
      </c>
      <c r="E54">
        <f t="shared" si="3"/>
        <v>52</v>
      </c>
      <c r="F54" s="61">
        <f>IF(FT!A54&lt;&gt;"",FT!A54*10,"")</f>
        <v>2.4606500000000002</v>
      </c>
      <c r="G54" s="61">
        <f>IF(FT!B54&lt;&gt;"",FT!B54*100,"")</f>
        <v>43.366999999999997</v>
      </c>
      <c r="H54" s="61">
        <f t="shared" si="1"/>
        <v>1</v>
      </c>
      <c r="I54" t="str">
        <f>IF(FT!B54&lt;&gt;"",FT!E54,"")</f>
        <v>1 [21.120907]</v>
      </c>
      <c r="J54">
        <f>IF(FT!B54&lt;&gt;"",FT!C54,"")</f>
        <v>21.120899999999999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2.4546399999999999</v>
      </c>
      <c r="G55" s="61">
        <f>IF(FT!B55&lt;&gt;"",FT!B55*100,"")</f>
        <v>43.316099999999999</v>
      </c>
      <c r="H55" s="61">
        <f t="shared" si="1"/>
        <v>1</v>
      </c>
      <c r="I55" t="str">
        <f>IF(FT!B55&lt;&gt;"",FT!E55,"")</f>
        <v>1 [21.529670]</v>
      </c>
      <c r="J55">
        <f>IF(FT!B55&lt;&gt;"",FT!C55,"")</f>
        <v>21.529699999999998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2.4484300000000001</v>
      </c>
      <c r="G56" s="61">
        <f>IF(FT!B56&lt;&gt;"",FT!B56*100,"")</f>
        <v>43.279200000000003</v>
      </c>
      <c r="H56" s="61">
        <f t="shared" si="1"/>
        <v>1</v>
      </c>
      <c r="I56" t="str">
        <f>IF(FT!B56&lt;&gt;"",FT!E56,"")</f>
        <v>1 [21.935781]</v>
      </c>
      <c r="J56">
        <f>IF(FT!B56&lt;&gt;"",FT!C56,"")</f>
        <v>21.9358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148014</v>
      </c>
      <c r="D57" s="61">
        <f>FH!B57*1</f>
        <v>148014</v>
      </c>
      <c r="E57">
        <f t="shared" si="3"/>
        <v>55</v>
      </c>
      <c r="F57" s="61">
        <f>IF(FT!A57&lt;&gt;"",FT!A57*10,"")</f>
        <v>2.4430700000000001</v>
      </c>
      <c r="G57" s="61">
        <f>IF(FT!B57&lt;&gt;"",FT!B57*100,"")</f>
        <v>43.195599999999999</v>
      </c>
      <c r="H57" s="61">
        <f t="shared" si="1"/>
        <v>1</v>
      </c>
      <c r="I57" t="str">
        <f>IF(FT!B57&lt;&gt;"",FT!E57,"")</f>
        <v>1 [22.340891]</v>
      </c>
      <c r="J57">
        <f>IF(FT!B57&lt;&gt;"",FT!C57,"")</f>
        <v>22.340900000000001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2.4394499999999999</v>
      </c>
      <c r="G58" s="61">
        <f>IF(FT!B58&lt;&gt;"",FT!B58*100,"")</f>
        <v>43.0976</v>
      </c>
      <c r="H58" s="61">
        <f t="shared" si="1"/>
        <v>1</v>
      </c>
      <c r="I58" t="str">
        <f>IF(FT!B58&lt;&gt;"",FT!E58,"")</f>
        <v>1 [22.748540]</v>
      </c>
      <c r="J58">
        <f>IF(FT!B58&lt;&gt;"",FT!C58,"")</f>
        <v>22.7485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166810</v>
      </c>
      <c r="D59" s="61">
        <f>FH!B59*1</f>
        <v>166810</v>
      </c>
      <c r="E59">
        <f t="shared" si="3"/>
        <v>57</v>
      </c>
      <c r="F59" s="61">
        <f>IF(FT!A59&lt;&gt;"",FT!A59*10,"")</f>
        <v>2.4388999999999998</v>
      </c>
      <c r="G59" s="61">
        <f>IF(FT!B59&lt;&gt;"",FT!B59*100,"")</f>
        <v>42.9619</v>
      </c>
      <c r="H59" s="61">
        <f t="shared" si="1"/>
        <v>1</v>
      </c>
      <c r="I59" t="str">
        <f>IF(FT!B59&lt;&gt;"",FT!E59,"")</f>
        <v>1 [23.155733]</v>
      </c>
      <c r="J59">
        <f>IF(FT!B59&lt;&gt;"",FT!C59,"")</f>
        <v>23.1557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2.4407699999999997</v>
      </c>
      <c r="G60" s="61">
        <f>IF(FT!B60&lt;&gt;"",FT!B60*100,"")</f>
        <v>42.838799999999999</v>
      </c>
      <c r="H60" s="61">
        <f t="shared" si="1"/>
        <v>1</v>
      </c>
      <c r="I60" t="str">
        <f>IF(FT!B60&lt;&gt;"",FT!E60,"")</f>
        <v>1 [23.560351]</v>
      </c>
      <c r="J60">
        <f>IF(FT!B60&lt;&gt;"",FT!C60,"")</f>
        <v>23.560400000000001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2.4437700000000002</v>
      </c>
      <c r="G61" s="61">
        <f>IF(FT!B61&lt;&gt;"",FT!B61*100,"")</f>
        <v>42.731499999999997</v>
      </c>
      <c r="H61" s="61">
        <f t="shared" si="1"/>
        <v>1</v>
      </c>
      <c r="I61" t="str">
        <f>IF(FT!B61&lt;&gt;"",FT!E61,"")</f>
        <v>1 [23.966551]</v>
      </c>
      <c r="J61">
        <f>IF(FT!B61&lt;&gt;"",FT!C61,"")</f>
        <v>23.9666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168063</v>
      </c>
      <c r="D62" s="61">
        <f>FH!B62*1</f>
        <v>168063</v>
      </c>
      <c r="E62">
        <f t="shared" si="3"/>
        <v>60</v>
      </c>
      <c r="F62" s="61">
        <f>IF(FT!A62&lt;&gt;"",FT!A62*10,"")</f>
        <v>2.4517800000000003</v>
      </c>
      <c r="G62" s="61">
        <f>IF(FT!B62&lt;&gt;"",FT!B62*100,"")</f>
        <v>42.520599999999995</v>
      </c>
      <c r="H62" s="61">
        <f t="shared" si="1"/>
        <v>1</v>
      </c>
      <c r="I62" t="str">
        <f>IF(FT!B62&lt;&gt;"",FT!E62,"")</f>
        <v>1 [24.372768]</v>
      </c>
      <c r="J62">
        <f>IF(FT!B62&lt;&gt;"",FT!C62,"")</f>
        <v>24.372800000000002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2.4678200000000001</v>
      </c>
      <c r="G63" s="61">
        <f>IF(FT!B63&lt;&gt;"",FT!B63*100,"")</f>
        <v>42.1907</v>
      </c>
      <c r="H63" s="61">
        <f t="shared" si="1"/>
        <v>1</v>
      </c>
      <c r="I63" t="str">
        <f>IF(FT!B63&lt;&gt;"",FT!E63,"")</f>
        <v>1 [24.777599]</v>
      </c>
      <c r="J63">
        <f>IF(FT!B63&lt;&gt;"",FT!C63,"")</f>
        <v>24.7776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178731</v>
      </c>
      <c r="D64" s="61">
        <f>FH!B64*1</f>
        <v>178731</v>
      </c>
      <c r="E64">
        <f t="shared" si="3"/>
        <v>62</v>
      </c>
      <c r="F64" s="61">
        <f>IF(FT!A64&lt;&gt;"",FT!A64*10,"")</f>
        <v>2.4858899999999999</v>
      </c>
      <c r="G64" s="61">
        <f>IF(FT!B64&lt;&gt;"",FT!B64*100,"")</f>
        <v>41.874299999999998</v>
      </c>
      <c r="H64" s="61">
        <f t="shared" si="1"/>
        <v>1</v>
      </c>
      <c r="I64" t="str">
        <f>IF(FT!B64&lt;&gt;"",FT!E64,"")</f>
        <v>1 [25.206214]</v>
      </c>
      <c r="J64">
        <f>IF(FT!B64&lt;&gt;"",FT!C64,"")</f>
        <v>25.206199999999999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2.5016100000000003</v>
      </c>
      <c r="G65" s="61">
        <f>IF(FT!B65&lt;&gt;"",FT!B65*100,"")</f>
        <v>41.6785</v>
      </c>
      <c r="H65" s="61">
        <f t="shared" si="1"/>
        <v>1</v>
      </c>
      <c r="I65" t="str">
        <f>IF(FT!B65&lt;&gt;"",FT!E65,"")</f>
        <v>1 [25.607499]</v>
      </c>
      <c r="J65">
        <f>IF(FT!B65&lt;&gt;"",FT!C65,"")</f>
        <v>25.607500000000002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2.5173699999999997</v>
      </c>
      <c r="G66" s="61">
        <f>IF(FT!B66&lt;&gt;"",FT!B66*100,"")</f>
        <v>41.487899999999996</v>
      </c>
      <c r="H66" s="61">
        <f t="shared" si="1"/>
        <v>1</v>
      </c>
      <c r="I66" t="str">
        <f>IF(FT!B66&lt;&gt;"",FT!E66,"")</f>
        <v>1 [26.015810]</v>
      </c>
      <c r="J66">
        <f>IF(FT!B66&lt;&gt;"",FT!C66,"")</f>
        <v>26.015799999999999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163890</v>
      </c>
      <c r="D67" s="61">
        <f>FH!B67*1</f>
        <v>163890</v>
      </c>
      <c r="E67">
        <f t="shared" si="3"/>
        <v>65</v>
      </c>
      <c r="F67" s="61">
        <f>IF(FT!A67&lt;&gt;"",FT!A67*10,"")</f>
        <v>2.5342399999999996</v>
      </c>
      <c r="G67" s="61">
        <f>IF(FT!B67&lt;&gt;"",FT!B67*100,"")</f>
        <v>41.259499999999996</v>
      </c>
      <c r="H67" s="61">
        <f t="shared" ref="H67:H130" si="9">(IF(F67&lt;&gt;"",1,""))</f>
        <v>1</v>
      </c>
      <c r="I67" t="str">
        <f>IF(FT!B67&lt;&gt;"",FT!E67,"")</f>
        <v>1 [26.412416]</v>
      </c>
      <c r="J67">
        <f>IF(FT!B67&lt;&gt;"",FT!C67,"")</f>
        <v>26.412400000000002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2.5509500000000003</v>
      </c>
      <c r="G68" s="61">
        <f>IF(FT!B68&lt;&gt;"",FT!B68*100,"")</f>
        <v>41.055999999999997</v>
      </c>
      <c r="H68" s="61">
        <f t="shared" si="9"/>
        <v>1</v>
      </c>
      <c r="I68" t="str">
        <f>IF(FT!B68&lt;&gt;"",FT!E68,"")</f>
        <v>1 [26.837122]</v>
      </c>
      <c r="J68">
        <f>IF(FT!B68&lt;&gt;"",FT!C68,"")</f>
        <v>26.8371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156478</v>
      </c>
      <c r="D69" s="61">
        <f>FH!B69*1</f>
        <v>156478</v>
      </c>
      <c r="E69">
        <f t="shared" si="11"/>
        <v>67</v>
      </c>
      <c r="F69" s="61">
        <f>IF(FT!A69&lt;&gt;"",FT!A69*10,"")</f>
        <v>2.5645899999999999</v>
      </c>
      <c r="G69" s="61">
        <f>IF(FT!B69&lt;&gt;"",FT!B69*100,"")</f>
        <v>40.9377</v>
      </c>
      <c r="H69" s="61">
        <f t="shared" si="9"/>
        <v>1</v>
      </c>
      <c r="I69" t="str">
        <f>IF(FT!B69&lt;&gt;"",FT!E69,"")</f>
        <v>1 [27.229110]</v>
      </c>
      <c r="J69">
        <f>IF(FT!B69&lt;&gt;"",FT!C69,"")</f>
        <v>27.229099999999999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2.5786899999999999</v>
      </c>
      <c r="G70" s="61">
        <f>IF(FT!B70&lt;&gt;"",FT!B70*100,"")</f>
        <v>40.7605</v>
      </c>
      <c r="H70" s="61">
        <f t="shared" si="9"/>
        <v>1</v>
      </c>
      <c r="I70" t="str">
        <f>IF(FT!B70&lt;&gt;"",FT!E70,"")</f>
        <v>1 [27.642079]</v>
      </c>
      <c r="J70">
        <f>IF(FT!B70&lt;&gt;"",FT!C70,"")</f>
        <v>27.642099999999999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2.5942500000000002</v>
      </c>
      <c r="G71" s="61">
        <f>IF(FT!B71&lt;&gt;"",FT!B71*100,"")</f>
        <v>40.550000000000004</v>
      </c>
      <c r="H71" s="61">
        <f t="shared" si="9"/>
        <v>1</v>
      </c>
      <c r="I71" t="str">
        <f>IF(FT!B71&lt;&gt;"",FT!E71,"")</f>
        <v>1 [28.048708]</v>
      </c>
      <c r="J71">
        <f>IF(FT!B71&lt;&gt;"",FT!C71,"")</f>
        <v>28.0487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145311</v>
      </c>
      <c r="D72" s="61">
        <f>FH!B72*1</f>
        <v>145311</v>
      </c>
      <c r="E72">
        <f t="shared" si="11"/>
        <v>70</v>
      </c>
      <c r="F72" s="61">
        <f>IF(FT!A72&lt;&gt;"",FT!A72*10,"")</f>
        <v>2.6101799999999997</v>
      </c>
      <c r="G72" s="61">
        <f>IF(FT!B72&lt;&gt;"",FT!B72*100,"")</f>
        <v>40.391199999999998</v>
      </c>
      <c r="H72" s="61">
        <f t="shared" si="9"/>
        <v>1</v>
      </c>
      <c r="I72" t="str">
        <f>IF(FT!B72&lt;&gt;"",FT!E72,"")</f>
        <v>1 [28.451568]</v>
      </c>
      <c r="J72">
        <f>IF(FT!B72&lt;&gt;"",FT!C72,"")</f>
        <v>28.451599999999999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2.6254599999999999</v>
      </c>
      <c r="G73" s="61">
        <f>IF(FT!B73&lt;&gt;"",FT!B73*100,"")</f>
        <v>40.247599999999998</v>
      </c>
      <c r="H73" s="61">
        <f t="shared" si="9"/>
        <v>1</v>
      </c>
      <c r="I73" t="str">
        <f>IF(FT!B73&lt;&gt;"",FT!E73,"")</f>
        <v>1 [28.860566]</v>
      </c>
      <c r="J73">
        <f>IF(FT!B73&lt;&gt;"",FT!C73,"")</f>
        <v>28.860600000000002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2.6428400000000001</v>
      </c>
      <c r="G74" s="61">
        <f>IF(FT!B74&lt;&gt;"",FT!B74*100,"")</f>
        <v>40.087299999999999</v>
      </c>
      <c r="H74" s="61">
        <f t="shared" si="9"/>
        <v>1</v>
      </c>
      <c r="I74" t="str">
        <f>IF(FT!B74&lt;&gt;"",FT!E74,"")</f>
        <v>1 [29.270276]</v>
      </c>
      <c r="J74">
        <f>IF(FT!B74&lt;&gt;"",FT!C74,"")</f>
        <v>29.270299999999999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138433</v>
      </c>
      <c r="D75" s="61">
        <f>FH!B75*1</f>
        <v>138433</v>
      </c>
      <c r="E75">
        <f t="shared" si="11"/>
        <v>73</v>
      </c>
      <c r="F75" s="61">
        <f>IF(FT!A75&lt;&gt;"",FT!A75*10,"")</f>
        <v>2.6625399999999999</v>
      </c>
      <c r="G75" s="61">
        <f>IF(FT!B75&lt;&gt;"",FT!B75*100,"")</f>
        <v>39.912799999999997</v>
      </c>
      <c r="H75" s="61">
        <f t="shared" si="9"/>
        <v>1</v>
      </c>
      <c r="I75" t="str">
        <f>IF(FT!B75&lt;&gt;"",FT!E75,"")</f>
        <v>1 [29.677640]</v>
      </c>
      <c r="J75">
        <f>IF(FT!B75&lt;&gt;"",FT!C75,"")</f>
        <v>29.677600000000002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2.6845499999999998</v>
      </c>
      <c r="G76" s="61">
        <f>IF(FT!B76&lt;&gt;"",FT!B76*100,"")</f>
        <v>39.662100000000002</v>
      </c>
      <c r="H76" s="61">
        <f t="shared" si="9"/>
        <v>1</v>
      </c>
      <c r="I76" t="str">
        <f>IF(FT!B76&lt;&gt;"",FT!E76,"")</f>
        <v>2 [30.081278]</v>
      </c>
      <c r="J76">
        <f>IF(FT!B76&lt;&gt;"",FT!C76,"")</f>
        <v>30.081299999999999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146488</v>
      </c>
      <c r="D77" s="61">
        <f>FH!B77*1</f>
        <v>146488</v>
      </c>
      <c r="E77">
        <f t="shared" si="11"/>
        <v>75</v>
      </c>
      <c r="F77" s="61">
        <f>IF(FT!A77&lt;&gt;"",FT!A77*10,"")</f>
        <v>2.7113399999999999</v>
      </c>
      <c r="G77" s="61">
        <f>IF(FT!B77&lt;&gt;"",FT!B77*100,"")</f>
        <v>39.280200000000001</v>
      </c>
      <c r="H77" s="61">
        <f t="shared" si="9"/>
        <v>1</v>
      </c>
      <c r="I77" t="str">
        <f>IF(FT!B77&lt;&gt;"",FT!E77,"")</f>
        <v>2 [30.704992]</v>
      </c>
      <c r="J77">
        <f>IF(FT!B77&lt;&gt;"",FT!C77,"")</f>
        <v>30.704999999999998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2.73488</v>
      </c>
      <c r="G78" s="61">
        <f>IF(FT!B78&lt;&gt;"",FT!B78*100,"")</f>
        <v>38.9512</v>
      </c>
      <c r="H78" s="61">
        <f t="shared" si="9"/>
        <v>1</v>
      </c>
      <c r="I78" t="str">
        <f>IF(FT!B78&lt;&gt;"",FT!E78,"")</f>
        <v>2 [31.065156]</v>
      </c>
      <c r="J78">
        <f>IF(FT!B78&lt;&gt;"",FT!C78,"")</f>
        <v>31.065200000000001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2.7611699999999999</v>
      </c>
      <c r="G79" s="61">
        <f>IF(FT!B79&lt;&gt;"",FT!B79*100,"")</f>
        <v>38.616799999999998</v>
      </c>
      <c r="H79" s="61">
        <f t="shared" si="9"/>
        <v>1</v>
      </c>
      <c r="I79" t="str">
        <f>IF(FT!B79&lt;&gt;"",FT!E79,"")</f>
        <v>2 [31.463236]</v>
      </c>
      <c r="J79">
        <f>IF(FT!B79&lt;&gt;"",FT!C79,"")</f>
        <v>31.463200000000001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150677</v>
      </c>
      <c r="D80" s="61">
        <f>FH!B80*1</f>
        <v>150677</v>
      </c>
      <c r="E80">
        <f t="shared" si="11"/>
        <v>78</v>
      </c>
      <c r="F80" s="61">
        <f>IF(FT!A80&lt;&gt;"",FT!A80*10,"")</f>
        <v>2.7864399999999998</v>
      </c>
      <c r="G80" s="61">
        <f>IF(FT!B80&lt;&gt;"",FT!B80*100,"")</f>
        <v>38.340000000000003</v>
      </c>
      <c r="H80" s="61">
        <f t="shared" si="9"/>
        <v>1</v>
      </c>
      <c r="I80" t="str">
        <f>IF(FT!B80&lt;&gt;"",FT!E80,"")</f>
        <v>2 [31.839042]</v>
      </c>
      <c r="J80">
        <f>IF(FT!B80&lt;&gt;"",FT!C80,"")</f>
        <v>31.838999999999999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2.81325</v>
      </c>
      <c r="G81" s="61">
        <f>IF(FT!B81&lt;&gt;"",FT!B81*100,"")</f>
        <v>38.068600000000004</v>
      </c>
      <c r="H81" s="61">
        <f t="shared" si="9"/>
        <v>1</v>
      </c>
      <c r="I81" t="str">
        <f>IF(FT!B81&lt;&gt;"",FT!E81,"")</f>
        <v>2 [32.210717]</v>
      </c>
      <c r="J81">
        <f>IF(FT!B81&lt;&gt;"",FT!C81,"")</f>
        <v>32.210700000000003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161453</v>
      </c>
      <c r="D82" s="61">
        <f>FH!B82*1</f>
        <v>161453</v>
      </c>
      <c r="E82">
        <f t="shared" si="11"/>
        <v>80</v>
      </c>
      <c r="F82" s="61">
        <f>IF(FT!A82&lt;&gt;"",FT!A82*10,"")</f>
        <v>2.8399200000000002</v>
      </c>
      <c r="G82" s="61">
        <f>IF(FT!B82&lt;&gt;"",FT!B82*100,"")</f>
        <v>37.828400000000002</v>
      </c>
      <c r="H82" s="61">
        <f t="shared" si="9"/>
        <v>1</v>
      </c>
      <c r="I82" t="str">
        <f>IF(FT!B82&lt;&gt;"",FT!E82,"")</f>
        <v>2 [32.607853]</v>
      </c>
      <c r="J82">
        <f>IF(FT!B82&lt;&gt;"",FT!C82,"")</f>
        <v>32.607900000000001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2.86686</v>
      </c>
      <c r="G83" s="61">
        <f>IF(FT!B83&lt;&gt;"",FT!B83*100,"")</f>
        <v>37.611600000000003</v>
      </c>
      <c r="H83" s="61">
        <f t="shared" si="9"/>
        <v>1</v>
      </c>
      <c r="I83" t="str">
        <f>IF(FT!B83&lt;&gt;"",FT!E83,"")</f>
        <v>2 [33.021795]</v>
      </c>
      <c r="J83">
        <f>IF(FT!B83&lt;&gt;"",FT!C83,"")</f>
        <v>33.021799999999999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2.89567</v>
      </c>
      <c r="G84" s="61">
        <f>IF(FT!B84&lt;&gt;"",FT!B84*100,"")</f>
        <v>37.312100000000001</v>
      </c>
      <c r="H84" s="61">
        <f t="shared" si="9"/>
        <v>1</v>
      </c>
      <c r="I84" t="str">
        <f>IF(FT!B84&lt;&gt;"",FT!E84,"")</f>
        <v>2 [33.428378]</v>
      </c>
      <c r="J84">
        <f>IF(FT!B84&lt;&gt;"",FT!C84,"")</f>
        <v>33.428400000000003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165345</v>
      </c>
      <c r="D85" s="61">
        <f>FH!B85*1</f>
        <v>165345</v>
      </c>
      <c r="E85">
        <f t="shared" si="11"/>
        <v>83</v>
      </c>
      <c r="F85" s="61">
        <f>IF(FT!A85&lt;&gt;"",FT!A85*10,"")</f>
        <v>2.9274200000000001</v>
      </c>
      <c r="G85" s="61">
        <f>IF(FT!B85&lt;&gt;"",FT!B85*100,"")</f>
        <v>36.930099999999996</v>
      </c>
      <c r="H85" s="61">
        <f t="shared" si="9"/>
        <v>1</v>
      </c>
      <c r="I85" t="str">
        <f>IF(FT!B85&lt;&gt;"",FT!E85,"")</f>
        <v>2 [33.828684]</v>
      </c>
      <c r="J85">
        <f>IF(FT!B85&lt;&gt;"",FT!C85,"")</f>
        <v>33.828699999999998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2.9554</v>
      </c>
      <c r="G86" s="61">
        <f>IF(FT!B86&lt;&gt;"",FT!B86*100,"")</f>
        <v>36.649799999999999</v>
      </c>
      <c r="H86" s="61">
        <f t="shared" si="9"/>
        <v>1</v>
      </c>
      <c r="I86" t="str">
        <f>IF(FT!B86&lt;&gt;"",FT!E86,"")</f>
        <v>2 [34.239642]</v>
      </c>
      <c r="J86">
        <f>IF(FT!B86&lt;&gt;"",FT!C86,"")</f>
        <v>34.239600000000003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2.97831</v>
      </c>
      <c r="G87" s="61">
        <f>IF(FT!B87&lt;&gt;"",FT!B87*100,"")</f>
        <v>36.426400000000001</v>
      </c>
      <c r="H87" s="61">
        <f t="shared" si="9"/>
        <v>1</v>
      </c>
      <c r="I87" t="str">
        <f>IF(FT!B87&lt;&gt;"",FT!E87,"")</f>
        <v>2 [34.630495]</v>
      </c>
      <c r="J87">
        <f>IF(FT!B87&lt;&gt;"",FT!C87,"")</f>
        <v>34.630499999999998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147543</v>
      </c>
      <c r="D88" s="61">
        <f>FH!B88*1</f>
        <v>147543</v>
      </c>
      <c r="E88">
        <f t="shared" si="11"/>
        <v>86</v>
      </c>
      <c r="F88" s="61">
        <f>IF(FT!A88&lt;&gt;"",FT!A88*10,"")</f>
        <v>2.9967500000000005</v>
      </c>
      <c r="G88" s="61">
        <f>IF(FT!B88&lt;&gt;"",FT!B88*100,"")</f>
        <v>36.212400000000002</v>
      </c>
      <c r="H88" s="61">
        <f t="shared" si="9"/>
        <v>1</v>
      </c>
      <c r="I88" t="str">
        <f>IF(FT!B88&lt;&gt;"",FT!E88,"")</f>
        <v>2 [35.030671]</v>
      </c>
      <c r="J88">
        <f>IF(FT!B88&lt;&gt;"",FT!C88,"")</f>
        <v>35.030700000000003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3.0149900000000001</v>
      </c>
      <c r="G89" s="61">
        <f>IF(FT!B89&lt;&gt;"",FT!B89*100,"")</f>
        <v>35.989399999999996</v>
      </c>
      <c r="H89" s="61">
        <f t="shared" si="9"/>
        <v>1</v>
      </c>
      <c r="I89" t="str">
        <f>IF(FT!B89&lt;&gt;"",FT!E89,"")</f>
        <v>2 [35.439207]</v>
      </c>
      <c r="J89">
        <f>IF(FT!B89&lt;&gt;"",FT!C89,"")</f>
        <v>35.4392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134215</v>
      </c>
      <c r="D90" s="61">
        <f>FH!B90*1</f>
        <v>134215</v>
      </c>
      <c r="E90">
        <f t="shared" si="11"/>
        <v>88</v>
      </c>
      <c r="F90" s="61">
        <f>IF(FT!A90&lt;&gt;"",FT!A90*10,"")</f>
        <v>3.0337199999999998</v>
      </c>
      <c r="G90" s="61">
        <f>IF(FT!B90&lt;&gt;"",FT!B90*100,"")</f>
        <v>35.760300000000001</v>
      </c>
      <c r="H90" s="61">
        <f t="shared" si="9"/>
        <v>1</v>
      </c>
      <c r="I90" t="str">
        <f>IF(FT!B90&lt;&gt;"",FT!E90,"")</f>
        <v>2 [35.844424]</v>
      </c>
      <c r="J90">
        <f>IF(FT!B90&lt;&gt;"",FT!C90,"")</f>
        <v>35.8444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3.0525500000000001</v>
      </c>
      <c r="G91" s="61">
        <f>IF(FT!B91&lt;&gt;"",FT!B91*100,"")</f>
        <v>35.547200000000004</v>
      </c>
      <c r="H91" s="61">
        <f t="shared" si="9"/>
        <v>1</v>
      </c>
      <c r="I91" t="str">
        <f>IF(FT!B91&lt;&gt;"",FT!E91,"")</f>
        <v>2 [36.268674]</v>
      </c>
      <c r="J91">
        <f>IF(FT!B91&lt;&gt;"",FT!C91,"")</f>
        <v>36.268700000000003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3.0697299999999998</v>
      </c>
      <c r="G92" s="61">
        <f>IF(FT!B92&lt;&gt;"",FT!B92*100,"")</f>
        <v>35.389499999999998</v>
      </c>
      <c r="H92" s="61">
        <f t="shared" si="9"/>
        <v>1</v>
      </c>
      <c r="I92" t="str">
        <f>IF(FT!B92&lt;&gt;"",FT!E92,"")</f>
        <v>2 [36.678636]</v>
      </c>
      <c r="J92">
        <f>IF(FT!B92&lt;&gt;"",FT!C92,"")</f>
        <v>36.678600000000003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135709</v>
      </c>
      <c r="D93" s="61">
        <f>FH!B93*1</f>
        <v>135709</v>
      </c>
      <c r="E93">
        <f t="shared" si="11"/>
        <v>91</v>
      </c>
      <c r="F93" s="61">
        <f>IF(FT!A93&lt;&gt;"",FT!A93*10,"")</f>
        <v>3.0849799999999998</v>
      </c>
      <c r="G93" s="61">
        <f>IF(FT!B93&lt;&gt;"",FT!B93*100,"")</f>
        <v>35.296499999999995</v>
      </c>
      <c r="H93" s="61">
        <f t="shared" si="9"/>
        <v>1</v>
      </c>
      <c r="I93" t="str">
        <f>IF(FT!B93&lt;&gt;"",FT!E93,"")</f>
        <v>2 [37.064567]</v>
      </c>
      <c r="J93">
        <f>IF(FT!B93&lt;&gt;"",FT!C93,"")</f>
        <v>37.064599999999999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3.09903</v>
      </c>
      <c r="G94" s="61">
        <f>IF(FT!B94&lt;&gt;"",FT!B94*100,"")</f>
        <v>35.250500000000002</v>
      </c>
      <c r="H94" s="61">
        <f t="shared" si="9"/>
        <v>1</v>
      </c>
      <c r="I94" t="str">
        <f>IF(FT!B94&lt;&gt;"",FT!E94,"")</f>
        <v>2 [37.486363]</v>
      </c>
      <c r="J94">
        <f>IF(FT!B94&lt;&gt;"",FT!C94,"")</f>
        <v>37.486400000000003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122214</v>
      </c>
      <c r="D95" s="61">
        <f>FH!B95*1</f>
        <v>122214</v>
      </c>
      <c r="E95">
        <f t="shared" si="11"/>
        <v>93</v>
      </c>
      <c r="F95" s="61">
        <f>IF(FT!A95&lt;&gt;"",FT!A95*10,"")</f>
        <v>3.1140600000000003</v>
      </c>
      <c r="G95" s="61">
        <f>IF(FT!B95&lt;&gt;"",FT!B95*100,"")</f>
        <v>35.246600000000001</v>
      </c>
      <c r="H95" s="61">
        <f t="shared" si="9"/>
        <v>1</v>
      </c>
      <c r="I95" t="str">
        <f>IF(FT!B95&lt;&gt;"",FT!E95,"")</f>
        <v>2 [37.883448]</v>
      </c>
      <c r="J95">
        <f>IF(FT!B95&lt;&gt;"",FT!C95,"")</f>
        <v>37.883400000000002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3.1312199999999999</v>
      </c>
      <c r="G96" s="61">
        <f>IF(FT!B96&lt;&gt;"",FT!B96*100,"")</f>
        <v>35.231899999999996</v>
      </c>
      <c r="H96" s="61">
        <f t="shared" si="9"/>
        <v>1</v>
      </c>
      <c r="I96" t="str">
        <f>IF(FT!B96&lt;&gt;"",FT!E96,"")</f>
        <v>2 [38.306219]</v>
      </c>
      <c r="J96">
        <f>IF(FT!B96&lt;&gt;"",FT!C96,"")</f>
        <v>38.306199999999997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3.1492399999999998</v>
      </c>
      <c r="G97" s="61">
        <f>IF(FT!B97&lt;&gt;"",FT!B97*100,"")</f>
        <v>35.216500000000003</v>
      </c>
      <c r="H97" s="61">
        <f t="shared" si="9"/>
        <v>1</v>
      </c>
      <c r="I97" t="str">
        <f>IF(FT!B97&lt;&gt;"",FT!E97,"")</f>
        <v>2 [38.690591]</v>
      </c>
      <c r="J97">
        <f>IF(FT!B97&lt;&gt;"",FT!C97,"")</f>
        <v>38.690600000000003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107978</v>
      </c>
      <c r="D98" s="61">
        <f>FH!B98*1</f>
        <v>107978</v>
      </c>
      <c r="E98">
        <f t="shared" si="11"/>
        <v>96</v>
      </c>
      <c r="F98" s="61">
        <f>IF(FT!A98&lt;&gt;"",FT!A98*10,"")</f>
        <v>3.16859</v>
      </c>
      <c r="G98" s="61">
        <f>IF(FT!B98&lt;&gt;"",FT!B98*100,"")</f>
        <v>35.195799999999998</v>
      </c>
      <c r="H98" s="61">
        <f t="shared" si="9"/>
        <v>1</v>
      </c>
      <c r="I98" t="str">
        <f>IF(FT!B98&lt;&gt;"",FT!E98,"")</f>
        <v>2 [39.113510]</v>
      </c>
      <c r="J98">
        <f>IF(FT!B98&lt;&gt;"",FT!C98,"")</f>
        <v>39.113500000000002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3.1887700000000003</v>
      </c>
      <c r="G99" s="61">
        <f>IF(FT!B99&lt;&gt;"",FT!B99*100,"")</f>
        <v>35.189300000000003</v>
      </c>
      <c r="H99" s="61">
        <f t="shared" si="9"/>
        <v>1</v>
      </c>
      <c r="I99" t="str">
        <f>IF(FT!B99&lt;&gt;"",FT!E99,"")</f>
        <v>2 [39.527014]</v>
      </c>
      <c r="J99">
        <f>IF(FT!B99&lt;&gt;"",FT!C99,"")</f>
        <v>39.527000000000001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94232</v>
      </c>
      <c r="D100" s="61">
        <f>FH!B100*1</f>
        <v>94232</v>
      </c>
      <c r="E100">
        <f t="shared" si="11"/>
        <v>98</v>
      </c>
      <c r="F100" s="61">
        <f>IF(FT!A100&lt;&gt;"",FT!A100*10,"")</f>
        <v>3.2058900000000001</v>
      </c>
      <c r="G100" s="61">
        <f>IF(FT!B100&lt;&gt;"",FT!B100*100,"")</f>
        <v>35.269099999999995</v>
      </c>
      <c r="H100" s="61">
        <f t="shared" si="9"/>
        <v>1</v>
      </c>
      <c r="I100" t="str">
        <f>IF(FT!B100&lt;&gt;"",FT!E100,"")</f>
        <v>2 [39.918999]</v>
      </c>
      <c r="J100">
        <f>IF(FT!B100&lt;&gt;"",FT!C100,"")</f>
        <v>39.918999999999997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3.2194499999999997</v>
      </c>
      <c r="G101" s="61">
        <f>IF(FT!B101&lt;&gt;"",FT!B101*100,"")</f>
        <v>35.396499999999996</v>
      </c>
      <c r="H101" s="61">
        <f t="shared" si="9"/>
        <v>1</v>
      </c>
      <c r="I101" t="str">
        <f>IF(FT!B101&lt;&gt;"",FT!E101,"")</f>
        <v>2 [40.334241]</v>
      </c>
      <c r="J101">
        <f>IF(FT!B101&lt;&gt;"",FT!C101,"")</f>
        <v>40.334200000000003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3.2306499999999998</v>
      </c>
      <c r="G102" s="61">
        <f>IF(FT!B102&lt;&gt;"",FT!B102*100,"")</f>
        <v>35.5899</v>
      </c>
      <c r="H102" s="61">
        <f t="shared" si="9"/>
        <v>1</v>
      </c>
      <c r="I102" t="str">
        <f>IF(FT!B102&lt;&gt;"",FT!E102,"")</f>
        <v>2 [40.737032]</v>
      </c>
      <c r="J102">
        <f>IF(FT!B102&lt;&gt;"",FT!C102,"")</f>
        <v>40.737000000000002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75759</v>
      </c>
      <c r="D103" s="61">
        <f>FH!B103*1</f>
        <v>75759</v>
      </c>
      <c r="E103">
        <f t="shared" si="11"/>
        <v>101</v>
      </c>
      <c r="F103" s="61">
        <f>IF(FT!A103&lt;&gt;"",FT!A103*10,"")</f>
        <v>3.2385199999999998</v>
      </c>
      <c r="G103" s="61">
        <f>IF(FT!B103&lt;&gt;"",FT!B103*100,"")</f>
        <v>35.844999999999999</v>
      </c>
      <c r="H103" s="61">
        <f t="shared" si="9"/>
        <v>1</v>
      </c>
      <c r="I103" t="str">
        <f>IF(FT!B103&lt;&gt;"",FT!E103,"")</f>
        <v>2 [41.147031]</v>
      </c>
      <c r="J103">
        <f>IF(FT!B103&lt;&gt;"",FT!C103,"")</f>
        <v>41.146999999999998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3.2419199999999999</v>
      </c>
      <c r="G104" s="61">
        <f>IF(FT!B104&lt;&gt;"",FT!B104*100,"")</f>
        <v>36.0884</v>
      </c>
      <c r="H104" s="61">
        <f t="shared" si="9"/>
        <v>1</v>
      </c>
      <c r="I104" t="str">
        <f>IF(FT!B104&lt;&gt;"",FT!E104,"")</f>
        <v>2 [41.543928]</v>
      </c>
      <c r="J104">
        <f>IF(FT!B104&lt;&gt;"",FT!C104,"")</f>
        <v>41.543900000000001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3.2471800000000002</v>
      </c>
      <c r="G105" s="61">
        <f>IF(FT!B105&lt;&gt;"",FT!B105*100,"")</f>
        <v>36.320500000000003</v>
      </c>
      <c r="H105" s="61">
        <f t="shared" si="9"/>
        <v>1</v>
      </c>
      <c r="I105" t="str">
        <f>IF(FT!B105&lt;&gt;"",FT!E105,"")</f>
        <v>2 [41.960696]</v>
      </c>
      <c r="J105">
        <f>IF(FT!B105&lt;&gt;"",FT!C105,"")</f>
        <v>41.960700000000003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66374</v>
      </c>
      <c r="D106" s="61">
        <f>FH!B106*1</f>
        <v>66374</v>
      </c>
      <c r="E106">
        <f t="shared" si="11"/>
        <v>104</v>
      </c>
      <c r="F106" s="61">
        <f>IF(FT!A106&lt;&gt;"",FT!A106*10,"")</f>
        <v>3.2519</v>
      </c>
      <c r="G106" s="61">
        <f>IF(FT!B106&lt;&gt;"",FT!B106*100,"")</f>
        <v>36.540700000000001</v>
      </c>
      <c r="H106" s="61">
        <f t="shared" si="9"/>
        <v>1</v>
      </c>
      <c r="I106" t="str">
        <f>IF(FT!B106&lt;&gt;"",FT!E106,"")</f>
        <v>2 [42.358904]</v>
      </c>
      <c r="J106">
        <f>IF(FT!B106&lt;&gt;"",FT!C106,"")</f>
        <v>42.358899999999998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3.2564599999999997</v>
      </c>
      <c r="G107" s="61">
        <f>IF(FT!B107&lt;&gt;"",FT!B107*100,"")</f>
        <v>36.727900000000005</v>
      </c>
      <c r="H107" s="61">
        <f t="shared" si="9"/>
        <v>1</v>
      </c>
      <c r="I107" t="str">
        <f>IF(FT!B107&lt;&gt;"",FT!E107,"")</f>
        <v>2 [42.771295]</v>
      </c>
      <c r="J107">
        <f>IF(FT!B107&lt;&gt;"",FT!C107,"")</f>
        <v>42.771299999999997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63528</v>
      </c>
      <c r="D108" s="61">
        <f>FH!B108*1</f>
        <v>63528</v>
      </c>
      <c r="E108">
        <f t="shared" si="11"/>
        <v>106</v>
      </c>
      <c r="F108" s="61">
        <f>IF(FT!A108&lt;&gt;"",FT!A108*10,"")</f>
        <v>3.2571899999999996</v>
      </c>
      <c r="G108" s="61">
        <f>IF(FT!B108&lt;&gt;"",FT!B108*100,"")</f>
        <v>36.912800000000004</v>
      </c>
      <c r="H108" s="61">
        <f t="shared" si="9"/>
        <v>1</v>
      </c>
      <c r="I108" t="str">
        <f>IF(FT!B108&lt;&gt;"",FT!E108,"")</f>
        <v>2 [43.179519]</v>
      </c>
      <c r="J108">
        <f>IF(FT!B108&lt;&gt;"",FT!C108,"")</f>
        <v>43.179499999999997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3.2521800000000001</v>
      </c>
      <c r="G109" s="61">
        <f>IF(FT!B109&lt;&gt;"",FT!B109*100,"")</f>
        <v>37.131799999999998</v>
      </c>
      <c r="H109" s="61">
        <f t="shared" si="9"/>
        <v>1</v>
      </c>
      <c r="I109" t="str">
        <f>IF(FT!B109&lt;&gt;"",FT!E109,"")</f>
        <v>2 [43.583726]</v>
      </c>
      <c r="J109">
        <f>IF(FT!B109&lt;&gt;"",FT!C109,"")</f>
        <v>43.5837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3.2432400000000001</v>
      </c>
      <c r="G110" s="61">
        <f>IF(FT!B110&lt;&gt;"",FT!B110*100,"")</f>
        <v>37.375300000000003</v>
      </c>
      <c r="H110" s="61">
        <f t="shared" si="9"/>
        <v>1</v>
      </c>
      <c r="I110" t="str">
        <f>IF(FT!B110&lt;&gt;"",FT!E110,"")</f>
        <v>2 [43.967410]</v>
      </c>
      <c r="J110">
        <f>IF(FT!B110&lt;&gt;"",FT!C110,"")</f>
        <v>43.967399999999998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55428</v>
      </c>
      <c r="D111" s="61">
        <f>FH!B111*1</f>
        <v>55428</v>
      </c>
      <c r="E111">
        <f t="shared" si="11"/>
        <v>109</v>
      </c>
      <c r="F111" s="61">
        <f>IF(FT!A111&lt;&gt;"",FT!A111*10,"")</f>
        <v>3.23583</v>
      </c>
      <c r="G111" s="61">
        <f>IF(FT!B111&lt;&gt;"",FT!B111*100,"")</f>
        <v>37.568600000000004</v>
      </c>
      <c r="H111" s="61">
        <f t="shared" si="9"/>
        <v>1</v>
      </c>
      <c r="I111" t="str">
        <f>IF(FT!B111&lt;&gt;"",FT!E111,"")</f>
        <v>2 [44.394057]</v>
      </c>
      <c r="J111">
        <f>IF(FT!B111&lt;&gt;"",FT!C111,"")</f>
        <v>44.394100000000002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3.2267000000000001</v>
      </c>
      <c r="G112" s="61">
        <f>IF(FT!B112&lt;&gt;"",FT!B112*100,"")</f>
        <v>37.718600000000002</v>
      </c>
      <c r="H112" s="61">
        <f t="shared" si="9"/>
        <v>1</v>
      </c>
      <c r="I112" t="str">
        <f>IF(FT!B112&lt;&gt;"",FT!E112,"")</f>
        <v>2 [44.798924]</v>
      </c>
      <c r="J112">
        <f>IF(FT!B112&lt;&gt;"",FT!C112,"")</f>
        <v>44.798900000000003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50242</v>
      </c>
      <c r="D113" s="61">
        <f>FH!B113*1</f>
        <v>50242</v>
      </c>
      <c r="E113">
        <f t="shared" si="11"/>
        <v>111</v>
      </c>
      <c r="F113" s="61">
        <f>IF(FT!A113&lt;&gt;"",FT!A113*10,"")</f>
        <v>3.2159</v>
      </c>
      <c r="G113" s="61">
        <f>IF(FT!B113&lt;&gt;"",FT!B113*100,"")</f>
        <v>37.853300000000004</v>
      </c>
      <c r="H113" s="61">
        <f t="shared" si="9"/>
        <v>1</v>
      </c>
      <c r="I113" t="str">
        <f>IF(FT!B113&lt;&gt;"",FT!E113,"")</f>
        <v>2 [45.202337]</v>
      </c>
      <c r="J113">
        <f>IF(FT!B113&lt;&gt;"",FT!C113,"")</f>
        <v>45.202300000000001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3.2064199999999996</v>
      </c>
      <c r="G114" s="61">
        <f>IF(FT!B114&lt;&gt;"",FT!B114*100,"")</f>
        <v>37.988999999999997</v>
      </c>
      <c r="H114" s="61">
        <f t="shared" si="9"/>
        <v>1</v>
      </c>
      <c r="I114" t="str">
        <f>IF(FT!B114&lt;&gt;"",FT!E114,"")</f>
        <v>2 [45.606284]</v>
      </c>
      <c r="J114">
        <f>IF(FT!B114&lt;&gt;"",FT!C114,"")</f>
        <v>45.606299999999997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3.1962700000000002</v>
      </c>
      <c r="G115" s="61">
        <f>IF(FT!B115&lt;&gt;"",FT!B115*100,"")</f>
        <v>38.158299999999997</v>
      </c>
      <c r="H115" s="61">
        <f t="shared" si="9"/>
        <v>1</v>
      </c>
      <c r="I115" t="str">
        <f>IF(FT!B115&lt;&gt;"",FT!E115,"")</f>
        <v>2 [46.015287]</v>
      </c>
      <c r="J115">
        <f>IF(FT!B115&lt;&gt;"",FT!C115,"")</f>
        <v>46.015300000000003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51361</v>
      </c>
      <c r="D116" s="61">
        <f>FH!B116*1</f>
        <v>51361</v>
      </c>
      <c r="E116">
        <f t="shared" si="11"/>
        <v>114</v>
      </c>
      <c r="F116" s="61">
        <f>IF(FT!A116&lt;&gt;"",FT!A116*10,"")</f>
        <v>3.1844600000000001</v>
      </c>
      <c r="G116" s="61">
        <f>IF(FT!B116&lt;&gt;"",FT!B116*100,"")</f>
        <v>38.343400000000003</v>
      </c>
      <c r="H116" s="61">
        <f t="shared" si="9"/>
        <v>1</v>
      </c>
      <c r="I116" t="str">
        <f>IF(FT!B116&lt;&gt;"",FT!E116,"")</f>
        <v>2 [46.431896]</v>
      </c>
      <c r="J116">
        <f>IF(FT!B116&lt;&gt;"",FT!C116,"")</f>
        <v>46.431899999999999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3.1744599999999998</v>
      </c>
      <c r="G117" s="61">
        <f>IF(FT!B117&lt;&gt;"",FT!B117*100,"")</f>
        <v>38.500799999999998</v>
      </c>
      <c r="H117" s="61">
        <f t="shared" si="9"/>
        <v>1</v>
      </c>
      <c r="I117" t="str">
        <f>IF(FT!B117&lt;&gt;"",FT!E117,"")</f>
        <v>2 [46.819322]</v>
      </c>
      <c r="J117">
        <f>IF(FT!B117&lt;&gt;"",FT!C117,"")</f>
        <v>46.819299999999998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46714</v>
      </c>
      <c r="D118" s="61">
        <f>FH!B118*1</f>
        <v>46714</v>
      </c>
      <c r="E118">
        <f t="shared" si="11"/>
        <v>116</v>
      </c>
      <c r="F118" s="61">
        <f>IF(FT!A118&lt;&gt;"",FT!A118*10,"")</f>
        <v>3.1688899999999998</v>
      </c>
      <c r="G118" s="61">
        <f>IF(FT!B118&lt;&gt;"",FT!B118*100,"")</f>
        <v>38.5959</v>
      </c>
      <c r="H118" s="61">
        <f t="shared" si="9"/>
        <v>1</v>
      </c>
      <c r="I118" t="str">
        <f>IF(FT!B118&lt;&gt;"",FT!E118,"")</f>
        <v>2 [47.232950]</v>
      </c>
      <c r="J118">
        <f>IF(FT!B118&lt;&gt;"",FT!C118,"")</f>
        <v>47.232900000000001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3.1640200000000003</v>
      </c>
      <c r="G119" s="61">
        <f>IF(FT!B119&lt;&gt;"",FT!B119*100,"")</f>
        <v>38.649899999999995</v>
      </c>
      <c r="H119" s="61">
        <f t="shared" si="9"/>
        <v>1</v>
      </c>
      <c r="I119" t="str">
        <f>IF(FT!B119&lt;&gt;"",FT!E119,"")</f>
        <v>2 [47.629055]</v>
      </c>
      <c r="J119">
        <f>IF(FT!B119&lt;&gt;"",FT!C119,"")</f>
        <v>47.629100000000001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3.15787</v>
      </c>
      <c r="G120" s="61">
        <f>IF(FT!B120&lt;&gt;"",FT!B120*100,"")</f>
        <v>38.6554</v>
      </c>
      <c r="H120" s="61">
        <f t="shared" si="9"/>
        <v>1</v>
      </c>
      <c r="I120" t="str">
        <f>IF(FT!B120&lt;&gt;"",FT!E120,"")</f>
        <v>2 [48.052827]</v>
      </c>
      <c r="J120">
        <f>IF(FT!B120&lt;&gt;"",FT!C120,"")</f>
        <v>48.052799999999998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47062</v>
      </c>
      <c r="D121" s="61">
        <f>FH!B121*1</f>
        <v>47062</v>
      </c>
      <c r="E121">
        <f t="shared" si="11"/>
        <v>119</v>
      </c>
      <c r="F121" s="61">
        <f>IF(FT!A121&lt;&gt;"",FT!A121*10,"")</f>
        <v>3.1497900000000003</v>
      </c>
      <c r="G121" s="61">
        <f>IF(FT!B121&lt;&gt;"",FT!B121*100,"")</f>
        <v>38.692700000000002</v>
      </c>
      <c r="H121" s="61">
        <f t="shared" si="9"/>
        <v>1</v>
      </c>
      <c r="I121" t="str">
        <f>IF(FT!B121&lt;&gt;"",FT!E121,"")</f>
        <v>2 [48.454783]</v>
      </c>
      <c r="J121">
        <f>IF(FT!B121&lt;&gt;"",FT!C121,"")</f>
        <v>48.454799999999999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3.1424600000000003</v>
      </c>
      <c r="G122" s="61">
        <f>IF(FT!B122&lt;&gt;"",FT!B122*100,"")</f>
        <v>38.757200000000005</v>
      </c>
      <c r="H122" s="61">
        <f t="shared" si="9"/>
        <v>1</v>
      </c>
      <c r="I122" t="str">
        <f>IF(FT!B122&lt;&gt;"",FT!E122,"")</f>
        <v>2 [48.848283]</v>
      </c>
      <c r="J122">
        <f>IF(FT!B122&lt;&gt;"",FT!C122,"")</f>
        <v>48.848300000000002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3.1330299999999998</v>
      </c>
      <c r="G123" s="61">
        <f>IF(FT!B123&lt;&gt;"",FT!B123*100,"")</f>
        <v>38.867100000000001</v>
      </c>
      <c r="H123" s="61">
        <f t="shared" si="9"/>
        <v>1</v>
      </c>
      <c r="I123" t="str">
        <f>IF(FT!B123&lt;&gt;"",FT!E123,"")</f>
        <v>2 [49.248975]</v>
      </c>
      <c r="J123">
        <f>IF(FT!B123&lt;&gt;"",FT!C123,"")</f>
        <v>49.249000000000002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43483</v>
      </c>
      <c r="D124" s="61">
        <f>FH!B124*1</f>
        <v>43483</v>
      </c>
      <c r="E124">
        <f t="shared" si="11"/>
        <v>122</v>
      </c>
      <c r="F124" s="61">
        <f>IF(FT!A124&lt;&gt;"",FT!A124*10,"")</f>
        <v>3.1217499999999996</v>
      </c>
      <c r="G124" s="61">
        <f>IF(FT!B124&lt;&gt;"",FT!B124*100,"")</f>
        <v>39.025300000000001</v>
      </c>
      <c r="H124" s="61">
        <f t="shared" si="9"/>
        <v>1</v>
      </c>
      <c r="I124" t="str">
        <f>IF(FT!B124&lt;&gt;"",FT!E124,"")</f>
        <v>2 [49.664688]</v>
      </c>
      <c r="J124">
        <f>IF(FT!B124&lt;&gt;"",FT!C124,"")</f>
        <v>49.664700000000003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3.1107100000000001</v>
      </c>
      <c r="G125" s="61">
        <f>IF(FT!B125&lt;&gt;"",FT!B125*100,"")</f>
        <v>39.168399999999998</v>
      </c>
      <c r="H125" s="61">
        <f t="shared" si="9"/>
        <v>1</v>
      </c>
      <c r="I125" t="str">
        <f>IF(FT!B125&lt;&gt;"",FT!E125,"")</f>
        <v>2 [50.084552]</v>
      </c>
      <c r="J125">
        <f>IF(FT!B125&lt;&gt;"",FT!C125,"")</f>
        <v>50.084600000000002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38466</v>
      </c>
      <c r="D126" s="61">
        <f>FH!B126*1</f>
        <v>38466</v>
      </c>
      <c r="E126">
        <f t="shared" si="11"/>
        <v>124</v>
      </c>
      <c r="F126" s="61">
        <f>IF(FT!A126&lt;&gt;"",FT!A126*10,"")</f>
        <v>3.1016399999999997</v>
      </c>
      <c r="G126" s="61">
        <f>IF(FT!B126&lt;&gt;"",FT!B126*100,"")</f>
        <v>39.312399999999997</v>
      </c>
      <c r="H126" s="61">
        <f t="shared" si="9"/>
        <v>1</v>
      </c>
      <c r="I126" t="str">
        <f>IF(FT!B126&lt;&gt;"",FT!E126,"")</f>
        <v>2 [50.483368]</v>
      </c>
      <c r="J126">
        <f>IF(FT!B126&lt;&gt;"",FT!C126,"")</f>
        <v>50.483400000000003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3.0933699999999997</v>
      </c>
      <c r="G127" s="61">
        <f>IF(FT!B127&lt;&gt;"",FT!B127*100,"")</f>
        <v>39.389400000000002</v>
      </c>
      <c r="H127" s="61">
        <f t="shared" si="9"/>
        <v>1</v>
      </c>
      <c r="I127" t="str">
        <f>IF(FT!B127&lt;&gt;"",FT!E127,"")</f>
        <v>2 [50.898860]</v>
      </c>
      <c r="J127">
        <f>IF(FT!B127&lt;&gt;"",FT!C127,"")</f>
        <v>50.898899999999998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3.0863100000000001</v>
      </c>
      <c r="G128" s="61">
        <f>IF(FT!B128&lt;&gt;"",FT!B128*100,"")</f>
        <v>39.417499999999997</v>
      </c>
      <c r="H128" s="61">
        <f t="shared" si="9"/>
        <v>1</v>
      </c>
      <c r="I128" t="str">
        <f>IF(FT!B128&lt;&gt;"",FT!E128,"")</f>
        <v>2 [51.302743]</v>
      </c>
      <c r="J128">
        <f>IF(FT!B128&lt;&gt;"",FT!C128,"")</f>
        <v>51.302700000000002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36135</v>
      </c>
      <c r="D129" s="61">
        <f>FH!B129*1</f>
        <v>36135</v>
      </c>
      <c r="E129">
        <f t="shared" si="11"/>
        <v>127</v>
      </c>
      <c r="F129" s="61">
        <f>IF(FT!A129&lt;&gt;"",FT!A129*10,"")</f>
        <v>3.0823299999999998</v>
      </c>
      <c r="G129" s="61">
        <f>IF(FT!B129&lt;&gt;"",FT!B129*100,"")</f>
        <v>39.395599999999995</v>
      </c>
      <c r="H129" s="61">
        <f t="shared" si="9"/>
        <v>1</v>
      </c>
      <c r="I129" t="str">
        <f>IF(FT!B129&lt;&gt;"",FT!E129,"")</f>
        <v>2 [51.711421]</v>
      </c>
      <c r="J129">
        <f>IF(FT!B129&lt;&gt;"",FT!C129,"")</f>
        <v>51.711399999999998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3.07361</v>
      </c>
      <c r="G130" s="61">
        <f>IF(FT!B130&lt;&gt;"",FT!B130*100,"")</f>
        <v>39.390700000000002</v>
      </c>
      <c r="H130" s="61">
        <f t="shared" si="9"/>
        <v>1</v>
      </c>
      <c r="I130" t="str">
        <f>IF(FT!B130&lt;&gt;"",FT!E130,"")</f>
        <v>2 [52.110652]</v>
      </c>
      <c r="J130">
        <f>IF(FT!B130&lt;&gt;"",FT!C130,"")</f>
        <v>52.110700000000001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32053</v>
      </c>
      <c r="D131" s="61">
        <f>FH!B131*1</f>
        <v>32053</v>
      </c>
      <c r="E131">
        <f t="shared" si="11"/>
        <v>129</v>
      </c>
      <c r="F131" s="61">
        <f>IF(FT!A131&lt;&gt;"",FT!A131*10,"")</f>
        <v>3.06325</v>
      </c>
      <c r="G131" s="61">
        <f>IF(FT!B131&lt;&gt;"",FT!B131*100,"")</f>
        <v>39.399699999999996</v>
      </c>
      <c r="H131" s="61">
        <f t="shared" ref="H131:H194" si="13">(IF(F131&lt;&gt;"",1,""))</f>
        <v>1</v>
      </c>
      <c r="I131" t="str">
        <f>IF(FT!B131&lt;&gt;"",FT!E131,"")</f>
        <v>2 [52.511025]</v>
      </c>
      <c r="J131">
        <f>IF(FT!B131&lt;&gt;"",FT!C131,"")</f>
        <v>52.511000000000003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3.0515500000000002</v>
      </c>
      <c r="G132" s="61">
        <f>IF(FT!B132&lt;&gt;"",FT!B132*100,"")</f>
        <v>39.440300000000001</v>
      </c>
      <c r="H132" s="61">
        <f t="shared" si="13"/>
        <v>1</v>
      </c>
      <c r="I132" t="str">
        <f>IF(FT!B132&lt;&gt;"",FT!E132,"")</f>
        <v>2 [52.925802]</v>
      </c>
      <c r="J132">
        <f>IF(FT!B132&lt;&gt;"",FT!C132,"")</f>
        <v>52.925800000000002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3.0444100000000001</v>
      </c>
      <c r="G133" s="61">
        <f>IF(FT!B133&lt;&gt;"",FT!B133*100,"")</f>
        <v>39.405200000000001</v>
      </c>
      <c r="H133" s="61">
        <f t="shared" si="13"/>
        <v>1</v>
      </c>
      <c r="I133" t="str">
        <f>IF(FT!B133&lt;&gt;"",FT!E133,"")</f>
        <v>2 [53.334255]</v>
      </c>
      <c r="J133">
        <f>IF(FT!B133&lt;&gt;"",FT!C133,"")</f>
        <v>53.334299999999999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32030</v>
      </c>
      <c r="D134" s="61">
        <f>FH!B134*1</f>
        <v>32030</v>
      </c>
      <c r="E134">
        <f t="shared" si="15"/>
        <v>132</v>
      </c>
      <c r="F134" s="61">
        <f>IF(FT!A134&lt;&gt;"",FT!A134*10,"")</f>
        <v>3.0420999999999996</v>
      </c>
      <c r="G134" s="61">
        <f>IF(FT!B134&lt;&gt;"",FT!B134*100,"")</f>
        <v>39.300699999999999</v>
      </c>
      <c r="H134" s="61">
        <f t="shared" si="13"/>
        <v>1</v>
      </c>
      <c r="I134" t="str">
        <f>IF(FT!B134&lt;&gt;"",FT!E134,"")</f>
        <v>2 [53.735812]</v>
      </c>
      <c r="J134">
        <f>IF(FT!B134&lt;&gt;"",FT!C134,"")</f>
        <v>53.735799999999998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3.0395699999999999</v>
      </c>
      <c r="G135" s="61">
        <f>IF(FT!B135&lt;&gt;"",FT!B135*100,"")</f>
        <v>39.205199999999998</v>
      </c>
      <c r="H135" s="61">
        <f t="shared" si="13"/>
        <v>1</v>
      </c>
      <c r="I135" t="str">
        <f>IF(FT!B135&lt;&gt;"",FT!E135,"")</f>
        <v>2 [54.144132]</v>
      </c>
      <c r="J135">
        <f>IF(FT!B135&lt;&gt;"",FT!C135,"")</f>
        <v>54.144100000000002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26668</v>
      </c>
      <c r="D136" s="61">
        <f>FH!B136*1</f>
        <v>26668</v>
      </c>
      <c r="E136">
        <f t="shared" si="15"/>
        <v>134</v>
      </c>
      <c r="F136" s="61">
        <f>IF(FT!A136&lt;&gt;"",FT!A136*10,"")</f>
        <v>3.0355799999999999</v>
      </c>
      <c r="G136" s="61">
        <f>IF(FT!B136&lt;&gt;"",FT!B136*100,"")</f>
        <v>39.171700000000001</v>
      </c>
      <c r="H136" s="61">
        <f t="shared" si="13"/>
        <v>1</v>
      </c>
      <c r="I136" t="str">
        <f>IF(FT!B136&lt;&gt;"",FT!E136,"")</f>
        <v>2 [54.547038]</v>
      </c>
      <c r="J136">
        <f>IF(FT!B136&lt;&gt;"",FT!C136,"")</f>
        <v>54.546999999999997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3.0365500000000001</v>
      </c>
      <c r="G137" s="61">
        <f>IF(FT!B137&lt;&gt;"",FT!B137*100,"")</f>
        <v>39.124199999999995</v>
      </c>
      <c r="H137" s="61">
        <f t="shared" si="13"/>
        <v>1</v>
      </c>
      <c r="I137" t="str">
        <f>IF(FT!B137&lt;&gt;"",FT!E137,"")</f>
        <v>2 [54.945103]</v>
      </c>
      <c r="J137">
        <f>IF(FT!B137&lt;&gt;"",FT!C137,"")</f>
        <v>54.945099999999996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3.0435400000000001</v>
      </c>
      <c r="G138" s="61">
        <f>IF(FT!B138&lt;&gt;"",FT!B138*100,"")</f>
        <v>39.047199999999997</v>
      </c>
      <c r="H138" s="61">
        <f t="shared" si="13"/>
        <v>1</v>
      </c>
      <c r="I138" t="str">
        <f>IF(FT!B138&lt;&gt;"",FT!E138,"")</f>
        <v>2 [55.366498]</v>
      </c>
      <c r="J138">
        <f>IF(FT!B138&lt;&gt;"",FT!C138,"")</f>
        <v>55.366500000000002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23989</v>
      </c>
      <c r="D139" s="61">
        <f>FH!B139*1</f>
        <v>23989</v>
      </c>
      <c r="E139">
        <f t="shared" si="15"/>
        <v>137</v>
      </c>
      <c r="F139" s="61">
        <f>IF(FT!A139&lt;&gt;"",FT!A139*10,"")</f>
        <v>3.0482500000000003</v>
      </c>
      <c r="G139" s="61">
        <f>IF(FT!B139&lt;&gt;"",FT!B139*100,"")</f>
        <v>38.951500000000003</v>
      </c>
      <c r="H139" s="61">
        <f t="shared" si="13"/>
        <v>1</v>
      </c>
      <c r="I139" t="str">
        <f>IF(FT!B139&lt;&gt;"",FT!E139,"")</f>
        <v>2 [55.766587]</v>
      </c>
      <c r="J139">
        <f>IF(FT!B139&lt;&gt;"",FT!C139,"")</f>
        <v>55.766599999999997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3.0548199999999999</v>
      </c>
      <c r="G140" s="61">
        <f>IF(FT!B140&lt;&gt;"",FT!B140*100,"")</f>
        <v>38.769799999999996</v>
      </c>
      <c r="H140" s="61">
        <f t="shared" si="13"/>
        <v>1</v>
      </c>
      <c r="I140" t="str">
        <f>IF(FT!B140&lt;&gt;"",FT!E140,"")</f>
        <v>2 [56.170083]</v>
      </c>
      <c r="J140">
        <f>IF(FT!B140&lt;&gt;"",FT!C140,"")</f>
        <v>56.170099999999998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3.06697</v>
      </c>
      <c r="G141" s="61">
        <f>IF(FT!B141&lt;&gt;"",FT!B141*100,"")</f>
        <v>38.502399999999994</v>
      </c>
      <c r="H141" s="61">
        <f t="shared" si="13"/>
        <v>1</v>
      </c>
      <c r="I141" t="str">
        <f>IF(FT!B141&lt;&gt;"",FT!E141,"")</f>
        <v>2 [56.569676]</v>
      </c>
      <c r="J141">
        <f>IF(FT!B141&lt;&gt;"",FT!C141,"")</f>
        <v>56.569699999999997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21854</v>
      </c>
      <c r="D142" s="61">
        <f>FH!B142*1</f>
        <v>21854</v>
      </c>
      <c r="E142">
        <f t="shared" si="15"/>
        <v>140</v>
      </c>
      <c r="F142" s="61">
        <f>IF(FT!A142&lt;&gt;"",FT!A142*10,"")</f>
        <v>3.08006</v>
      </c>
      <c r="G142" s="61">
        <f>IF(FT!B142&lt;&gt;"",FT!B142*100,"")</f>
        <v>38.192599999999999</v>
      </c>
      <c r="H142" s="61">
        <f t="shared" si="13"/>
        <v>1</v>
      </c>
      <c r="I142" t="str">
        <f>IF(FT!B142&lt;&gt;"",FT!E142,"")</f>
        <v>2 [56.970166]</v>
      </c>
      <c r="J142">
        <f>IF(FT!B142&lt;&gt;"",FT!C142,"")</f>
        <v>56.970199999999998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3.0882500000000004</v>
      </c>
      <c r="G143" s="61">
        <f>IF(FT!B143&lt;&gt;"",FT!B143*100,"")</f>
        <v>37.897799999999997</v>
      </c>
      <c r="H143" s="61">
        <f t="shared" si="13"/>
        <v>1</v>
      </c>
      <c r="I143" t="str">
        <f>IF(FT!B143&lt;&gt;"",FT!E143,"")</f>
        <v>2 [57.397200]</v>
      </c>
      <c r="J143">
        <f>IF(FT!B143&lt;&gt;"",FT!C143,"")</f>
        <v>57.397199999999998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21103</v>
      </c>
      <c r="D144" s="61">
        <f>FH!B144*1</f>
        <v>21103</v>
      </c>
      <c r="E144">
        <f t="shared" si="15"/>
        <v>142</v>
      </c>
      <c r="F144" s="61">
        <f>IF(FT!A144&lt;&gt;"",FT!A144*10,"")</f>
        <v>3.1011800000000003</v>
      </c>
      <c r="G144" s="61">
        <f>IF(FT!B144&lt;&gt;"",FT!B144*100,"")</f>
        <v>37.648499999999999</v>
      </c>
      <c r="H144" s="61">
        <f t="shared" si="13"/>
        <v>1</v>
      </c>
      <c r="I144" t="str">
        <f>IF(FT!B144&lt;&gt;"",FT!E144,"")</f>
        <v>2 [57.802088]</v>
      </c>
      <c r="J144">
        <f>IF(FT!B144&lt;&gt;"",FT!C144,"")</f>
        <v>57.802100000000003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3.1126800000000001</v>
      </c>
      <c r="G145" s="61">
        <f>IF(FT!B145&lt;&gt;"",FT!B145*100,"")</f>
        <v>37.628499999999995</v>
      </c>
      <c r="H145" s="61">
        <f t="shared" si="13"/>
        <v>1</v>
      </c>
      <c r="I145" t="str">
        <f>IF(FT!B145&lt;&gt;"",FT!E145,"")</f>
        <v>2 [58.187122]</v>
      </c>
      <c r="J145">
        <f>IF(FT!B145&lt;&gt;"",FT!C145,"")</f>
        <v>58.187100000000001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3.1185800000000001</v>
      </c>
      <c r="G146" s="61">
        <f>IF(FT!B146&lt;&gt;"",FT!B146*100,"")</f>
        <v>37.658700000000003</v>
      </c>
      <c r="H146" s="61">
        <f t="shared" si="13"/>
        <v>1</v>
      </c>
      <c r="I146" t="str">
        <f>IF(FT!B146&lt;&gt;"",FT!E146,"")</f>
        <v>2 [58.598710]</v>
      </c>
      <c r="J146">
        <f>IF(FT!B146&lt;&gt;"",FT!C146,"")</f>
        <v>58.598700000000001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16724</v>
      </c>
      <c r="D147" s="61">
        <f>FH!B147*1</f>
        <v>16724</v>
      </c>
      <c r="E147">
        <f t="shared" si="15"/>
        <v>145</v>
      </c>
      <c r="F147" s="61">
        <f>IF(FT!A147&lt;&gt;"",FT!A147*10,"")</f>
        <v>3.1234999999999999</v>
      </c>
      <c r="G147" s="61">
        <f>IF(FT!B147&lt;&gt;"",FT!B147*100,"")</f>
        <v>37.614999999999995</v>
      </c>
      <c r="H147" s="61">
        <f t="shared" si="13"/>
        <v>1</v>
      </c>
      <c r="I147" t="str">
        <f>IF(FT!B147&lt;&gt;"",FT!E147,"")</f>
        <v>2 [58.996941]</v>
      </c>
      <c r="J147">
        <f>IF(FT!B147&lt;&gt;"",FT!C147,"")</f>
        <v>58.996899999999997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3.1217199999999998</v>
      </c>
      <c r="G148" s="61">
        <f>IF(FT!B148&lt;&gt;"",FT!B148*100,"")</f>
        <v>37.763500000000001</v>
      </c>
      <c r="H148" s="61">
        <f t="shared" si="13"/>
        <v>1</v>
      </c>
      <c r="I148" t="str">
        <f>IF(FT!B148&lt;&gt;"",FT!E148,"")</f>
        <v>2 [59.408713]</v>
      </c>
      <c r="J148">
        <f>IF(FT!B148&lt;&gt;"",FT!C148,"")</f>
        <v>59.408700000000003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12001</v>
      </c>
      <c r="D149" s="61">
        <f>FH!B149*1</f>
        <v>12001</v>
      </c>
      <c r="E149">
        <f t="shared" si="15"/>
        <v>147</v>
      </c>
      <c r="F149" s="61">
        <f>IF(FT!A149&lt;&gt;"",FT!A149*10,"")</f>
        <v>3.0989399999999998</v>
      </c>
      <c r="G149" s="61">
        <f>IF(FT!B149&lt;&gt;"",FT!B149*100,"")</f>
        <v>38.191000000000003</v>
      </c>
      <c r="H149" s="61">
        <f t="shared" si="13"/>
        <v>1</v>
      </c>
      <c r="I149" t="str">
        <f>IF(FT!B149&lt;&gt;"",FT!E149,"")</f>
        <v>2 [59.823008]</v>
      </c>
      <c r="J149">
        <f>IF(FT!B149&lt;&gt;"",FT!C149,"")</f>
        <v>59.823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11853</v>
      </c>
      <c r="D152" s="61">
        <f>FH!B152*1</f>
        <v>11853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8738</v>
      </c>
      <c r="D154" s="61">
        <f>FH!B154*1</f>
        <v>8738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6633</v>
      </c>
      <c r="D157" s="61">
        <f>FH!B157*1</f>
        <v>6633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5903</v>
      </c>
      <c r="D160" s="61">
        <f>FH!B160*1</f>
        <v>5903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5043</v>
      </c>
      <c r="D162" s="61">
        <f>FH!B162*1</f>
        <v>5043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4814</v>
      </c>
      <c r="D165" s="61">
        <f>FH!B165*1</f>
        <v>4814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2749</v>
      </c>
      <c r="D167" s="61">
        <f>FH!B167*1</f>
        <v>2749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876</v>
      </c>
      <c r="D170" s="61">
        <f>FH!B170*1</f>
        <v>876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696</v>
      </c>
      <c r="D173" s="61">
        <f>FH!B173*1</f>
        <v>696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1354</v>
      </c>
      <c r="D175" s="61">
        <f>FH!B175*1</f>
        <v>1354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902</v>
      </c>
      <c r="D178" s="61">
        <f>FH!B178*1</f>
        <v>902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424</v>
      </c>
      <c r="D180" s="61">
        <f>FH!B180*1</f>
        <v>424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32.543599999999998</v>
      </c>
      <c r="C5" s="66">
        <v>8.2092200000000002</v>
      </c>
      <c r="D5" s="66">
        <v>25.225300000000001</v>
      </c>
      <c r="E5" s="66">
        <v>20</v>
      </c>
      <c r="F5" s="66">
        <v>6.8628999999999998</v>
      </c>
      <c r="G5" s="66">
        <v>50</v>
      </c>
      <c r="H5" s="66">
        <v>44.061399999999999</v>
      </c>
    </row>
    <row r="6" spans="1:8">
      <c r="A6" s="58" t="s">
        <v>303</v>
      </c>
      <c r="B6" s="66">
        <v>32.947099999999999</v>
      </c>
      <c r="C6" s="66">
        <v>3.0114899999999998</v>
      </c>
      <c r="D6" s="66">
        <v>9.1403700000000008</v>
      </c>
      <c r="E6" s="66">
        <v>20</v>
      </c>
      <c r="F6" s="66">
        <v>26.496200000000002</v>
      </c>
      <c r="G6" s="66">
        <v>40</v>
      </c>
      <c r="H6" s="66">
        <v>37.733400000000003</v>
      </c>
    </row>
    <row r="7" spans="1:8">
      <c r="A7" s="58" t="s">
        <v>304</v>
      </c>
      <c r="B7" s="66">
        <v>33.648200000000003</v>
      </c>
      <c r="C7" s="66">
        <v>7.4934000000000003</v>
      </c>
      <c r="D7" s="66">
        <v>22.2698</v>
      </c>
      <c r="E7" s="66">
        <v>15</v>
      </c>
      <c r="F7" s="66">
        <v>9.8352199999999996</v>
      </c>
      <c r="G7" s="66">
        <v>40</v>
      </c>
      <c r="H7" s="66">
        <v>50.526400000000002</v>
      </c>
    </row>
    <row r="8" spans="1:8">
      <c r="A8" s="58" t="s">
        <v>305</v>
      </c>
      <c r="B8" s="66">
        <v>34.010899999999999</v>
      </c>
      <c r="C8" s="66">
        <v>4.8026</v>
      </c>
      <c r="D8" s="66">
        <v>14.120799999999999</v>
      </c>
      <c r="E8" s="66">
        <v>20</v>
      </c>
      <c r="F8" s="66">
        <v>20.782900000000001</v>
      </c>
      <c r="G8" s="66">
        <v>50</v>
      </c>
      <c r="H8" s="66">
        <v>39.480699999999999</v>
      </c>
    </row>
    <row r="9" spans="1:8">
      <c r="A9" s="58" t="s">
        <v>306</v>
      </c>
      <c r="B9" s="66">
        <v>67.492699999999999</v>
      </c>
      <c r="C9" s="66">
        <v>6.0837199999999996</v>
      </c>
      <c r="D9" s="66">
        <v>9.0138800000000003</v>
      </c>
      <c r="E9" s="66">
        <v>50</v>
      </c>
      <c r="F9" s="66">
        <v>53.909100000000002</v>
      </c>
      <c r="G9" s="66">
        <v>100</v>
      </c>
      <c r="H9" s="66">
        <v>93.196700000000007</v>
      </c>
    </row>
    <row r="10" spans="1:8">
      <c r="A10" s="58" t="s">
        <v>307</v>
      </c>
      <c r="B10" s="66">
        <v>72.017600000000002</v>
      </c>
      <c r="C10" s="66">
        <v>3.01816</v>
      </c>
      <c r="D10" s="66">
        <v>4.1908700000000003</v>
      </c>
      <c r="E10" s="66">
        <v>40</v>
      </c>
      <c r="F10" s="66">
        <v>63.7804</v>
      </c>
      <c r="G10" s="66">
        <v>100</v>
      </c>
      <c r="H10" s="66">
        <v>77.010000000000005</v>
      </c>
    </row>
    <row r="11" spans="1:8">
      <c r="A11" s="58" t="s">
        <v>308</v>
      </c>
      <c r="B11" s="66">
        <v>15.1601</v>
      </c>
      <c r="C11" s="66">
        <v>3.6652200000000001</v>
      </c>
      <c r="D11" s="66">
        <v>24.1768</v>
      </c>
      <c r="E11" s="66">
        <v>10</v>
      </c>
      <c r="F11" s="66">
        <v>3.65394</v>
      </c>
      <c r="G11" s="66">
        <v>50</v>
      </c>
      <c r="H11" s="66">
        <v>21.095300000000002</v>
      </c>
    </row>
    <row r="12" spans="1:8">
      <c r="A12" s="58" t="s">
        <v>309</v>
      </c>
      <c r="B12" s="66">
        <v>69.287199999999999</v>
      </c>
      <c r="C12" s="66">
        <v>3.3077899999999998</v>
      </c>
      <c r="D12" s="66">
        <v>4.7740299999999998</v>
      </c>
      <c r="E12" s="66">
        <v>50</v>
      </c>
      <c r="F12" s="66">
        <v>61.145499999999998</v>
      </c>
      <c r="G12" s="66">
        <v>100</v>
      </c>
      <c r="H12" s="66">
        <v>79.690700000000007</v>
      </c>
    </row>
    <row r="13" spans="1:8">
      <c r="A13" s="58" t="s">
        <v>310</v>
      </c>
      <c r="B13" s="66">
        <v>15.728899999999999</v>
      </c>
      <c r="C13" s="66">
        <v>1.9638500000000001</v>
      </c>
      <c r="D13" s="66">
        <v>12.4856</v>
      </c>
      <c r="E13" s="66">
        <v>10</v>
      </c>
      <c r="F13" s="66">
        <v>12.123699999999999</v>
      </c>
      <c r="G13" s="66">
        <v>25</v>
      </c>
      <c r="H13" s="66">
        <v>21.4145</v>
      </c>
    </row>
    <row r="14" spans="1:8">
      <c r="A14" s="58" t="s">
        <v>311</v>
      </c>
      <c r="B14" s="66">
        <v>19.638500000000001</v>
      </c>
      <c r="C14" s="66">
        <v>6.29406</v>
      </c>
      <c r="D14" s="66">
        <v>32.049500000000002</v>
      </c>
      <c r="E14" s="66">
        <v>10</v>
      </c>
      <c r="F14" s="66">
        <v>1.69147</v>
      </c>
      <c r="G14" s="66">
        <v>50</v>
      </c>
      <c r="H14" s="66">
        <v>24.877500000000001</v>
      </c>
    </row>
    <row r="15" spans="1:8">
      <c r="A15" s="58" t="s">
        <v>312</v>
      </c>
      <c r="B15" s="66">
        <v>4.4373200000000002E-2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3.8254400000000001E-2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15.7447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0.61169300000000004</v>
      </c>
      <c r="C18" s="66">
        <v>1.16121E-2</v>
      </c>
      <c r="D18" s="66">
        <v>1.89836E-2</v>
      </c>
      <c r="E18" s="66">
        <v>0</v>
      </c>
      <c r="F18" s="66">
        <v>0.60008099999999998</v>
      </c>
      <c r="G18" s="66">
        <v>0</v>
      </c>
      <c r="H18" s="66">
        <v>0.623305</v>
      </c>
    </row>
    <row r="19" spans="1:8">
      <c r="A19" s="58" t="s">
        <v>316</v>
      </c>
      <c r="B19" s="66">
        <v>0.73333099999999996</v>
      </c>
      <c r="C19" s="66">
        <v>2.6472699999999998E-2</v>
      </c>
      <c r="D19" s="66">
        <v>3.6099300000000001E-2</v>
      </c>
      <c r="E19" s="66">
        <v>0</v>
      </c>
      <c r="F19" s="66">
        <v>0.70685799999999999</v>
      </c>
      <c r="G19" s="66">
        <v>0</v>
      </c>
      <c r="H19" s="66">
        <v>0.75980400000000003</v>
      </c>
    </row>
    <row r="20" spans="1:8">
      <c r="A20" s="58" t="s">
        <v>317</v>
      </c>
      <c r="B20" s="66">
        <v>1.58722E-4</v>
      </c>
      <c r="C20" s="66">
        <v>1.5375700000000001E-2</v>
      </c>
      <c r="D20" s="66">
        <v>96.872200000000007</v>
      </c>
      <c r="E20" s="66">
        <v>0</v>
      </c>
      <c r="F20" s="66">
        <v>0</v>
      </c>
      <c r="G20" s="66">
        <v>0</v>
      </c>
      <c r="H20" s="66">
        <v>0.197903</v>
      </c>
    </row>
    <row r="21" spans="1:8">
      <c r="A21" s="58" t="s">
        <v>318</v>
      </c>
      <c r="B21" s="66">
        <v>2.8014899999999999E-2</v>
      </c>
      <c r="C21" s="66">
        <v>9.0756000000000003E-2</v>
      </c>
      <c r="D21" s="66">
        <v>3.2395499999999999</v>
      </c>
      <c r="E21" s="66">
        <v>0</v>
      </c>
      <c r="F21" s="196">
        <v>3.44669E-7</v>
      </c>
      <c r="G21" s="66">
        <v>0</v>
      </c>
      <c r="H21" s="66">
        <v>0.73327399999999998</v>
      </c>
    </row>
    <row r="22" spans="1:8">
      <c r="A22" s="58" t="s">
        <v>319</v>
      </c>
      <c r="B22" s="66">
        <v>30.372900000000001</v>
      </c>
      <c r="C22" s="66">
        <v>17.429600000000001</v>
      </c>
      <c r="D22" s="66">
        <v>0.57385200000000003</v>
      </c>
      <c r="E22" s="66">
        <v>0</v>
      </c>
      <c r="F22" s="66">
        <v>10.976699999999999</v>
      </c>
      <c r="G22" s="66">
        <v>0</v>
      </c>
      <c r="H22" s="66">
        <v>120.41200000000001</v>
      </c>
    </row>
    <row r="23" spans="1:8">
      <c r="A23" s="58" t="s">
        <v>320</v>
      </c>
      <c r="B23" s="66">
        <v>13.3263</v>
      </c>
      <c r="C23" s="66">
        <v>4.4192799999999997</v>
      </c>
      <c r="D23" s="66">
        <v>0.331621</v>
      </c>
      <c r="E23" s="66">
        <v>0</v>
      </c>
      <c r="F23" s="66">
        <v>5.3969399999999998</v>
      </c>
      <c r="G23" s="66">
        <v>0</v>
      </c>
      <c r="H23" s="66">
        <v>22.873200000000001</v>
      </c>
    </row>
    <row r="24" spans="1:8">
      <c r="A24" s="58" t="s">
        <v>321</v>
      </c>
      <c r="B24" s="66">
        <v>4.5063999999999998E-4</v>
      </c>
      <c r="C24" s="66">
        <v>8.3271400000000002E-3</v>
      </c>
      <c r="D24" s="66">
        <v>18.4785</v>
      </c>
      <c r="E24" s="66">
        <v>0</v>
      </c>
      <c r="F24" s="196">
        <v>1.16322E-5</v>
      </c>
      <c r="G24" s="66">
        <v>0</v>
      </c>
      <c r="H24" s="66">
        <v>4.3635E-2</v>
      </c>
    </row>
    <row r="25" spans="1:8">
      <c r="A25" s="58" t="s">
        <v>322</v>
      </c>
      <c r="B25" s="66">
        <v>4.8765799999999998E-2</v>
      </c>
      <c r="C25" s="66">
        <v>3.8975599999999999E-2</v>
      </c>
      <c r="D25" s="66">
        <v>0.79923999999999995</v>
      </c>
      <c r="E25" s="66">
        <v>0</v>
      </c>
      <c r="F25" s="66">
        <v>9.4150999999999992E-3</v>
      </c>
      <c r="G25" s="66">
        <v>0</v>
      </c>
      <c r="H25" s="66">
        <v>0.19424</v>
      </c>
    </row>
    <row r="26" spans="1:8">
      <c r="A26" s="58" t="s">
        <v>323</v>
      </c>
      <c r="B26" s="196">
        <v>5.9086100000000003E-5</v>
      </c>
      <c r="C26" s="66">
        <v>9.7389000000000004E-4</v>
      </c>
      <c r="D26" s="66">
        <v>16.482500000000002</v>
      </c>
      <c r="E26" s="66">
        <v>0</v>
      </c>
      <c r="F26" s="66">
        <v>0</v>
      </c>
      <c r="G26" s="66">
        <v>0</v>
      </c>
      <c r="H26" s="66">
        <v>1.04057E-2</v>
      </c>
    </row>
    <row r="27" spans="1:8">
      <c r="A27" s="58" t="s">
        <v>324</v>
      </c>
      <c r="B27" s="66">
        <v>0</v>
      </c>
      <c r="C27" s="66">
        <v>8.7356599999999999E-4</v>
      </c>
      <c r="D27" s="66">
        <v>0</v>
      </c>
      <c r="E27" s="66">
        <v>0</v>
      </c>
      <c r="F27" s="66">
        <v>-7.3890500000000003E-3</v>
      </c>
      <c r="G27" s="66">
        <v>0</v>
      </c>
      <c r="H27" s="66">
        <v>7.9766300000000002E-3</v>
      </c>
    </row>
    <row r="28" spans="1:8">
      <c r="A28" s="58" t="s">
        <v>325</v>
      </c>
      <c r="B28" s="66">
        <v>5.3352900000000003E-3</v>
      </c>
      <c r="C28" s="66">
        <v>8.8335900000000005E-3</v>
      </c>
      <c r="D28" s="66">
        <v>1.6556900000000001</v>
      </c>
      <c r="E28" s="66">
        <v>0</v>
      </c>
      <c r="F28" s="196">
        <v>3.25521E-6</v>
      </c>
      <c r="G28" s="66">
        <v>0</v>
      </c>
      <c r="H28" s="66">
        <v>6.54362E-2</v>
      </c>
    </row>
    <row r="29" spans="1:8">
      <c r="A29" s="58" t="s">
        <v>326</v>
      </c>
      <c r="B29" s="66">
        <v>66.802400000000006</v>
      </c>
      <c r="C29" s="66">
        <v>11.8439</v>
      </c>
      <c r="D29" s="66">
        <v>0.17729700000000001</v>
      </c>
      <c r="E29" s="66">
        <v>0</v>
      </c>
      <c r="F29" s="66">
        <v>41.748800000000003</v>
      </c>
      <c r="G29" s="66">
        <v>0</v>
      </c>
      <c r="H29" s="66">
        <v>112.581</v>
      </c>
    </row>
    <row r="30" spans="1:8">
      <c r="A30" s="58" t="s">
        <v>327</v>
      </c>
      <c r="B30" s="66">
        <v>22.283799999999999</v>
      </c>
      <c r="C30" s="66">
        <v>5.1775500000000001</v>
      </c>
      <c r="D30" s="66">
        <v>0.232346</v>
      </c>
      <c r="E30" s="66">
        <v>0</v>
      </c>
      <c r="F30" s="66">
        <v>7.48</v>
      </c>
      <c r="G30" s="66">
        <v>0</v>
      </c>
      <c r="H30" s="66">
        <v>31.243600000000001</v>
      </c>
    </row>
    <row r="31" spans="1:8">
      <c r="A31" s="58" t="s">
        <v>328</v>
      </c>
      <c r="B31" s="66">
        <v>86.804199999999994</v>
      </c>
      <c r="C31" s="66">
        <v>80.465999999999994</v>
      </c>
      <c r="D31" s="66">
        <v>0.926983</v>
      </c>
      <c r="E31" s="66">
        <v>0</v>
      </c>
      <c r="F31" s="66">
        <v>19.9681</v>
      </c>
      <c r="G31" s="66">
        <v>0</v>
      </c>
      <c r="H31" s="66">
        <v>262.85300000000001</v>
      </c>
    </row>
    <row r="32" spans="1:8">
      <c r="A32" s="58" t="s">
        <v>329</v>
      </c>
      <c r="B32" s="66">
        <v>0.336482</v>
      </c>
      <c r="C32" s="66">
        <v>7.4934000000000001E-2</v>
      </c>
      <c r="D32" s="66">
        <v>0.22269800000000001</v>
      </c>
      <c r="E32" s="66">
        <v>0.15</v>
      </c>
      <c r="F32" s="66">
        <v>9.8352200000000001E-2</v>
      </c>
      <c r="G32" s="66">
        <v>0.4</v>
      </c>
      <c r="H32" s="66">
        <v>0.50526400000000005</v>
      </c>
    </row>
    <row r="33" spans="1:8">
      <c r="A33" s="58" t="s">
        <v>330</v>
      </c>
      <c r="B33" s="66">
        <v>0.46584399999999998</v>
      </c>
      <c r="C33" s="66">
        <v>2.4518100000000001E-2</v>
      </c>
      <c r="D33" s="66">
        <v>5.2631600000000001E-2</v>
      </c>
      <c r="E33" s="66">
        <v>0</v>
      </c>
      <c r="F33" s="66">
        <v>0.39985300000000001</v>
      </c>
      <c r="G33" s="66">
        <v>0</v>
      </c>
      <c r="H33" s="66">
        <v>0.51026000000000005</v>
      </c>
    </row>
    <row r="34" spans="1:8">
      <c r="A34" s="58" t="s">
        <v>331</v>
      </c>
      <c r="B34" s="66">
        <v>0.15728900000000001</v>
      </c>
      <c r="C34" s="66">
        <v>1.96385E-2</v>
      </c>
      <c r="D34" s="66">
        <v>0.12485599999999999</v>
      </c>
      <c r="E34" s="66">
        <v>0.1</v>
      </c>
      <c r="F34" s="66">
        <v>0.121237</v>
      </c>
      <c r="G34" s="66">
        <v>0.25</v>
      </c>
      <c r="H34" s="66">
        <v>0.214145</v>
      </c>
    </row>
    <row r="35" spans="1:8">
      <c r="A35" s="58" t="s">
        <v>332</v>
      </c>
      <c r="B35" s="66">
        <v>7.2939599999999993E-2</v>
      </c>
      <c r="C35" s="66">
        <v>1.67473E-2</v>
      </c>
      <c r="D35" s="66">
        <v>0.229605</v>
      </c>
      <c r="E35" s="66">
        <v>0</v>
      </c>
      <c r="F35" s="66">
        <v>4.2373599999999997E-2</v>
      </c>
      <c r="G35" s="66">
        <v>0</v>
      </c>
      <c r="H35" s="66">
        <v>0.124777</v>
      </c>
    </row>
    <row r="36" spans="1:8">
      <c r="A36" s="58" t="s">
        <v>333</v>
      </c>
      <c r="B36" s="66">
        <v>0.14241799999999999</v>
      </c>
      <c r="C36" s="66">
        <v>7.7605999999999994E-2</v>
      </c>
      <c r="D36" s="66">
        <v>0.54491500000000004</v>
      </c>
      <c r="E36" s="66">
        <v>0</v>
      </c>
      <c r="F36" s="66">
        <v>3.5266100000000002E-2</v>
      </c>
      <c r="G36" s="66">
        <v>0</v>
      </c>
      <c r="H36" s="66">
        <v>0.43791099999999999</v>
      </c>
    </row>
    <row r="37" spans="1:8">
      <c r="A37" s="58" t="s">
        <v>334</v>
      </c>
      <c r="B37" s="66">
        <v>0.196385</v>
      </c>
      <c r="C37" s="66">
        <v>6.2940599999999999E-2</v>
      </c>
      <c r="D37" s="66">
        <v>0.32049499999999997</v>
      </c>
      <c r="E37" s="66">
        <v>0.1</v>
      </c>
      <c r="F37" s="66">
        <v>1.6914700000000001E-2</v>
      </c>
      <c r="G37" s="66">
        <v>0.5</v>
      </c>
      <c r="H37" s="66">
        <v>0.248775</v>
      </c>
    </row>
    <row r="38" spans="1:8">
      <c r="A38" s="58" t="s">
        <v>335</v>
      </c>
      <c r="B38" s="66">
        <v>-14.206200000000001</v>
      </c>
      <c r="C38" s="66">
        <v>45.012300000000003</v>
      </c>
      <c r="D38" s="66">
        <v>-3.1684899999999998</v>
      </c>
      <c r="E38" s="66">
        <v>0</v>
      </c>
      <c r="F38" s="66">
        <v>-162.65</v>
      </c>
      <c r="G38" s="66">
        <v>0</v>
      </c>
      <c r="H38" s="66">
        <v>238.89</v>
      </c>
    </row>
    <row r="39" spans="1:8">
      <c r="A39" s="58" t="s">
        <v>336</v>
      </c>
      <c r="B39" s="66">
        <v>-6.6192299999999999</v>
      </c>
      <c r="C39" s="66">
        <v>7.4538099999999998</v>
      </c>
      <c r="D39" s="66">
        <v>-1.12608</v>
      </c>
      <c r="E39" s="66">
        <v>0</v>
      </c>
      <c r="F39" s="66">
        <v>-14.5062</v>
      </c>
      <c r="G39" s="66">
        <v>0</v>
      </c>
      <c r="H39" s="66">
        <v>79.814099999999996</v>
      </c>
    </row>
    <row r="40" spans="1:8">
      <c r="A40" s="58" t="s">
        <v>337</v>
      </c>
      <c r="B40" s="66">
        <v>-2.3315800000000002</v>
      </c>
      <c r="C40" s="66">
        <v>1.13568</v>
      </c>
      <c r="D40" s="66">
        <v>-0.48708400000000002</v>
      </c>
      <c r="E40" s="66">
        <v>0</v>
      </c>
      <c r="F40" s="66">
        <v>-5.1794000000000002</v>
      </c>
      <c r="G40" s="66">
        <v>0</v>
      </c>
      <c r="H40" s="66">
        <v>-0.33402300000000001</v>
      </c>
    </row>
    <row r="41" spans="1:8">
      <c r="A41" s="58" t="s">
        <v>338</v>
      </c>
      <c r="B41" s="66">
        <v>-0.13672899999999999</v>
      </c>
      <c r="C41" s="66">
        <v>0.39668700000000001</v>
      </c>
      <c r="D41" s="66">
        <v>-2.9012600000000002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-0.18357299999999999</v>
      </c>
      <c r="C42" s="66">
        <v>0.10262300000000001</v>
      </c>
      <c r="D42" s="66">
        <v>-0.55903099999999994</v>
      </c>
      <c r="E42" s="66">
        <v>0</v>
      </c>
      <c r="F42" s="66">
        <v>-0.47291899999999998</v>
      </c>
      <c r="G42" s="66">
        <v>0</v>
      </c>
      <c r="H42" s="66">
        <v>0.47045100000000001</v>
      </c>
    </row>
    <row r="43" spans="1:8">
      <c r="A43" s="58" t="s">
        <v>340</v>
      </c>
      <c r="B43" s="66">
        <v>-9.5423900000000006E-2</v>
      </c>
      <c r="C43" s="66">
        <v>7.3280300000000007E-2</v>
      </c>
      <c r="D43" s="66">
        <v>-0.76794499999999999</v>
      </c>
      <c r="E43" s="66">
        <v>0</v>
      </c>
      <c r="F43" s="66">
        <v>-0.26924700000000001</v>
      </c>
      <c r="G43" s="66">
        <v>0</v>
      </c>
      <c r="H43" s="66">
        <v>-1.34615E-2</v>
      </c>
    </row>
    <row r="44" spans="1:8">
      <c r="A44" s="58" t="s">
        <v>341</v>
      </c>
      <c r="B44" s="66">
        <v>-24.911100000000001</v>
      </c>
      <c r="C44" s="66">
        <v>18.577999999999999</v>
      </c>
      <c r="D44" s="66">
        <v>-0.74577099999999996</v>
      </c>
      <c r="E44" s="66">
        <v>0</v>
      </c>
      <c r="F44" s="66">
        <v>-51.875</v>
      </c>
      <c r="G44" s="66">
        <v>0</v>
      </c>
      <c r="H44" s="66">
        <v>5.1381300000000003</v>
      </c>
    </row>
    <row r="45" spans="1:8">
      <c r="A45" s="58" t="s">
        <v>342</v>
      </c>
      <c r="B45" s="66">
        <v>54.055900000000001</v>
      </c>
      <c r="C45" s="66">
        <v>8.2501200000000008</v>
      </c>
      <c r="D45" s="66">
        <v>0.15262200000000001</v>
      </c>
      <c r="E45" s="66">
        <v>0</v>
      </c>
      <c r="F45" s="66">
        <v>30.259599999999999</v>
      </c>
      <c r="G45" s="66">
        <v>0</v>
      </c>
      <c r="H45" s="66">
        <v>72.508600000000001</v>
      </c>
    </row>
    <row r="46" spans="1:8">
      <c r="A46" s="58" t="s">
        <v>343</v>
      </c>
      <c r="B46" s="66">
        <v>30.258299999999998</v>
      </c>
      <c r="C46" s="66">
        <v>7.5700599999999998</v>
      </c>
      <c r="D46" s="66">
        <v>0.25018099999999999</v>
      </c>
      <c r="E46" s="66">
        <v>0</v>
      </c>
      <c r="F46" s="66">
        <v>6.1646400000000003</v>
      </c>
      <c r="G46" s="66">
        <v>0</v>
      </c>
      <c r="H46" s="66">
        <v>38.051099999999998</v>
      </c>
    </row>
    <row r="47" spans="1:8">
      <c r="A47" s="58" t="s">
        <v>344</v>
      </c>
      <c r="B47" s="66">
        <v>0.61850000000000005</v>
      </c>
      <c r="C47" s="66">
        <v>0.28014499999999998</v>
      </c>
      <c r="D47" s="66">
        <v>0.45294200000000001</v>
      </c>
      <c r="E47" s="66">
        <v>0</v>
      </c>
      <c r="F47" s="66">
        <v>0.19333900000000001</v>
      </c>
      <c r="G47" s="66">
        <v>0</v>
      </c>
      <c r="H47" s="66">
        <v>1.7332000000000001</v>
      </c>
    </row>
    <row r="48" spans="1:8">
      <c r="A48" s="58" t="s">
        <v>345</v>
      </c>
      <c r="B48" s="66">
        <v>0.60536699999999999</v>
      </c>
      <c r="C48" s="66">
        <v>0.15424599999999999</v>
      </c>
      <c r="D48" s="66">
        <v>0.25479800000000002</v>
      </c>
      <c r="E48" s="66">
        <v>0</v>
      </c>
      <c r="F48" s="66">
        <v>0.44108799999999998</v>
      </c>
      <c r="G48" s="66">
        <v>0</v>
      </c>
      <c r="H48" s="66">
        <v>1.08127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10.244800000000001</v>
      </c>
      <c r="C5" s="66">
        <f>'M2'!C5-'M1'!C5</f>
        <v>-3.79772</v>
      </c>
      <c r="D5" s="66">
        <f>'M2'!D5-'M1'!D5</f>
        <v>-16.05219</v>
      </c>
      <c r="E5" s="66">
        <f>'M2'!E5-'M1'!E5</f>
        <v>0</v>
      </c>
      <c r="F5" s="66">
        <f>'M2'!F5-'M1'!F5</f>
        <v>23.7683</v>
      </c>
      <c r="G5" s="66">
        <f>'M2'!G5-'M1'!G5</f>
        <v>0</v>
      </c>
      <c r="H5" s="66">
        <f>'M2'!H5-'M1'!H5</f>
        <v>5.420499999999997</v>
      </c>
    </row>
    <row r="6" spans="1:8">
      <c r="A6" s="66" t="s">
        <v>244</v>
      </c>
      <c r="B6" s="66">
        <f>'M2'!B6-'M1'!B6</f>
        <v>3.254800000000003</v>
      </c>
      <c r="C6" s="66">
        <f>'M2'!C6-'M1'!C6</f>
        <v>-2.7380999999999998</v>
      </c>
      <c r="D6" s="66">
        <f>'M2'!D6-'M1'!D6</f>
        <v>-9.3549399999999991</v>
      </c>
      <c r="E6" s="66">
        <f>'M2'!E6-'M1'!E6</f>
        <v>0</v>
      </c>
      <c r="F6" s="66">
        <f>'M2'!F6-'M1'!F6</f>
        <v>5.0167999999999999</v>
      </c>
      <c r="G6" s="66">
        <f>'M2'!G6-'M1'!G6</f>
        <v>0</v>
      </c>
      <c r="H6" s="66">
        <f>'M2'!H6-'M1'!H6</f>
        <v>-1.6014000000000053</v>
      </c>
    </row>
    <row r="7" spans="1:8">
      <c r="A7" s="66" t="s">
        <v>245</v>
      </c>
      <c r="B7" s="66">
        <f>'M2'!B7-'M1'!B7</f>
        <v>-6.9999999999978968E-3</v>
      </c>
      <c r="C7" s="66">
        <f>'M2'!C7-'M1'!C7</f>
        <v>-3.4594499999999995</v>
      </c>
      <c r="D7" s="66">
        <f>'M2'!D7-'M1'!D7</f>
        <v>-10.277000000000001</v>
      </c>
      <c r="E7" s="66">
        <f>'M2'!E7-'M1'!E7</f>
        <v>0</v>
      </c>
      <c r="F7" s="66">
        <f>'M2'!F7-'M1'!F7</f>
        <v>2.9869800000000009</v>
      </c>
      <c r="G7" s="66">
        <f>'M2'!G7-'M1'!G7</f>
        <v>0</v>
      </c>
      <c r="H7" s="66">
        <f>'M2'!H7-'M1'!H7</f>
        <v>1.1238000000000028</v>
      </c>
    </row>
    <row r="8" spans="1:8">
      <c r="A8" s="66" t="s">
        <v>246</v>
      </c>
      <c r="B8" s="66">
        <f>'M2'!B8-'M1'!B8</f>
        <v>2.4975999999999985</v>
      </c>
      <c r="C8" s="66">
        <f>'M2'!C8-'M1'!C8</f>
        <v>-4.1059299999999999</v>
      </c>
      <c r="D8" s="66">
        <f>'M2'!D8-'M1'!D8</f>
        <v>-13.051159999999999</v>
      </c>
      <c r="E8" s="66">
        <f>'M2'!E8-'M1'!E8</f>
        <v>0</v>
      </c>
      <c r="F8" s="66">
        <f>'M2'!F8-'M1'!F8</f>
        <v>9.8336999999999968</v>
      </c>
      <c r="G8" s="66">
        <f>'M2'!G8-'M1'!G8</f>
        <v>0</v>
      </c>
      <c r="H8" s="66">
        <f>'M2'!H8-'M1'!H8</f>
        <v>-0.52729999999999677</v>
      </c>
    </row>
    <row r="9" spans="1:8">
      <c r="A9" s="66" t="s">
        <v>247</v>
      </c>
      <c r="B9" s="66">
        <f>'M2'!B9-'M1'!B9</f>
        <v>-0.3539000000000101</v>
      </c>
      <c r="C9" s="66">
        <f>'M2'!C9-'M1'!C9</f>
        <v>-2.5866499999999997</v>
      </c>
      <c r="D9" s="66">
        <f>'M2'!D9-'M1'!D9</f>
        <v>-3.7912699999999999</v>
      </c>
      <c r="E9" s="66">
        <f>'M2'!E9-'M1'!E9</f>
        <v>0</v>
      </c>
      <c r="F9" s="66">
        <f>'M2'!F9-'M1'!F9</f>
        <v>1.0225000000000009</v>
      </c>
      <c r="G9" s="66">
        <f>'M2'!G9-'M1'!G9</f>
        <v>0</v>
      </c>
      <c r="H9" s="66">
        <f>'M2'!H9-'M1'!H9</f>
        <v>-19.193700000000007</v>
      </c>
    </row>
    <row r="10" spans="1:8">
      <c r="A10" s="66" t="s">
        <v>248</v>
      </c>
      <c r="B10" s="66">
        <f>'M2'!B10-'M1'!B10</f>
        <v>-3.9462999999999937</v>
      </c>
      <c r="C10" s="66">
        <f>'M2'!C10-'M1'!C10</f>
        <v>-0.51521000000000017</v>
      </c>
      <c r="D10" s="66">
        <f>'M2'!D10-'M1'!D10</f>
        <v>-0.49753000000000025</v>
      </c>
      <c r="E10" s="66">
        <f>'M2'!E10-'M1'!E10</f>
        <v>0</v>
      </c>
      <c r="F10" s="66">
        <f>'M2'!F10-'M1'!F10</f>
        <v>1.631299999999996</v>
      </c>
      <c r="G10" s="66">
        <f>'M2'!G10-'M1'!G10</f>
        <v>0</v>
      </c>
      <c r="H10" s="66">
        <f>'M2'!H10-'M1'!H10</f>
        <v>-1.649799999999999</v>
      </c>
    </row>
    <row r="11" spans="1:8">
      <c r="A11" s="66" t="s">
        <v>249</v>
      </c>
      <c r="B11" s="66">
        <f>'M2'!B11-'M1'!B11</f>
        <v>4.3872999999999998</v>
      </c>
      <c r="C11" s="66">
        <f>'M2'!C11-'M1'!C11</f>
        <v>-0.73746999999999963</v>
      </c>
      <c r="D11" s="66">
        <f>'M2'!D11-'M1'!D11</f>
        <v>-9.5739000000000001</v>
      </c>
      <c r="E11" s="66">
        <f>'M2'!E11-'M1'!E11</f>
        <v>0</v>
      </c>
      <c r="F11" s="66">
        <f>'M2'!F11-'M1'!F11</f>
        <v>8.3251600000000003</v>
      </c>
      <c r="G11" s="66">
        <f>'M2'!G11-'M1'!G11</f>
        <v>0</v>
      </c>
      <c r="H11" s="66">
        <f>'M2'!H11-'M1'!H11</f>
        <v>5.3576000000000015</v>
      </c>
    </row>
    <row r="12" spans="1:8">
      <c r="A12" s="66" t="s">
        <v>250</v>
      </c>
      <c r="B12" s="66">
        <f>'M2'!B12-'M1'!B12</f>
        <v>-2.3038000000000096</v>
      </c>
      <c r="C12" s="66">
        <f>'M2'!C12-'M1'!C12</f>
        <v>-1.3332600000000001</v>
      </c>
      <c r="D12" s="66">
        <f>'M2'!D12-'M1'!D12</f>
        <v>-1.76932</v>
      </c>
      <c r="E12" s="66">
        <f>'M2'!E12-'M1'!E12</f>
        <v>0</v>
      </c>
      <c r="F12" s="66">
        <f>'M2'!F12-'M1'!F12</f>
        <v>1.1884000000000015</v>
      </c>
      <c r="G12" s="66">
        <f>'M2'!G12-'M1'!G12</f>
        <v>0</v>
      </c>
      <c r="H12" s="66">
        <f>'M2'!H12-'M1'!H12</f>
        <v>-7.0370000000000061</v>
      </c>
    </row>
    <row r="13" spans="1:8">
      <c r="A13" s="66" t="s">
        <v>251</v>
      </c>
      <c r="B13" s="66">
        <f>'M2'!B13-'M1'!B13</f>
        <v>-6.670000000000087E-2</v>
      </c>
      <c r="C13" s="66">
        <f>'M2'!C13-'M1'!C13</f>
        <v>0.22837999999999981</v>
      </c>
      <c r="D13" s="66">
        <f>'M2'!D13-'M1'!D13</f>
        <v>1.5015999999999998</v>
      </c>
      <c r="E13" s="66">
        <f>'M2'!E13-'M1'!E13</f>
        <v>0</v>
      </c>
      <c r="F13" s="66">
        <f>'M2'!F13-'M1'!F13</f>
        <v>-0.19130000000000003</v>
      </c>
      <c r="G13" s="66">
        <f>'M2'!G13-'M1'!G13</f>
        <v>0</v>
      </c>
      <c r="H13" s="66">
        <f>'M2'!H13-'M1'!H13</f>
        <v>1.1167000000000016</v>
      </c>
    </row>
    <row r="14" spans="1:8">
      <c r="A14" s="66" t="s">
        <v>252</v>
      </c>
      <c r="B14" s="66">
        <f>'M2'!B14-'M1'!B14</f>
        <v>2.2837999999999994</v>
      </c>
      <c r="C14" s="66">
        <f>'M2'!C14-'M1'!C14</f>
        <v>2.4033899999999999</v>
      </c>
      <c r="D14" s="66">
        <f>'M2'!D14-'M1'!D14</f>
        <v>8.763300000000001</v>
      </c>
      <c r="E14" s="66">
        <f>'M2'!E14-'M1'!E14</f>
        <v>0</v>
      </c>
      <c r="F14" s="66">
        <f>'M2'!F14-'M1'!F14</f>
        <v>0.72946999999999984</v>
      </c>
      <c r="G14" s="66">
        <f>'M2'!G14-'M1'!G14</f>
        <v>0</v>
      </c>
      <c r="H14" s="66">
        <f>'M2'!H14-'M1'!H14</f>
        <v>6.4782000000000011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0.14018600000000003</v>
      </c>
      <c r="C18" s="66">
        <f>'M2'!C18-'M1'!C18</f>
        <v>1.16121E-2</v>
      </c>
      <c r="D18" s="66">
        <f>'M2'!D18-'M1'!D18</f>
        <v>1.89836E-2</v>
      </c>
      <c r="E18" s="66">
        <f>'M2'!E18-'M1'!E18</f>
        <v>0</v>
      </c>
      <c r="F18" s="66">
        <f>'M2'!F18-'M1'!F18</f>
        <v>0.60008099999999998</v>
      </c>
      <c r="G18" s="66">
        <f>'M2'!G18-'M1'!G18</f>
        <v>0</v>
      </c>
      <c r="H18" s="66">
        <f>'M2'!H18-'M1'!H18</f>
        <v>0.623305</v>
      </c>
    </row>
    <row r="19" spans="1:8">
      <c r="A19" s="66" t="s">
        <v>256</v>
      </c>
      <c r="B19" s="66">
        <f>'M2'!B19-'M1'!B19</f>
        <v>0.11722299999999997</v>
      </c>
      <c r="C19" s="66">
        <f>'M2'!C19-'M1'!C19</f>
        <v>2.6472699999999998E-2</v>
      </c>
      <c r="D19" s="66">
        <f>'M2'!D19-'M1'!D19</f>
        <v>3.6099300000000001E-2</v>
      </c>
      <c r="E19" s="66">
        <f>'M2'!E19-'M1'!E19</f>
        <v>0</v>
      </c>
      <c r="F19" s="66">
        <f>'M2'!F19-'M1'!F19</f>
        <v>0.70685799999999999</v>
      </c>
      <c r="G19" s="66">
        <f>'M2'!G19-'M1'!G19</f>
        <v>0</v>
      </c>
      <c r="H19" s="66">
        <f>'M2'!H19-'M1'!H19</f>
        <v>0.75980400000000003</v>
      </c>
    </row>
    <row r="20" spans="1:8">
      <c r="A20" s="66" t="s">
        <v>63</v>
      </c>
      <c r="B20" s="66">
        <f>'M2'!B20-'M1'!B20</f>
        <v>3.1789000000000003E-5</v>
      </c>
      <c r="C20" s="66">
        <f>'M2'!C20-'M1'!C20</f>
        <v>9.7074100000000014E-3</v>
      </c>
      <c r="D20" s="66">
        <f>'M2'!D20-'M1'!D20</f>
        <v>42.784599999999998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3.3491999999999994E-2</v>
      </c>
    </row>
    <row r="21" spans="1:8">
      <c r="A21" s="66" t="s">
        <v>64</v>
      </c>
      <c r="B21" s="66">
        <f>'M2'!B21-'M1'!B21</f>
        <v>4.8495999999999991E-3</v>
      </c>
      <c r="C21" s="66">
        <f>'M2'!C21-'M1'!C21</f>
        <v>1.1189500000000005E-2</v>
      </c>
      <c r="D21" s="66">
        <f>'M2'!D21-'M1'!D21</f>
        <v>-0.17317999999999989</v>
      </c>
      <c r="E21" s="66">
        <f>'M2'!E21-'M1'!E21</f>
        <v>0</v>
      </c>
      <c r="F21" s="66">
        <f>'M2'!F21-'M1'!F21</f>
        <v>-6.1759630999999989E-5</v>
      </c>
      <c r="G21" s="66">
        <f>'M2'!G21-'M1'!G21</f>
        <v>0</v>
      </c>
      <c r="H21" s="66">
        <f>'M2'!H21-'M1'!H21</f>
        <v>0.17139899999999997</v>
      </c>
    </row>
    <row r="22" spans="1:8">
      <c r="A22" s="66" t="s">
        <v>65</v>
      </c>
      <c r="B22" s="66">
        <f>'M2'!B22-'M1'!B22</f>
        <v>4.6377000000000024</v>
      </c>
      <c r="C22" s="66">
        <f>'M2'!C22-'M1'!C22</f>
        <v>13.79692</v>
      </c>
      <c r="D22" s="66">
        <f>'M2'!D22-'M1'!D22</f>
        <v>0.37121799999999999</v>
      </c>
      <c r="E22" s="66">
        <f>'M2'!E22-'M1'!E22</f>
        <v>0</v>
      </c>
      <c r="F22" s="66">
        <f>'M2'!F22-'M1'!F22</f>
        <v>-5.1274999999999995</v>
      </c>
      <c r="G22" s="66">
        <f>'M2'!G22-'M1'!G22</f>
        <v>0</v>
      </c>
      <c r="H22" s="66">
        <f>'M2'!H22-'M1'!H22</f>
        <v>51.960400000000007</v>
      </c>
    </row>
    <row r="23" spans="1:8">
      <c r="A23" s="66" t="s">
        <v>66</v>
      </c>
      <c r="B23" s="66">
        <f>'M2'!B23-'M1'!B23</f>
        <v>6.6194999999999986</v>
      </c>
      <c r="C23" s="66">
        <f>'M2'!C23-'M1'!C23</f>
        <v>1.37921</v>
      </c>
      <c r="D23" s="66">
        <f>'M2'!D23-'M1'!D23</f>
        <v>8.6919999999999775E-3</v>
      </c>
      <c r="E23" s="66">
        <f>'M2'!E23-'M1'!E23</f>
        <v>0</v>
      </c>
      <c r="F23" s="66">
        <f>'M2'!F23-'M1'!F23</f>
        <v>6.1403600000000003</v>
      </c>
      <c r="G23" s="66">
        <f>'M2'!G23-'M1'!G23</f>
        <v>0</v>
      </c>
      <c r="H23" s="66">
        <f>'M2'!H23-'M1'!H23</f>
        <v>9.0422000000000011</v>
      </c>
    </row>
    <row r="24" spans="1:8">
      <c r="A24" s="66" t="s">
        <v>67</v>
      </c>
      <c r="B24" s="66">
        <f>'M2'!B24-'M1'!B24</f>
        <v>6.9763999999999937E-5</v>
      </c>
      <c r="C24" s="66">
        <f>'M2'!C24-'M1'!C24</f>
        <v>4.3556000000000003E-3</v>
      </c>
      <c r="D24" s="66">
        <f>'M2'!D24-'M1'!D24</f>
        <v>6.9335000000000004</v>
      </c>
      <c r="E24" s="66">
        <f>'M2'!E24-'M1'!E24</f>
        <v>0</v>
      </c>
      <c r="F24" s="66">
        <f>'M2'!F24-'M1'!F24</f>
        <v>-1.3068999999999993E-6</v>
      </c>
      <c r="G24" s="66">
        <f>'M2'!G24-'M1'!G24</f>
        <v>0</v>
      </c>
      <c r="H24" s="66">
        <f>'M2'!H24-'M1'!H24</f>
        <v>2.9578999999999994E-3</v>
      </c>
    </row>
    <row r="25" spans="1:8">
      <c r="A25" s="66" t="s">
        <v>68</v>
      </c>
      <c r="B25" s="66">
        <f>'M2'!B25-'M1'!B25</f>
        <v>6.5979000000000038E-3</v>
      </c>
      <c r="C25" s="66">
        <f>'M2'!C25-'M1'!C25</f>
        <v>6.3734000000000013E-3</v>
      </c>
      <c r="D25" s="66">
        <f>'M2'!D25-'M1'!D25</f>
        <v>2.6194999999999968E-2</v>
      </c>
      <c r="E25" s="66">
        <f>'M2'!E25-'M1'!E25</f>
        <v>0</v>
      </c>
      <c r="F25" s="66">
        <f>'M2'!F25-'M1'!F25</f>
        <v>-1.8255000000000007E-3</v>
      </c>
      <c r="G25" s="66">
        <f>'M2'!G25-'M1'!G25</f>
        <v>0</v>
      </c>
      <c r="H25" s="66">
        <f>'M2'!H25-'M1'!H25</f>
        <v>1.6894999999999993E-2</v>
      </c>
    </row>
    <row r="26" spans="1:8">
      <c r="A26" s="66" t="s">
        <v>69</v>
      </c>
      <c r="B26" s="66">
        <f>'M2'!B26-'M1'!B26</f>
        <v>9.847700000000004E-6</v>
      </c>
      <c r="C26" s="66">
        <f>'M2'!C26-'M1'!C26</f>
        <v>3.2576799999999993E-4</v>
      </c>
      <c r="D26" s="66">
        <f>'M2'!D26-'M1'!D26</f>
        <v>2.8292000000000002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-1.2407800000000004E-3</v>
      </c>
    </row>
    <row r="27" spans="1:8">
      <c r="A27" s="66" t="s">
        <v>70</v>
      </c>
      <c r="B27" s="66">
        <f>'M2'!B27-'M1'!B27</f>
        <v>-3.2825599999999999E-6</v>
      </c>
      <c r="C27" s="66">
        <f>'M2'!C27-'M1'!C27</f>
        <v>3.3437499999999993E-4</v>
      </c>
      <c r="D27" s="66">
        <f>'M2'!D27-'M1'!D27</f>
        <v>-312.16399999999999</v>
      </c>
      <c r="E27" s="66">
        <f>'M2'!E27-'M1'!E27</f>
        <v>0</v>
      </c>
      <c r="F27" s="66">
        <f>'M2'!F27-'M1'!F27</f>
        <v>-6.565000000000043E-5</v>
      </c>
      <c r="G27" s="66">
        <f>'M2'!G27-'M1'!G27</f>
        <v>0</v>
      </c>
      <c r="H27" s="66">
        <f>'M2'!H27-'M1'!H27</f>
        <v>5.350600000000004E-4</v>
      </c>
    </row>
    <row r="28" spans="1:8">
      <c r="A28" s="66" t="s">
        <v>71</v>
      </c>
      <c r="B28" s="66">
        <f>'M2'!B28-'M1'!B28</f>
        <v>1.0872400000000006E-3</v>
      </c>
      <c r="C28" s="66">
        <f>'M2'!C28-'M1'!C28</f>
        <v>-4.7615999999999978E-4</v>
      </c>
      <c r="D28" s="66">
        <f>'M2'!D28-'M1'!D28</f>
        <v>-0.42952999999999997</v>
      </c>
      <c r="E28" s="66">
        <f>'M2'!E28-'M1'!E28</f>
        <v>0</v>
      </c>
      <c r="F28" s="66">
        <f>'M2'!F28-'M1'!F28</f>
        <v>-1.6275990000000001E-5</v>
      </c>
      <c r="G28" s="66">
        <f>'M2'!G28-'M1'!G28</f>
        <v>0</v>
      </c>
      <c r="H28" s="66">
        <f>'M2'!H28-'M1'!H28</f>
        <v>1.1481100000000001E-2</v>
      </c>
    </row>
    <row r="29" spans="1:8">
      <c r="A29" s="66" t="s">
        <v>72</v>
      </c>
      <c r="B29" s="66">
        <f>'M2'!B29-'M1'!B29</f>
        <v>3.078400000000002</v>
      </c>
      <c r="C29" s="66">
        <f>'M2'!C29-'M1'!C29</f>
        <v>3.3636799999999987</v>
      </c>
      <c r="D29" s="66">
        <f>'M2'!D29-'M1'!D29</f>
        <v>4.2483000000000021E-2</v>
      </c>
      <c r="E29" s="66">
        <f>'M2'!E29-'M1'!E29</f>
        <v>0</v>
      </c>
      <c r="F29" s="66">
        <f>'M2'!F29-'M1'!F29</f>
        <v>-1.0486000000000004</v>
      </c>
      <c r="G29" s="66">
        <f>'M2'!G29-'M1'!G29</f>
        <v>0</v>
      </c>
      <c r="H29" s="66">
        <f>'M2'!H29-'M1'!H29</f>
        <v>22.47290000000001</v>
      </c>
    </row>
    <row r="30" spans="1:8">
      <c r="A30" s="66" t="s">
        <v>73</v>
      </c>
      <c r="B30" s="66">
        <f>'M2'!B30-'M1'!B30</f>
        <v>5.6613000000000007</v>
      </c>
      <c r="C30" s="66">
        <f>'M2'!C30-'M1'!C30</f>
        <v>-0.59475000000000033</v>
      </c>
      <c r="D30" s="66">
        <f>'M2'!D30-'M1'!D30</f>
        <v>-6.5521999999999997E-2</v>
      </c>
      <c r="E30" s="66">
        <f>'M2'!E30-'M1'!E30</f>
        <v>0</v>
      </c>
      <c r="F30" s="66">
        <f>'M2'!F30-'M1'!F30</f>
        <v>11.809200000000001</v>
      </c>
      <c r="G30" s="66">
        <f>'M2'!G30-'M1'!G30</f>
        <v>0</v>
      </c>
      <c r="H30" s="66">
        <f>'M2'!H30-'M1'!H30</f>
        <v>7.8423000000000016</v>
      </c>
    </row>
    <row r="31" spans="1:8">
      <c r="A31" s="66" t="s">
        <v>74</v>
      </c>
      <c r="B31" s="66">
        <f>'M2'!B31-'M1'!B31</f>
        <v>146.43219999999999</v>
      </c>
      <c r="C31" s="66">
        <f>'M2'!C31-'M1'!C31</f>
        <v>42.571399999999997</v>
      </c>
      <c r="D31" s="66">
        <f>'M2'!D31-'M1'!D31</f>
        <v>-1.1268E-2</v>
      </c>
      <c r="E31" s="66">
        <f>'M2'!E31-'M1'!E31</f>
        <v>0</v>
      </c>
      <c r="F31" s="66">
        <f>'M2'!F31-'M1'!F31</f>
        <v>58.947399999999995</v>
      </c>
      <c r="G31" s="66">
        <f>'M2'!G31-'M1'!G31</f>
        <v>0</v>
      </c>
      <c r="H31" s="66">
        <f>'M2'!H31-'M1'!H31</f>
        <v>171.22620000000001</v>
      </c>
    </row>
    <row r="32" spans="1:8">
      <c r="A32" s="66" t="s">
        <v>75</v>
      </c>
      <c r="B32" s="66">
        <f>'M2'!B32-'M1'!B32</f>
        <v>-7.0000000000014495E-5</v>
      </c>
      <c r="C32" s="66">
        <f>'M2'!C32-'M1'!C32</f>
        <v>-3.4594499999999993E-2</v>
      </c>
      <c r="D32" s="66">
        <f>'M2'!D32-'M1'!D32</f>
        <v>-0.10277000000000003</v>
      </c>
      <c r="E32" s="66">
        <f>'M2'!E32-'M1'!E32</f>
        <v>0</v>
      </c>
      <c r="F32" s="66">
        <f>'M2'!F32-'M1'!F32</f>
        <v>2.9869800000000002E-2</v>
      </c>
      <c r="G32" s="66">
        <f>'M2'!G32-'M1'!G32</f>
        <v>0</v>
      </c>
      <c r="H32" s="66">
        <f>'M2'!H32-'M1'!H32</f>
        <v>1.1238000000000026E-2</v>
      </c>
    </row>
    <row r="33" spans="1:8">
      <c r="A33" s="66" t="s">
        <v>76</v>
      </c>
      <c r="B33" s="66">
        <f>'M2'!B33-'M1'!B33</f>
        <v>3.9183999999999997E-2</v>
      </c>
      <c r="C33" s="66">
        <f>'M2'!C33-'M1'!C33</f>
        <v>-1.2040000000000002E-3</v>
      </c>
      <c r="D33" s="66">
        <f>'M2'!D33-'M1'!D33</f>
        <v>-5.5577999999999947E-3</v>
      </c>
      <c r="E33" s="66">
        <f>'M2'!E33-'M1'!E33</f>
        <v>0</v>
      </c>
      <c r="F33" s="66">
        <f>'M2'!F33-'M1'!F33</f>
        <v>2.1554999999999991E-2</v>
      </c>
      <c r="G33" s="66">
        <f>'M2'!G33-'M1'!G33</f>
        <v>0</v>
      </c>
      <c r="H33" s="66">
        <f>'M2'!H33-'M1'!H33</f>
        <v>3.7688000000000055E-2</v>
      </c>
    </row>
    <row r="34" spans="1:8">
      <c r="A34" s="66" t="s">
        <v>77</v>
      </c>
      <c r="B34" s="66">
        <f>'M2'!B34-'M1'!B34</f>
        <v>-6.6700000000000093E-4</v>
      </c>
      <c r="C34" s="66">
        <f>'M2'!C34-'M1'!C34</f>
        <v>2.283799999999999E-3</v>
      </c>
      <c r="D34" s="66">
        <f>'M2'!D34-'M1'!D34</f>
        <v>1.5016000000000002E-2</v>
      </c>
      <c r="E34" s="66">
        <f>'M2'!E34-'M1'!E34</f>
        <v>0</v>
      </c>
      <c r="F34" s="66">
        <f>'M2'!F34-'M1'!F34</f>
        <v>-1.912999999999998E-3</v>
      </c>
      <c r="G34" s="66">
        <f>'M2'!G34-'M1'!G34</f>
        <v>0</v>
      </c>
      <c r="H34" s="66">
        <f>'M2'!H34-'M1'!H34</f>
        <v>1.116700000000001E-2</v>
      </c>
    </row>
    <row r="35" spans="1:8">
      <c r="A35" s="66" t="s">
        <v>78</v>
      </c>
      <c r="B35" s="66">
        <f>'M2'!B35-'M1'!B35</f>
        <v>-2.7201000000000031E-3</v>
      </c>
      <c r="C35" s="66">
        <f>'M2'!C35-'M1'!C35</f>
        <v>-4.7726000000000001E-3</v>
      </c>
      <c r="D35" s="66">
        <f>'M2'!D35-'M1'!D35</f>
        <v>-5.7258999999999977E-2</v>
      </c>
      <c r="E35" s="66">
        <f>'M2'!E35-'M1'!E35</f>
        <v>0</v>
      </c>
      <c r="F35" s="66">
        <f>'M2'!F35-'M1'!F35</f>
        <v>-1.0900000000000493E-4</v>
      </c>
      <c r="G35" s="66">
        <f>'M2'!G35-'M1'!G35</f>
        <v>0</v>
      </c>
      <c r="H35" s="66">
        <f>'M2'!H35-'M1'!H35</f>
        <v>-2.0365999999999995E-2</v>
      </c>
    </row>
    <row r="36" spans="1:8">
      <c r="A36" s="66" t="s">
        <v>79</v>
      </c>
      <c r="B36" s="66">
        <f>'M2'!B36-'M1'!B36</f>
        <v>9.9609999999999976E-3</v>
      </c>
      <c r="C36" s="66">
        <f>'M2'!C36-'M1'!C36</f>
        <v>1.8289999999999973E-4</v>
      </c>
      <c r="D36" s="66">
        <f>'M2'!D36-'M1'!D36</f>
        <v>-3.6044999999999994E-2</v>
      </c>
      <c r="E36" s="66">
        <f>'M2'!E36-'M1'!E36</f>
        <v>0</v>
      </c>
      <c r="F36" s="66">
        <f>'M2'!F36-'M1'!F36</f>
        <v>2.2458999999999951E-3</v>
      </c>
      <c r="G36" s="66">
        <f>'M2'!G36-'M1'!G36</f>
        <v>0</v>
      </c>
      <c r="H36" s="66">
        <f>'M2'!H36-'M1'!H36</f>
        <v>-3.5675999999999986E-2</v>
      </c>
    </row>
    <row r="37" spans="1:8">
      <c r="A37" s="66" t="s">
        <v>80</v>
      </c>
      <c r="B37" s="66">
        <f>'M2'!B37-'M1'!B37</f>
        <v>2.2837999999999997E-2</v>
      </c>
      <c r="C37" s="66">
        <f>'M2'!C37-'M1'!C37</f>
        <v>2.4033900000000004E-2</v>
      </c>
      <c r="D37" s="66">
        <f>'M2'!D37-'M1'!D37</f>
        <v>8.7633000000000016E-2</v>
      </c>
      <c r="E37" s="66">
        <f>'M2'!E37-'M1'!E37</f>
        <v>0</v>
      </c>
      <c r="F37" s="66">
        <f>'M2'!F37-'M1'!F37</f>
        <v>7.2946999999999977E-3</v>
      </c>
      <c r="G37" s="66">
        <f>'M2'!G37-'M1'!G37</f>
        <v>0</v>
      </c>
      <c r="H37" s="66">
        <f>'M2'!H37-'M1'!H37</f>
        <v>6.4782000000000006E-2</v>
      </c>
    </row>
    <row r="38" spans="1:8">
      <c r="A38" s="66" t="s">
        <v>81</v>
      </c>
      <c r="B38" s="66">
        <f>'M2'!B38-'M1'!B38</f>
        <v>-0.33530000000000015</v>
      </c>
      <c r="C38" s="66">
        <f>'M2'!C38-'M1'!C38</f>
        <v>18.432600000000001</v>
      </c>
      <c r="D38" s="66">
        <f>'M2'!D38-'M1'!D38</f>
        <v>-1.2381799999999998</v>
      </c>
      <c r="E38" s="66">
        <f>'M2'!E38-'M1'!E38</f>
        <v>0</v>
      </c>
      <c r="F38" s="66">
        <f>'M2'!F38-'M1'!F38</f>
        <v>-63.648300000000006</v>
      </c>
      <c r="G38" s="66">
        <f>'M2'!G38-'M1'!G38</f>
        <v>0</v>
      </c>
      <c r="H38" s="66">
        <f>'M2'!H38-'M1'!H38</f>
        <v>162.83999999999997</v>
      </c>
    </row>
    <row r="39" spans="1:8">
      <c r="A39" s="66" t="s">
        <v>82</v>
      </c>
      <c r="B39" s="66">
        <f>'M2'!B39-'M1'!B39</f>
        <v>-1.9834199999999997</v>
      </c>
      <c r="C39" s="66">
        <f>'M2'!C39-'M1'!C39</f>
        <v>6.9883900000000008</v>
      </c>
      <c r="D39" s="66">
        <f>'M2'!D39-'M1'!D39</f>
        <v>-0.76604599999999989</v>
      </c>
      <c r="E39" s="66">
        <f>'M2'!E39-'M1'!E39</f>
        <v>0</v>
      </c>
      <c r="F39" s="66">
        <f>'M2'!F39-'M1'!F39</f>
        <v>-1.8849999999999998</v>
      </c>
      <c r="G39" s="66">
        <f>'M2'!G39-'M1'!G39</f>
        <v>0</v>
      </c>
      <c r="H39" s="66">
        <f>'M2'!H39-'M1'!H39</f>
        <v>77.019959999999998</v>
      </c>
    </row>
    <row r="40" spans="1:8">
      <c r="A40" s="66" t="s">
        <v>83</v>
      </c>
      <c r="B40" s="66">
        <f>'M2'!B40-'M1'!B40</f>
        <v>-1.8836900000000001</v>
      </c>
      <c r="C40" s="66">
        <f>'M2'!C40-'M1'!C40</f>
        <v>0.40421499999999999</v>
      </c>
      <c r="D40" s="66">
        <f>'M2'!D40-'M1'!D40</f>
        <v>1.3481999999999994E-2</v>
      </c>
      <c r="E40" s="66">
        <f>'M2'!E40-'M1'!E40</f>
        <v>0</v>
      </c>
      <c r="F40" s="66">
        <f>'M2'!F40-'M1'!F40</f>
        <v>-2.7103300000000004</v>
      </c>
      <c r="G40" s="66">
        <f>'M2'!G40-'M1'!G40</f>
        <v>0</v>
      </c>
      <c r="H40" s="66">
        <f>'M2'!H40-'M1'!H40</f>
        <v>-1.5541070000000001</v>
      </c>
    </row>
    <row r="41" spans="1:8">
      <c r="A41" s="66" t="s">
        <v>84</v>
      </c>
      <c r="B41" s="66">
        <f>'M2'!B41-'M1'!B41</f>
        <v>1.0797000000000001E-2</v>
      </c>
      <c r="C41" s="66">
        <f>'M2'!C41-'M1'!C41</f>
        <v>-1.4815999999999996E-2</v>
      </c>
      <c r="D41" s="66">
        <f>'M2'!D41-'M1'!D41</f>
        <v>-0.11372000000000027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-3.9736999999999995E-2</v>
      </c>
      <c r="C42" s="66">
        <f>'M2'!C42-'M1'!C42</f>
        <v>3.9107700000000009E-2</v>
      </c>
      <c r="D42" s="66">
        <f>'M2'!D42-'M1'!D42</f>
        <v>-9.5648000000000011E-2</v>
      </c>
      <c r="E42" s="66">
        <f>'M2'!E42-'M1'!E42</f>
        <v>0</v>
      </c>
      <c r="F42" s="66">
        <f>'M2'!F42-'M1'!F42</f>
        <v>6.3903999999999961E-2</v>
      </c>
      <c r="G42" s="66">
        <f>'M2'!G42-'M1'!G42</f>
        <v>0</v>
      </c>
      <c r="H42" s="66">
        <f>'M2'!H42-'M1'!H42</f>
        <v>0.47642472000000002</v>
      </c>
    </row>
    <row r="43" spans="1:8">
      <c r="A43" s="66" t="s">
        <v>86</v>
      </c>
      <c r="B43" s="66">
        <f>'M2'!B43-'M1'!B43</f>
        <v>-0.106616</v>
      </c>
      <c r="C43" s="66">
        <f>'M2'!C43-'M1'!C43</f>
        <v>3.3794799999999993E-2</v>
      </c>
      <c r="D43" s="66">
        <f>'M2'!D43-'M1'!D43</f>
        <v>7.5909000000000004E-2</v>
      </c>
      <c r="E43" s="66">
        <f>'M2'!E43-'M1'!E43</f>
        <v>0</v>
      </c>
      <c r="F43" s="66">
        <f>'M2'!F43-'M1'!F43</f>
        <v>-0.11320500000000003</v>
      </c>
      <c r="G43" s="66">
        <f>'M2'!G43-'M1'!G43</f>
        <v>0</v>
      </c>
      <c r="H43" s="66">
        <f>'M2'!H43-'M1'!H43</f>
        <v>-4.9102599999999996E-2</v>
      </c>
    </row>
    <row r="44" spans="1:8">
      <c r="A44" s="66" t="s">
        <v>87</v>
      </c>
      <c r="B44" s="66">
        <f>'M2'!B44-'M1'!B44</f>
        <v>-35.956748000000005</v>
      </c>
      <c r="C44" s="66">
        <f>'M2'!C44-'M1'!C44</f>
        <v>-1.9619099999999996</v>
      </c>
      <c r="D44" s="66">
        <f>'M2'!D44-'M1'!D44</f>
        <v>18.931605999999999</v>
      </c>
      <c r="E44" s="66">
        <f>'M2'!E44-'M1'!E44</f>
        <v>0</v>
      </c>
      <c r="F44" s="66">
        <f>'M2'!F44-'M1'!F44</f>
        <v>-16.325800000000001</v>
      </c>
      <c r="G44" s="66">
        <f>'M2'!G44-'M1'!G44</f>
        <v>0</v>
      </c>
      <c r="H44" s="66">
        <f>'M2'!H44-'M1'!H44</f>
        <v>-17.50713</v>
      </c>
    </row>
    <row r="45" spans="1:8">
      <c r="A45" s="66" t="s">
        <v>88</v>
      </c>
      <c r="B45" s="66">
        <f>'M2'!B45-'M1'!B45</f>
        <v>3.2347000000000037</v>
      </c>
      <c r="C45" s="66">
        <f>'M2'!C45-'M1'!C45</f>
        <v>0.58651999999999926</v>
      </c>
      <c r="D45" s="66">
        <f>'M2'!D45-'M1'!D45</f>
        <v>1.891999999999977E-3</v>
      </c>
      <c r="E45" s="66">
        <f>'M2'!E45-'M1'!E45</f>
        <v>0</v>
      </c>
      <c r="F45" s="66">
        <f>'M2'!F45-'M1'!F45</f>
        <v>-2.9168999999999983</v>
      </c>
      <c r="G45" s="66">
        <f>'M2'!G45-'M1'!G45</f>
        <v>0</v>
      </c>
      <c r="H45" s="66">
        <f>'M2'!H45-'M1'!H45</f>
        <v>0.35609999999999786</v>
      </c>
    </row>
    <row r="46" spans="1:8">
      <c r="A46" s="66" t="s">
        <v>89</v>
      </c>
      <c r="B46" s="66">
        <f>'M2'!B46-'M1'!B46</f>
        <v>8.8299000000000021</v>
      </c>
      <c r="C46" s="66">
        <f>'M2'!C46-'M1'!C46</f>
        <v>-4.6112500000000001</v>
      </c>
      <c r="D46" s="66">
        <f>'M2'!D46-'M1'!D46</f>
        <v>-0.19499299999999997</v>
      </c>
      <c r="E46" s="66">
        <f>'M2'!E46-'M1'!E46</f>
        <v>0</v>
      </c>
      <c r="F46" s="66">
        <f>'M2'!F46-'M1'!F46</f>
        <v>23.063859999999998</v>
      </c>
      <c r="G46" s="66">
        <f>'M2'!G46-'M1'!G46</f>
        <v>0</v>
      </c>
      <c r="H46" s="66">
        <f>'M2'!H46-'M1'!H46</f>
        <v>7.1556999999999995</v>
      </c>
    </row>
    <row r="47" spans="1:8">
      <c r="A47" s="66" t="s">
        <v>90</v>
      </c>
      <c r="B47" s="66">
        <f>'M2'!B47-'M1'!B47</f>
        <v>-7.9713000000000034E-2</v>
      </c>
      <c r="C47" s="66">
        <f>'M2'!C47-'M1'!C47</f>
        <v>7.7980000000000271E-3</v>
      </c>
      <c r="D47" s="66">
        <f>'M2'!D47-'M1'!D47</f>
        <v>7.1332000000000007E-2</v>
      </c>
      <c r="E47" s="66">
        <f>'M2'!E47-'M1'!E47</f>
        <v>0</v>
      </c>
      <c r="F47" s="66">
        <f>'M2'!F47-'M1'!F47</f>
        <v>-6.6345000000000015E-2</v>
      </c>
      <c r="G47" s="66">
        <f>'M2'!G47-'M1'!G47</f>
        <v>0</v>
      </c>
      <c r="H47" s="66">
        <f>'M2'!H47-'M1'!H47</f>
        <v>0.27902000000000005</v>
      </c>
    </row>
    <row r="48" spans="1:8">
      <c r="A48" s="66" t="s">
        <v>91</v>
      </c>
      <c r="B48" s="66">
        <f>'M2'!B48-'M1'!B48</f>
        <v>-0.11049700000000007</v>
      </c>
      <c r="C48" s="66">
        <f>'M2'!C48-'M1'!C48</f>
        <v>-0.11660479999999999</v>
      </c>
      <c r="D48" s="66">
        <f>'M2'!D48-'M1'!D48</f>
        <v>-0.14710000000000001</v>
      </c>
      <c r="E48" s="66">
        <f>'M2'!E48-'M1'!E48</f>
        <v>0</v>
      </c>
      <c r="F48" s="66">
        <f>'M2'!F48-'M1'!F48</f>
        <v>-4.1250000000000453E-3</v>
      </c>
      <c r="G48" s="66">
        <f>'M2'!G48-'M1'!G48</f>
        <v>0</v>
      </c>
      <c r="H48" s="66">
        <f>'M2'!H48-'M1'!H48</f>
        <v>-0.39070099999999996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29.203900000000001</v>
      </c>
      <c r="C5" s="66">
        <v>7.2252999999999998</v>
      </c>
      <c r="D5" s="66">
        <v>24.7409</v>
      </c>
      <c r="E5" s="66">
        <v>20</v>
      </c>
      <c r="F5" s="66">
        <v>6.8628999999999998</v>
      </c>
      <c r="G5" s="66">
        <v>50</v>
      </c>
      <c r="H5" s="66">
        <v>38.640900000000002</v>
      </c>
    </row>
    <row r="6" spans="1:8">
      <c r="A6" s="66" t="s">
        <v>358</v>
      </c>
      <c r="B6" s="66">
        <v>30.476199999999999</v>
      </c>
      <c r="C6" s="66">
        <v>3.9083199999999998</v>
      </c>
      <c r="D6" s="66">
        <v>12.824199999999999</v>
      </c>
      <c r="E6" s="66">
        <v>20</v>
      </c>
      <c r="F6" s="66">
        <v>26.496200000000002</v>
      </c>
      <c r="G6" s="66">
        <v>40</v>
      </c>
      <c r="H6" s="66">
        <v>37.733400000000003</v>
      </c>
    </row>
    <row r="7" spans="1:8">
      <c r="A7" s="66" t="s">
        <v>359</v>
      </c>
      <c r="B7" s="66">
        <v>33.650599999999997</v>
      </c>
      <c r="C7" s="66">
        <v>9.0177999999999994</v>
      </c>
      <c r="D7" s="66">
        <v>26.798300000000001</v>
      </c>
      <c r="E7" s="66">
        <v>15</v>
      </c>
      <c r="F7" s="66">
        <v>9.8352199999999996</v>
      </c>
      <c r="G7" s="66">
        <v>40</v>
      </c>
      <c r="H7" s="66">
        <v>49.4026</v>
      </c>
    </row>
    <row r="8" spans="1:8">
      <c r="A8" s="66" t="s">
        <v>360</v>
      </c>
      <c r="B8" s="66">
        <v>32.280999999999999</v>
      </c>
      <c r="C8" s="66">
        <v>5.5975299999999999</v>
      </c>
      <c r="D8" s="66">
        <v>17.34</v>
      </c>
      <c r="E8" s="66">
        <v>20</v>
      </c>
      <c r="F8" s="66">
        <v>20.782900000000001</v>
      </c>
      <c r="G8" s="66">
        <v>50</v>
      </c>
      <c r="H8" s="66">
        <v>39.480699999999999</v>
      </c>
    </row>
    <row r="9" spans="1:8">
      <c r="A9" s="66" t="s">
        <v>361</v>
      </c>
      <c r="B9" s="66">
        <v>67.591700000000003</v>
      </c>
      <c r="C9" s="66">
        <v>7.1563499999999998</v>
      </c>
      <c r="D9" s="66">
        <v>10.5876</v>
      </c>
      <c r="E9" s="66">
        <v>50</v>
      </c>
      <c r="F9" s="66">
        <v>53.909100000000002</v>
      </c>
      <c r="G9" s="66">
        <v>100</v>
      </c>
      <c r="H9" s="66">
        <v>93.196700000000007</v>
      </c>
    </row>
    <row r="10" spans="1:8">
      <c r="A10" s="66" t="s">
        <v>362</v>
      </c>
      <c r="B10" s="66">
        <v>73.783199999999994</v>
      </c>
      <c r="C10" s="66">
        <v>3.1364200000000002</v>
      </c>
      <c r="D10" s="66">
        <v>4.2508600000000003</v>
      </c>
      <c r="E10" s="66">
        <v>40</v>
      </c>
      <c r="F10" s="66">
        <v>63.7804</v>
      </c>
      <c r="G10" s="66">
        <v>100</v>
      </c>
      <c r="H10" s="66">
        <v>77.010000000000005</v>
      </c>
    </row>
    <row r="11" spans="1:8">
      <c r="A11" s="66" t="s">
        <v>363</v>
      </c>
      <c r="B11" s="66">
        <v>13.7181</v>
      </c>
      <c r="C11" s="66">
        <v>3.1139899999999998</v>
      </c>
      <c r="D11" s="66">
        <v>22.6999</v>
      </c>
      <c r="E11" s="66">
        <v>10</v>
      </c>
      <c r="F11" s="66">
        <v>3.65394</v>
      </c>
      <c r="G11" s="66">
        <v>50</v>
      </c>
      <c r="H11" s="66">
        <v>15.7377</v>
      </c>
    </row>
    <row r="12" spans="1:8">
      <c r="A12" s="66" t="s">
        <v>364</v>
      </c>
      <c r="B12" s="66">
        <v>70.709100000000007</v>
      </c>
      <c r="C12" s="66">
        <v>3.77366</v>
      </c>
      <c r="D12" s="66">
        <v>5.3368799999999998</v>
      </c>
      <c r="E12" s="66">
        <v>50</v>
      </c>
      <c r="F12" s="66">
        <v>61.145499999999998</v>
      </c>
      <c r="G12" s="66">
        <v>100</v>
      </c>
      <c r="H12" s="66">
        <v>79.690700000000007</v>
      </c>
    </row>
    <row r="13" spans="1:8">
      <c r="A13" s="66" t="s">
        <v>365</v>
      </c>
      <c r="B13" s="66">
        <v>15.7926</v>
      </c>
      <c r="C13" s="66">
        <v>1.8399300000000001</v>
      </c>
      <c r="D13" s="66">
        <v>11.650600000000001</v>
      </c>
      <c r="E13" s="66">
        <v>10</v>
      </c>
      <c r="F13" s="66">
        <v>12.315</v>
      </c>
      <c r="G13" s="66">
        <v>25</v>
      </c>
      <c r="H13" s="66">
        <v>20.297799999999999</v>
      </c>
    </row>
    <row r="14" spans="1:8">
      <c r="A14" s="66" t="s">
        <v>366</v>
      </c>
      <c r="B14" s="66">
        <v>18.3993</v>
      </c>
      <c r="C14" s="66">
        <v>4.76044</v>
      </c>
      <c r="D14" s="66">
        <v>25.872900000000001</v>
      </c>
      <c r="E14" s="66">
        <v>10</v>
      </c>
      <c r="F14" s="66">
        <v>1.69147</v>
      </c>
      <c r="G14" s="66">
        <v>50</v>
      </c>
      <c r="H14" s="66">
        <v>18.3993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0.47150700000000001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0.61610799999999999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1.46055E-4</v>
      </c>
      <c r="C20" s="66">
        <v>9.6409900000000003E-3</v>
      </c>
      <c r="D20" s="66">
        <v>66.009399999999999</v>
      </c>
      <c r="E20" s="66">
        <v>0</v>
      </c>
      <c r="F20" s="66">
        <v>0</v>
      </c>
      <c r="G20" s="66">
        <v>0</v>
      </c>
      <c r="H20" s="66">
        <v>0.164411</v>
      </c>
    </row>
    <row r="21" spans="1:8">
      <c r="A21" s="66" t="s">
        <v>373</v>
      </c>
      <c r="B21" s="66">
        <v>2.5129100000000001E-2</v>
      </c>
      <c r="C21" s="66">
        <v>8.4881799999999993E-2</v>
      </c>
      <c r="D21" s="66">
        <v>3.3778299999999999</v>
      </c>
      <c r="E21" s="66">
        <v>0</v>
      </c>
      <c r="F21" s="196">
        <v>6.2104299999999994E-5</v>
      </c>
      <c r="G21" s="66">
        <v>0</v>
      </c>
      <c r="H21" s="66">
        <v>0.56187500000000001</v>
      </c>
    </row>
    <row r="22" spans="1:8">
      <c r="A22" s="66" t="s">
        <v>374</v>
      </c>
      <c r="B22" s="66">
        <v>28.937100000000001</v>
      </c>
      <c r="C22" s="66">
        <v>8.3191799999999994</v>
      </c>
      <c r="D22" s="66">
        <v>0.28749200000000003</v>
      </c>
      <c r="E22" s="66">
        <v>0</v>
      </c>
      <c r="F22" s="66">
        <v>16.104199999999999</v>
      </c>
      <c r="G22" s="66">
        <v>0</v>
      </c>
      <c r="H22" s="66">
        <v>68.451599999999999</v>
      </c>
    </row>
    <row r="23" spans="1:8">
      <c r="A23" s="66" t="s">
        <v>375</v>
      </c>
      <c r="B23" s="66">
        <v>12.1541</v>
      </c>
      <c r="C23" s="66">
        <v>2.2328000000000001</v>
      </c>
      <c r="D23" s="66">
        <v>0.18370700000000001</v>
      </c>
      <c r="E23" s="66">
        <v>0</v>
      </c>
      <c r="F23" s="66">
        <v>5.3969399999999998</v>
      </c>
      <c r="G23" s="66">
        <v>0</v>
      </c>
      <c r="H23" s="66">
        <v>13.831</v>
      </c>
    </row>
    <row r="24" spans="1:8">
      <c r="A24" s="66" t="s">
        <v>376</v>
      </c>
      <c r="B24" s="66">
        <v>4.2272000000000002E-4</v>
      </c>
      <c r="C24" s="66">
        <v>5.7013999999999997E-3</v>
      </c>
      <c r="D24" s="66">
        <v>13.487399999999999</v>
      </c>
      <c r="E24" s="66">
        <v>0</v>
      </c>
      <c r="F24" s="196">
        <v>1.2939099999999999E-5</v>
      </c>
      <c r="G24" s="66">
        <v>0</v>
      </c>
      <c r="H24" s="66">
        <v>4.0677100000000001E-2</v>
      </c>
    </row>
    <row r="25" spans="1:8">
      <c r="A25" s="66" t="s">
        <v>377</v>
      </c>
      <c r="B25" s="66">
        <v>4.7355399999999999E-2</v>
      </c>
      <c r="C25" s="66">
        <v>3.5600300000000001E-2</v>
      </c>
      <c r="D25" s="66">
        <v>0.75176900000000002</v>
      </c>
      <c r="E25" s="66">
        <v>0</v>
      </c>
      <c r="F25" s="66">
        <v>1.12406E-2</v>
      </c>
      <c r="G25" s="66">
        <v>0</v>
      </c>
      <c r="H25" s="66">
        <v>0.177345</v>
      </c>
    </row>
    <row r="26" spans="1:8">
      <c r="A26" s="66" t="s">
        <v>378</v>
      </c>
      <c r="B26" s="196">
        <v>5.5803600000000002E-5</v>
      </c>
      <c r="C26" s="66">
        <v>7.9350199999999997E-4</v>
      </c>
      <c r="D26" s="66">
        <v>14.2195</v>
      </c>
      <c r="E26" s="66">
        <v>0</v>
      </c>
      <c r="F26" s="66">
        <v>0</v>
      </c>
      <c r="G26" s="66">
        <v>0</v>
      </c>
      <c r="H26" s="66">
        <v>1.04057E-2</v>
      </c>
    </row>
    <row r="27" spans="1:8">
      <c r="A27" s="66" t="s">
        <v>379</v>
      </c>
      <c r="B27" s="66">
        <v>0</v>
      </c>
      <c r="C27" s="66">
        <v>6.9032499999999999E-4</v>
      </c>
      <c r="D27" s="66">
        <v>0</v>
      </c>
      <c r="E27" s="66">
        <v>0</v>
      </c>
      <c r="F27" s="66">
        <v>-7.3233999999999999E-3</v>
      </c>
      <c r="G27" s="66">
        <v>0</v>
      </c>
      <c r="H27" s="66">
        <v>7.4415699999999998E-3</v>
      </c>
    </row>
    <row r="28" spans="1:8">
      <c r="A28" s="66" t="s">
        <v>380</v>
      </c>
      <c r="B28" s="66">
        <v>4.8014299999999998E-3</v>
      </c>
      <c r="C28" s="66">
        <v>9.0672600000000006E-3</v>
      </c>
      <c r="D28" s="66">
        <v>1.88845</v>
      </c>
      <c r="E28" s="66">
        <v>0</v>
      </c>
      <c r="F28" s="196">
        <v>1.95312E-5</v>
      </c>
      <c r="G28" s="66">
        <v>0</v>
      </c>
      <c r="H28" s="66">
        <v>5.3955099999999999E-2</v>
      </c>
    </row>
    <row r="29" spans="1:8">
      <c r="A29" s="66" t="s">
        <v>381</v>
      </c>
      <c r="B29" s="66">
        <v>65.196399999999997</v>
      </c>
      <c r="C29" s="66">
        <v>9.8081200000000006</v>
      </c>
      <c r="D29" s="66">
        <v>0.15043999999999999</v>
      </c>
      <c r="E29" s="66">
        <v>0</v>
      </c>
      <c r="F29" s="66">
        <v>42.797400000000003</v>
      </c>
      <c r="G29" s="66">
        <v>0</v>
      </c>
      <c r="H29" s="66">
        <v>90.108099999999993</v>
      </c>
    </row>
    <row r="30" spans="1:8">
      <c r="A30" s="66" t="s">
        <v>382</v>
      </c>
      <c r="B30" s="66">
        <v>20.941600000000001</v>
      </c>
      <c r="C30" s="66">
        <v>4.2477900000000002</v>
      </c>
      <c r="D30" s="66">
        <v>0.20283899999999999</v>
      </c>
      <c r="E30" s="66">
        <v>0</v>
      </c>
      <c r="F30" s="66">
        <v>7.48</v>
      </c>
      <c r="G30" s="66">
        <v>0</v>
      </c>
      <c r="H30" s="66">
        <v>23.401299999999999</v>
      </c>
    </row>
    <row r="31" spans="1:8">
      <c r="A31" s="66" t="s">
        <v>383</v>
      </c>
      <c r="B31" s="66">
        <v>58.155799999999999</v>
      </c>
      <c r="C31" s="66">
        <v>17.822700000000001</v>
      </c>
      <c r="D31" s="66">
        <v>0.30646600000000002</v>
      </c>
      <c r="E31" s="66">
        <v>0</v>
      </c>
      <c r="F31" s="66">
        <v>19.9681</v>
      </c>
      <c r="G31" s="66">
        <v>0</v>
      </c>
      <c r="H31" s="66">
        <v>91.626800000000003</v>
      </c>
    </row>
    <row r="32" spans="1:8">
      <c r="A32" s="66" t="s">
        <v>384</v>
      </c>
      <c r="B32" s="66">
        <v>0.33650600000000003</v>
      </c>
      <c r="C32" s="66">
        <v>9.0177999999999994E-2</v>
      </c>
      <c r="D32" s="66">
        <v>0.26798300000000003</v>
      </c>
      <c r="E32" s="66">
        <v>0.15</v>
      </c>
      <c r="F32" s="66">
        <v>9.8352200000000001E-2</v>
      </c>
      <c r="G32" s="66">
        <v>0.4</v>
      </c>
      <c r="H32" s="66">
        <v>0.49402600000000002</v>
      </c>
    </row>
    <row r="33" spans="1:8">
      <c r="A33" s="66" t="s">
        <v>385</v>
      </c>
      <c r="B33" s="66">
        <v>0.44190800000000002</v>
      </c>
      <c r="C33" s="66">
        <v>1.65749E-2</v>
      </c>
      <c r="D33" s="66">
        <v>3.7507699999999998E-2</v>
      </c>
      <c r="E33" s="66">
        <v>0</v>
      </c>
      <c r="F33" s="66">
        <v>0.39985300000000001</v>
      </c>
      <c r="G33" s="66">
        <v>0</v>
      </c>
      <c r="H33" s="66">
        <v>0.47257199999999999</v>
      </c>
    </row>
    <row r="34" spans="1:8">
      <c r="A34" s="66" t="s">
        <v>386</v>
      </c>
      <c r="B34" s="66">
        <v>0.15792600000000001</v>
      </c>
      <c r="C34" s="66">
        <v>1.83993E-2</v>
      </c>
      <c r="D34" s="66">
        <v>0.116506</v>
      </c>
      <c r="E34" s="66">
        <v>0.1</v>
      </c>
      <c r="F34" s="66">
        <v>0.12315</v>
      </c>
      <c r="G34" s="66">
        <v>0.25</v>
      </c>
      <c r="H34" s="66">
        <v>0.20297799999999999</v>
      </c>
    </row>
    <row r="35" spans="1:8">
      <c r="A35" s="66" t="s">
        <v>387</v>
      </c>
      <c r="B35" s="66">
        <v>7.3930999999999997E-2</v>
      </c>
      <c r="C35" s="66">
        <v>1.8897199999999999E-2</v>
      </c>
      <c r="D35" s="66">
        <v>0.25560699999999997</v>
      </c>
      <c r="E35" s="66">
        <v>0</v>
      </c>
      <c r="F35" s="66">
        <v>4.2482600000000002E-2</v>
      </c>
      <c r="G35" s="66">
        <v>0</v>
      </c>
      <c r="H35" s="66">
        <v>0.124777</v>
      </c>
    </row>
    <row r="36" spans="1:8">
      <c r="A36" s="66" t="s">
        <v>388</v>
      </c>
      <c r="B36" s="66">
        <v>0.13902400000000001</v>
      </c>
      <c r="C36" s="66">
        <v>7.7499700000000005E-2</v>
      </c>
      <c r="D36" s="66">
        <v>0.55745699999999998</v>
      </c>
      <c r="E36" s="66">
        <v>0</v>
      </c>
      <c r="F36" s="66">
        <v>3.5266100000000002E-2</v>
      </c>
      <c r="G36" s="66">
        <v>0</v>
      </c>
      <c r="H36" s="66">
        <v>0.43791099999999999</v>
      </c>
    </row>
    <row r="37" spans="1:8">
      <c r="A37" s="66" t="s">
        <v>389</v>
      </c>
      <c r="B37" s="66">
        <v>0.18399299999999999</v>
      </c>
      <c r="C37" s="66">
        <v>4.7604399999999998E-2</v>
      </c>
      <c r="D37" s="66">
        <v>0.25872899999999999</v>
      </c>
      <c r="E37" s="66">
        <v>0.1</v>
      </c>
      <c r="F37" s="66">
        <v>1.6914700000000001E-2</v>
      </c>
      <c r="G37" s="66">
        <v>0.5</v>
      </c>
      <c r="H37" s="66">
        <v>0.18399299999999999</v>
      </c>
    </row>
    <row r="38" spans="1:8">
      <c r="A38" s="66" t="s">
        <v>390</v>
      </c>
      <c r="B38" s="66">
        <v>-13.870900000000001</v>
      </c>
      <c r="C38" s="66">
        <v>34.854199999999999</v>
      </c>
      <c r="D38" s="66">
        <v>-2.5127600000000001</v>
      </c>
      <c r="E38" s="66">
        <v>0</v>
      </c>
      <c r="F38" s="66">
        <v>-99.0017</v>
      </c>
      <c r="G38" s="66">
        <v>0</v>
      </c>
      <c r="H38" s="66">
        <v>76.05</v>
      </c>
    </row>
    <row r="39" spans="1:8">
      <c r="A39" s="66" t="s">
        <v>391</v>
      </c>
      <c r="B39" s="66">
        <v>-5.7513399999999999</v>
      </c>
      <c r="C39" s="66">
        <v>3.08291</v>
      </c>
      <c r="D39" s="66">
        <v>-0.53603400000000001</v>
      </c>
      <c r="E39" s="66">
        <v>0</v>
      </c>
      <c r="F39" s="66">
        <v>-12.6212</v>
      </c>
      <c r="G39" s="66">
        <v>0</v>
      </c>
      <c r="H39" s="66">
        <v>2.7941400000000001</v>
      </c>
    </row>
    <row r="40" spans="1:8">
      <c r="A40" s="66" t="s">
        <v>392</v>
      </c>
      <c r="B40" s="66">
        <v>-2.0524100000000001</v>
      </c>
      <c r="C40" s="66">
        <v>0.49823600000000001</v>
      </c>
      <c r="D40" s="66">
        <v>-0.242757</v>
      </c>
      <c r="E40" s="66">
        <v>0</v>
      </c>
      <c r="F40" s="66">
        <v>-2.4690699999999999</v>
      </c>
      <c r="G40" s="66">
        <v>0</v>
      </c>
      <c r="H40" s="66">
        <v>-0.33402300000000001</v>
      </c>
    </row>
    <row r="41" spans="1:8">
      <c r="A41" s="66" t="s">
        <v>393</v>
      </c>
      <c r="B41" s="66">
        <v>-0.14502300000000001</v>
      </c>
      <c r="C41" s="66">
        <v>0.40399200000000002</v>
      </c>
      <c r="D41" s="66">
        <v>-2.7856999999999998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-0.16394600000000001</v>
      </c>
      <c r="C42" s="66">
        <v>8.0969299999999994E-2</v>
      </c>
      <c r="D42" s="66">
        <v>-0.49387900000000001</v>
      </c>
      <c r="E42" s="66">
        <v>0</v>
      </c>
      <c r="F42" s="66">
        <v>-0.47291899999999998</v>
      </c>
      <c r="G42" s="66">
        <v>0</v>
      </c>
      <c r="H42" s="66">
        <v>-5.9737200000000001E-3</v>
      </c>
    </row>
    <row r="43" spans="1:8">
      <c r="A43" s="66" t="s">
        <v>395</v>
      </c>
      <c r="B43" s="66">
        <v>-7.6865000000000003E-2</v>
      </c>
      <c r="C43" s="66">
        <v>3.4405600000000001E-2</v>
      </c>
      <c r="D43" s="66">
        <v>-0.44761200000000001</v>
      </c>
      <c r="E43" s="66">
        <v>0</v>
      </c>
      <c r="F43" s="66">
        <v>-0.15604199999999999</v>
      </c>
      <c r="G43" s="66">
        <v>0</v>
      </c>
      <c r="H43" s="66">
        <v>-1.34615E-2</v>
      </c>
    </row>
    <row r="44" spans="1:8">
      <c r="A44" s="66" t="s">
        <v>396</v>
      </c>
      <c r="B44" s="66">
        <v>-0.61035200000000001</v>
      </c>
      <c r="C44" s="66">
        <v>11.7178</v>
      </c>
      <c r="D44" s="66">
        <v>-19.198399999999999</v>
      </c>
      <c r="E44" s="66">
        <v>0</v>
      </c>
      <c r="F44" s="66">
        <v>-35.549199999999999</v>
      </c>
      <c r="G44" s="66">
        <v>0</v>
      </c>
      <c r="H44" s="66">
        <v>5.1381300000000003</v>
      </c>
    </row>
    <row r="45" spans="1:8">
      <c r="A45" s="66" t="s">
        <v>397</v>
      </c>
      <c r="B45" s="66">
        <v>52.769599999999997</v>
      </c>
      <c r="C45" s="66">
        <v>7.8402500000000002</v>
      </c>
      <c r="D45" s="66">
        <v>0.14857500000000001</v>
      </c>
      <c r="E45" s="66">
        <v>0</v>
      </c>
      <c r="F45" s="66">
        <v>33.176499999999997</v>
      </c>
      <c r="G45" s="66">
        <v>0</v>
      </c>
      <c r="H45" s="66">
        <v>72.152500000000003</v>
      </c>
    </row>
    <row r="46" spans="1:8">
      <c r="A46" s="66" t="s">
        <v>398</v>
      </c>
      <c r="B46" s="66">
        <v>26.988</v>
      </c>
      <c r="C46" s="66">
        <v>7.2528499999999996</v>
      </c>
      <c r="D46" s="66">
        <v>0.26874399999999998</v>
      </c>
      <c r="E46" s="66">
        <v>0</v>
      </c>
      <c r="F46" s="66">
        <v>6.1646400000000003</v>
      </c>
      <c r="G46" s="66">
        <v>0</v>
      </c>
      <c r="H46" s="66">
        <v>30.895399999999999</v>
      </c>
    </row>
    <row r="47" spans="1:8">
      <c r="A47" s="66" t="s">
        <v>399</v>
      </c>
      <c r="B47" s="66">
        <v>0.65735900000000003</v>
      </c>
      <c r="C47" s="66">
        <v>0.27548699999999998</v>
      </c>
      <c r="D47" s="66">
        <v>0.41908099999999998</v>
      </c>
      <c r="E47" s="66">
        <v>0</v>
      </c>
      <c r="F47" s="66">
        <v>0.25968400000000003</v>
      </c>
      <c r="G47" s="66">
        <v>0</v>
      </c>
      <c r="H47" s="66">
        <v>1.45418</v>
      </c>
    </row>
    <row r="48" spans="1:8">
      <c r="A48" s="66" t="s">
        <v>400</v>
      </c>
      <c r="B48" s="66">
        <v>0.70812600000000003</v>
      </c>
      <c r="C48" s="66">
        <v>0.18388399999999999</v>
      </c>
      <c r="D48" s="66">
        <v>0.25967699999999999</v>
      </c>
      <c r="E48" s="66">
        <v>0</v>
      </c>
      <c r="F48" s="66">
        <v>0.44521300000000003</v>
      </c>
      <c r="G48" s="66">
        <v>0</v>
      </c>
      <c r="H48" s="66">
        <v>1.08127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39.448700000000002</v>
      </c>
      <c r="C5" s="66">
        <v>3.4275799999999998</v>
      </c>
      <c r="D5" s="66">
        <v>8.6887100000000004</v>
      </c>
      <c r="E5" s="66">
        <v>20</v>
      </c>
      <c r="F5" s="66">
        <v>30.6312</v>
      </c>
      <c r="G5" s="66">
        <v>50</v>
      </c>
      <c r="H5" s="66">
        <v>44.061399999999999</v>
      </c>
    </row>
    <row r="6" spans="1:8">
      <c r="A6" s="66" t="s">
        <v>358</v>
      </c>
      <c r="B6" s="66">
        <v>33.731000000000002</v>
      </c>
      <c r="C6" s="66">
        <v>1.17022</v>
      </c>
      <c r="D6" s="66">
        <v>3.4692599999999998</v>
      </c>
      <c r="E6" s="66">
        <v>20</v>
      </c>
      <c r="F6" s="66">
        <v>31.513000000000002</v>
      </c>
      <c r="G6" s="66">
        <v>40</v>
      </c>
      <c r="H6" s="66">
        <v>36.131999999999998</v>
      </c>
    </row>
    <row r="7" spans="1:8">
      <c r="A7" s="66" t="s">
        <v>359</v>
      </c>
      <c r="B7" s="66">
        <v>33.643599999999999</v>
      </c>
      <c r="C7" s="66">
        <v>5.5583499999999999</v>
      </c>
      <c r="D7" s="66">
        <v>16.5213</v>
      </c>
      <c r="E7" s="66">
        <v>15</v>
      </c>
      <c r="F7" s="66">
        <v>12.8222</v>
      </c>
      <c r="G7" s="66">
        <v>40</v>
      </c>
      <c r="H7" s="66">
        <v>50.526400000000002</v>
      </c>
    </row>
    <row r="8" spans="1:8">
      <c r="A8" s="66" t="s">
        <v>360</v>
      </c>
      <c r="B8" s="66">
        <v>34.778599999999997</v>
      </c>
      <c r="C8" s="66">
        <v>1.4916</v>
      </c>
      <c r="D8" s="66">
        <v>4.2888400000000004</v>
      </c>
      <c r="E8" s="66">
        <v>20</v>
      </c>
      <c r="F8" s="66">
        <v>30.616599999999998</v>
      </c>
      <c r="G8" s="66">
        <v>50</v>
      </c>
      <c r="H8" s="66">
        <v>38.953400000000002</v>
      </c>
    </row>
    <row r="9" spans="1:8">
      <c r="A9" s="66" t="s">
        <v>361</v>
      </c>
      <c r="B9" s="66">
        <v>67.237799999999993</v>
      </c>
      <c r="C9" s="66">
        <v>4.5697000000000001</v>
      </c>
      <c r="D9" s="66">
        <v>6.7963300000000002</v>
      </c>
      <c r="E9" s="66">
        <v>50</v>
      </c>
      <c r="F9" s="66">
        <v>54.931600000000003</v>
      </c>
      <c r="G9" s="66">
        <v>100</v>
      </c>
      <c r="H9" s="66">
        <v>74.003</v>
      </c>
    </row>
    <row r="10" spans="1:8">
      <c r="A10" s="66" t="s">
        <v>362</v>
      </c>
      <c r="B10" s="66">
        <v>69.8369</v>
      </c>
      <c r="C10" s="66">
        <v>2.62121</v>
      </c>
      <c r="D10" s="66">
        <v>3.7533300000000001</v>
      </c>
      <c r="E10" s="66">
        <v>40</v>
      </c>
      <c r="F10" s="66">
        <v>65.411699999999996</v>
      </c>
      <c r="G10" s="66">
        <v>100</v>
      </c>
      <c r="H10" s="66">
        <v>75.360200000000006</v>
      </c>
    </row>
    <row r="11" spans="1:8">
      <c r="A11" s="66" t="s">
        <v>363</v>
      </c>
      <c r="B11" s="66">
        <v>18.105399999999999</v>
      </c>
      <c r="C11" s="66">
        <v>2.3765200000000002</v>
      </c>
      <c r="D11" s="66">
        <v>13.125999999999999</v>
      </c>
      <c r="E11" s="66">
        <v>10</v>
      </c>
      <c r="F11" s="66">
        <v>11.979100000000001</v>
      </c>
      <c r="G11" s="66">
        <v>50</v>
      </c>
      <c r="H11" s="66">
        <v>21.095300000000002</v>
      </c>
    </row>
    <row r="12" spans="1:8">
      <c r="A12" s="66" t="s">
        <v>364</v>
      </c>
      <c r="B12" s="66">
        <v>68.405299999999997</v>
      </c>
      <c r="C12" s="66">
        <v>2.4403999999999999</v>
      </c>
      <c r="D12" s="66">
        <v>3.5675599999999998</v>
      </c>
      <c r="E12" s="66">
        <v>50</v>
      </c>
      <c r="F12" s="66">
        <v>62.3339</v>
      </c>
      <c r="G12" s="66">
        <v>100</v>
      </c>
      <c r="H12" s="66">
        <v>72.653700000000001</v>
      </c>
    </row>
    <row r="13" spans="1:8">
      <c r="A13" s="66" t="s">
        <v>365</v>
      </c>
      <c r="B13" s="66">
        <v>15.725899999999999</v>
      </c>
      <c r="C13" s="66">
        <v>2.0683099999999999</v>
      </c>
      <c r="D13" s="66">
        <v>13.152200000000001</v>
      </c>
      <c r="E13" s="66">
        <v>10</v>
      </c>
      <c r="F13" s="66">
        <v>12.123699999999999</v>
      </c>
      <c r="G13" s="66">
        <v>25</v>
      </c>
      <c r="H13" s="66">
        <v>21.4145</v>
      </c>
    </row>
    <row r="14" spans="1:8">
      <c r="A14" s="66" t="s">
        <v>366</v>
      </c>
      <c r="B14" s="66">
        <v>20.6831</v>
      </c>
      <c r="C14" s="66">
        <v>7.1638299999999999</v>
      </c>
      <c r="D14" s="66">
        <v>34.636200000000002</v>
      </c>
      <c r="E14" s="66">
        <v>10</v>
      </c>
      <c r="F14" s="66">
        <v>2.4209399999999999</v>
      </c>
      <c r="G14" s="66">
        <v>50</v>
      </c>
      <c r="H14" s="66">
        <v>24.877500000000001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0.61169300000000004</v>
      </c>
      <c r="C18" s="66">
        <v>1.16121E-2</v>
      </c>
      <c r="D18" s="66">
        <v>1.89836E-2</v>
      </c>
      <c r="E18" s="66">
        <v>0</v>
      </c>
      <c r="F18" s="66">
        <v>0.60008099999999998</v>
      </c>
      <c r="G18" s="66">
        <v>0</v>
      </c>
      <c r="H18" s="66">
        <v>0.623305</v>
      </c>
    </row>
    <row r="19" spans="1:8">
      <c r="A19" s="66" t="s">
        <v>371</v>
      </c>
      <c r="B19" s="66">
        <v>0.73333099999999996</v>
      </c>
      <c r="C19" s="66">
        <v>2.6472699999999998E-2</v>
      </c>
      <c r="D19" s="66">
        <v>3.6099300000000001E-2</v>
      </c>
      <c r="E19" s="66">
        <v>0</v>
      </c>
      <c r="F19" s="66">
        <v>0.70685799999999999</v>
      </c>
      <c r="G19" s="66">
        <v>0</v>
      </c>
      <c r="H19" s="66">
        <v>0.75980400000000003</v>
      </c>
    </row>
    <row r="20" spans="1:8">
      <c r="A20" s="66" t="s">
        <v>372</v>
      </c>
      <c r="B20" s="66">
        <v>1.77844E-4</v>
      </c>
      <c r="C20" s="66">
        <v>1.9348400000000002E-2</v>
      </c>
      <c r="D20" s="66">
        <v>108.794</v>
      </c>
      <c r="E20" s="66">
        <v>0</v>
      </c>
      <c r="F20" s="66">
        <v>0</v>
      </c>
      <c r="G20" s="66">
        <v>0</v>
      </c>
      <c r="H20" s="66">
        <v>0.197903</v>
      </c>
    </row>
    <row r="21" spans="1:8">
      <c r="A21" s="66" t="s">
        <v>401</v>
      </c>
      <c r="B21" s="66">
        <v>2.99787E-2</v>
      </c>
      <c r="C21" s="66">
        <v>9.6071299999999998E-2</v>
      </c>
      <c r="D21" s="66">
        <v>3.20465</v>
      </c>
      <c r="E21" s="66">
        <v>0</v>
      </c>
      <c r="F21" s="196">
        <v>3.44669E-7</v>
      </c>
      <c r="G21" s="66">
        <v>0</v>
      </c>
      <c r="H21" s="66">
        <v>0.73327399999999998</v>
      </c>
    </row>
    <row r="22" spans="1:8">
      <c r="A22" s="66" t="s">
        <v>374</v>
      </c>
      <c r="B22" s="66">
        <v>33.574800000000003</v>
      </c>
      <c r="C22" s="66">
        <v>22.116099999999999</v>
      </c>
      <c r="D22" s="66">
        <v>0.65871000000000002</v>
      </c>
      <c r="E22" s="66">
        <v>0</v>
      </c>
      <c r="F22" s="66">
        <v>10.976699999999999</v>
      </c>
      <c r="G22" s="66">
        <v>0</v>
      </c>
      <c r="H22" s="66">
        <v>120.41200000000001</v>
      </c>
    </row>
    <row r="23" spans="1:8">
      <c r="A23" s="66" t="s">
        <v>375</v>
      </c>
      <c r="B23" s="66">
        <v>18.773599999999998</v>
      </c>
      <c r="C23" s="66">
        <v>3.6120100000000002</v>
      </c>
      <c r="D23" s="66">
        <v>0.19239899999999999</v>
      </c>
      <c r="E23" s="66">
        <v>0</v>
      </c>
      <c r="F23" s="66">
        <v>11.5373</v>
      </c>
      <c r="G23" s="66">
        <v>0</v>
      </c>
      <c r="H23" s="66">
        <v>22.873200000000001</v>
      </c>
    </row>
    <row r="24" spans="1:8">
      <c r="A24" s="66" t="s">
        <v>376</v>
      </c>
      <c r="B24" s="66">
        <v>4.9248399999999996E-4</v>
      </c>
      <c r="C24" s="66">
        <v>1.0057E-2</v>
      </c>
      <c r="D24" s="66">
        <v>20.4209</v>
      </c>
      <c r="E24" s="66">
        <v>0</v>
      </c>
      <c r="F24" s="196">
        <v>1.16322E-5</v>
      </c>
      <c r="G24" s="66">
        <v>0</v>
      </c>
      <c r="H24" s="66">
        <v>4.3635E-2</v>
      </c>
    </row>
    <row r="25" spans="1:8">
      <c r="A25" s="66" t="s">
        <v>377</v>
      </c>
      <c r="B25" s="66">
        <v>5.3953300000000003E-2</v>
      </c>
      <c r="C25" s="66">
        <v>4.1973700000000003E-2</v>
      </c>
      <c r="D25" s="66">
        <v>0.77796399999999999</v>
      </c>
      <c r="E25" s="66">
        <v>0</v>
      </c>
      <c r="F25" s="66">
        <v>9.4150999999999992E-3</v>
      </c>
      <c r="G25" s="66">
        <v>0</v>
      </c>
      <c r="H25" s="66">
        <v>0.19424</v>
      </c>
    </row>
    <row r="26" spans="1:8">
      <c r="A26" s="66" t="s">
        <v>378</v>
      </c>
      <c r="B26" s="196">
        <v>6.5651300000000006E-5</v>
      </c>
      <c r="C26" s="66">
        <v>1.1192699999999999E-3</v>
      </c>
      <c r="D26" s="66">
        <v>17.0487</v>
      </c>
      <c r="E26" s="66">
        <v>0</v>
      </c>
      <c r="F26" s="66">
        <v>0</v>
      </c>
      <c r="G26" s="66">
        <v>0</v>
      </c>
      <c r="H26" s="66">
        <v>9.16492E-3</v>
      </c>
    </row>
    <row r="27" spans="1:8">
      <c r="A27" s="66" t="s">
        <v>379</v>
      </c>
      <c r="B27" s="196">
        <v>-3.2825599999999999E-6</v>
      </c>
      <c r="C27" s="66">
        <v>1.0246999999999999E-3</v>
      </c>
      <c r="D27" s="66">
        <v>-312.16399999999999</v>
      </c>
      <c r="E27" s="66">
        <v>0</v>
      </c>
      <c r="F27" s="66">
        <v>-7.3890500000000003E-3</v>
      </c>
      <c r="G27" s="66">
        <v>0</v>
      </c>
      <c r="H27" s="66">
        <v>7.9766300000000002E-3</v>
      </c>
    </row>
    <row r="28" spans="1:8">
      <c r="A28" s="66" t="s">
        <v>380</v>
      </c>
      <c r="B28" s="66">
        <v>5.8886700000000004E-3</v>
      </c>
      <c r="C28" s="66">
        <v>8.5911000000000008E-3</v>
      </c>
      <c r="D28" s="66">
        <v>1.45892</v>
      </c>
      <c r="E28" s="66">
        <v>0</v>
      </c>
      <c r="F28" s="196">
        <v>3.25521E-6</v>
      </c>
      <c r="G28" s="66">
        <v>0</v>
      </c>
      <c r="H28" s="66">
        <v>6.54362E-2</v>
      </c>
    </row>
    <row r="29" spans="1:8">
      <c r="A29" s="66" t="s">
        <v>381</v>
      </c>
      <c r="B29" s="66">
        <v>68.274799999999999</v>
      </c>
      <c r="C29" s="66">
        <v>13.171799999999999</v>
      </c>
      <c r="D29" s="66">
        <v>0.19292300000000001</v>
      </c>
      <c r="E29" s="66">
        <v>0</v>
      </c>
      <c r="F29" s="66">
        <v>41.748800000000003</v>
      </c>
      <c r="G29" s="66">
        <v>0</v>
      </c>
      <c r="H29" s="66">
        <v>112.581</v>
      </c>
    </row>
    <row r="30" spans="1:8">
      <c r="A30" s="66" t="s">
        <v>382</v>
      </c>
      <c r="B30" s="66">
        <v>26.602900000000002</v>
      </c>
      <c r="C30" s="66">
        <v>3.6530399999999998</v>
      </c>
      <c r="D30" s="66">
        <v>0.13731699999999999</v>
      </c>
      <c r="E30" s="66">
        <v>0</v>
      </c>
      <c r="F30" s="66">
        <v>19.289200000000001</v>
      </c>
      <c r="G30" s="66">
        <v>0</v>
      </c>
      <c r="H30" s="66">
        <v>31.243600000000001</v>
      </c>
    </row>
    <row r="31" spans="1:8">
      <c r="A31" s="66" t="s">
        <v>383</v>
      </c>
      <c r="B31" s="66">
        <v>204.58799999999999</v>
      </c>
      <c r="C31" s="66">
        <v>60.394100000000002</v>
      </c>
      <c r="D31" s="66">
        <v>0.29519800000000002</v>
      </c>
      <c r="E31" s="66">
        <v>0</v>
      </c>
      <c r="F31" s="66">
        <v>78.915499999999994</v>
      </c>
      <c r="G31" s="66">
        <v>0</v>
      </c>
      <c r="H31" s="66">
        <v>262.85300000000001</v>
      </c>
    </row>
    <row r="32" spans="1:8">
      <c r="A32" s="66" t="s">
        <v>384</v>
      </c>
      <c r="B32" s="66">
        <v>0.33643600000000001</v>
      </c>
      <c r="C32" s="66">
        <v>5.5583500000000001E-2</v>
      </c>
      <c r="D32" s="66">
        <v>0.165213</v>
      </c>
      <c r="E32" s="66">
        <v>0.15</v>
      </c>
      <c r="F32" s="66">
        <v>0.128222</v>
      </c>
      <c r="G32" s="66">
        <v>0.4</v>
      </c>
      <c r="H32" s="66">
        <v>0.50526400000000005</v>
      </c>
    </row>
    <row r="33" spans="1:8">
      <c r="A33" s="66" t="s">
        <v>385</v>
      </c>
      <c r="B33" s="66">
        <v>0.48109200000000002</v>
      </c>
      <c r="C33" s="66">
        <v>1.53709E-2</v>
      </c>
      <c r="D33" s="66">
        <v>3.1949900000000003E-2</v>
      </c>
      <c r="E33" s="66">
        <v>0</v>
      </c>
      <c r="F33" s="66">
        <v>0.421408</v>
      </c>
      <c r="G33" s="66">
        <v>0</v>
      </c>
      <c r="H33" s="66">
        <v>0.51026000000000005</v>
      </c>
    </row>
    <row r="34" spans="1:8">
      <c r="A34" s="66" t="s">
        <v>386</v>
      </c>
      <c r="B34" s="66">
        <v>0.15725900000000001</v>
      </c>
      <c r="C34" s="66">
        <v>2.0683099999999999E-2</v>
      </c>
      <c r="D34" s="66">
        <v>0.131522</v>
      </c>
      <c r="E34" s="66">
        <v>0.1</v>
      </c>
      <c r="F34" s="66">
        <v>0.121237</v>
      </c>
      <c r="G34" s="66">
        <v>0.25</v>
      </c>
      <c r="H34" s="66">
        <v>0.214145</v>
      </c>
    </row>
    <row r="35" spans="1:8">
      <c r="A35" s="66" t="s">
        <v>387</v>
      </c>
      <c r="B35" s="66">
        <v>7.1210899999999994E-2</v>
      </c>
      <c r="C35" s="66">
        <v>1.4124599999999999E-2</v>
      </c>
      <c r="D35" s="66">
        <v>0.198348</v>
      </c>
      <c r="E35" s="66">
        <v>0</v>
      </c>
      <c r="F35" s="66">
        <v>4.2373599999999997E-2</v>
      </c>
      <c r="G35" s="66">
        <v>0</v>
      </c>
      <c r="H35" s="66">
        <v>0.104411</v>
      </c>
    </row>
    <row r="36" spans="1:8">
      <c r="A36" s="66" t="s">
        <v>388</v>
      </c>
      <c r="B36" s="66">
        <v>0.14898500000000001</v>
      </c>
      <c r="C36" s="66">
        <v>7.7682600000000004E-2</v>
      </c>
      <c r="D36" s="66">
        <v>0.52141199999999999</v>
      </c>
      <c r="E36" s="66">
        <v>0</v>
      </c>
      <c r="F36" s="66">
        <v>3.7511999999999997E-2</v>
      </c>
      <c r="G36" s="66">
        <v>0</v>
      </c>
      <c r="H36" s="66">
        <v>0.40223500000000001</v>
      </c>
    </row>
    <row r="37" spans="1:8">
      <c r="A37" s="66" t="s">
        <v>389</v>
      </c>
      <c r="B37" s="66">
        <v>0.20683099999999999</v>
      </c>
      <c r="C37" s="66">
        <v>7.1638300000000002E-2</v>
      </c>
      <c r="D37" s="66">
        <v>0.346362</v>
      </c>
      <c r="E37" s="66">
        <v>0.1</v>
      </c>
      <c r="F37" s="66">
        <v>2.4209399999999999E-2</v>
      </c>
      <c r="G37" s="66">
        <v>0.5</v>
      </c>
      <c r="H37" s="66">
        <v>0.248775</v>
      </c>
    </row>
    <row r="38" spans="1:8">
      <c r="A38" s="66" t="s">
        <v>390</v>
      </c>
      <c r="B38" s="66">
        <v>-14.206200000000001</v>
      </c>
      <c r="C38" s="66">
        <v>53.286799999999999</v>
      </c>
      <c r="D38" s="66">
        <v>-3.7509399999999999</v>
      </c>
      <c r="E38" s="66">
        <v>0</v>
      </c>
      <c r="F38" s="66">
        <v>-162.65</v>
      </c>
      <c r="G38" s="66">
        <v>0</v>
      </c>
      <c r="H38" s="66">
        <v>238.89</v>
      </c>
    </row>
    <row r="39" spans="1:8">
      <c r="A39" s="66" t="s">
        <v>391</v>
      </c>
      <c r="B39" s="66">
        <v>-7.7347599999999996</v>
      </c>
      <c r="C39" s="66">
        <v>10.071300000000001</v>
      </c>
      <c r="D39" s="66">
        <v>-1.3020799999999999</v>
      </c>
      <c r="E39" s="66">
        <v>0</v>
      </c>
      <c r="F39" s="66">
        <v>-14.5062</v>
      </c>
      <c r="G39" s="66">
        <v>0</v>
      </c>
      <c r="H39" s="66">
        <v>79.814099999999996</v>
      </c>
    </row>
    <row r="40" spans="1:8">
      <c r="A40" s="66" t="s">
        <v>392</v>
      </c>
      <c r="B40" s="66">
        <v>-3.9361000000000002</v>
      </c>
      <c r="C40" s="66">
        <v>0.902451</v>
      </c>
      <c r="D40" s="66">
        <v>-0.22927500000000001</v>
      </c>
      <c r="E40" s="66">
        <v>0</v>
      </c>
      <c r="F40" s="66">
        <v>-5.1794000000000002</v>
      </c>
      <c r="G40" s="66">
        <v>0</v>
      </c>
      <c r="H40" s="66">
        <v>-1.8881300000000001</v>
      </c>
    </row>
    <row r="41" spans="1:8">
      <c r="A41" s="66" t="s">
        <v>393</v>
      </c>
      <c r="B41" s="66">
        <v>-0.13422600000000001</v>
      </c>
      <c r="C41" s="66">
        <v>0.38917600000000002</v>
      </c>
      <c r="D41" s="66">
        <v>-2.8994200000000001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-0.203683</v>
      </c>
      <c r="C42" s="66">
        <v>0.120077</v>
      </c>
      <c r="D42" s="66">
        <v>-0.58952700000000002</v>
      </c>
      <c r="E42" s="66">
        <v>0</v>
      </c>
      <c r="F42" s="66">
        <v>-0.40901500000000002</v>
      </c>
      <c r="G42" s="66">
        <v>0</v>
      </c>
      <c r="H42" s="66">
        <v>0.47045100000000001</v>
      </c>
    </row>
    <row r="43" spans="1:8">
      <c r="A43" s="66" t="s">
        <v>395</v>
      </c>
      <c r="B43" s="66">
        <v>-0.18348100000000001</v>
      </c>
      <c r="C43" s="66">
        <v>6.8200399999999994E-2</v>
      </c>
      <c r="D43" s="66">
        <v>-0.37170300000000001</v>
      </c>
      <c r="E43" s="66">
        <v>0</v>
      </c>
      <c r="F43" s="66">
        <v>-0.26924700000000001</v>
      </c>
      <c r="G43" s="66">
        <v>0</v>
      </c>
      <c r="H43" s="66">
        <v>-6.2564099999999997E-2</v>
      </c>
    </row>
    <row r="44" spans="1:8">
      <c r="A44" s="66" t="s">
        <v>396</v>
      </c>
      <c r="B44" s="66">
        <v>-36.567100000000003</v>
      </c>
      <c r="C44" s="66">
        <v>9.7558900000000008</v>
      </c>
      <c r="D44" s="66">
        <v>-0.26679399999999998</v>
      </c>
      <c r="E44" s="66">
        <v>0</v>
      </c>
      <c r="F44" s="66">
        <v>-51.875</v>
      </c>
      <c r="G44" s="66">
        <v>0</v>
      </c>
      <c r="H44" s="66">
        <v>-12.369</v>
      </c>
    </row>
    <row r="45" spans="1:8">
      <c r="A45" s="66" t="s">
        <v>397</v>
      </c>
      <c r="B45" s="66">
        <v>56.004300000000001</v>
      </c>
      <c r="C45" s="66">
        <v>8.4267699999999994</v>
      </c>
      <c r="D45" s="66">
        <v>0.15046699999999999</v>
      </c>
      <c r="E45" s="66">
        <v>0</v>
      </c>
      <c r="F45" s="66">
        <v>30.259599999999999</v>
      </c>
      <c r="G45" s="66">
        <v>0</v>
      </c>
      <c r="H45" s="66">
        <v>72.508600000000001</v>
      </c>
    </row>
    <row r="46" spans="1:8">
      <c r="A46" s="66" t="s">
        <v>398</v>
      </c>
      <c r="B46" s="66">
        <v>35.817900000000002</v>
      </c>
      <c r="C46" s="66">
        <v>2.6415999999999999</v>
      </c>
      <c r="D46" s="66">
        <v>7.3750999999999997E-2</v>
      </c>
      <c r="E46" s="66">
        <v>0</v>
      </c>
      <c r="F46" s="66">
        <v>29.2285</v>
      </c>
      <c r="G46" s="66">
        <v>0</v>
      </c>
      <c r="H46" s="66">
        <v>38.051099999999998</v>
      </c>
    </row>
    <row r="47" spans="1:8">
      <c r="A47" s="66" t="s">
        <v>399</v>
      </c>
      <c r="B47" s="66">
        <v>0.57764599999999999</v>
      </c>
      <c r="C47" s="66">
        <v>0.28328500000000001</v>
      </c>
      <c r="D47" s="66">
        <v>0.49041299999999999</v>
      </c>
      <c r="E47" s="66">
        <v>0</v>
      </c>
      <c r="F47" s="66">
        <v>0.19333900000000001</v>
      </c>
      <c r="G47" s="66">
        <v>0</v>
      </c>
      <c r="H47" s="66">
        <v>1.7332000000000001</v>
      </c>
    </row>
    <row r="48" spans="1:8">
      <c r="A48" s="66" t="s">
        <v>400</v>
      </c>
      <c r="B48" s="66">
        <v>0.59762899999999997</v>
      </c>
      <c r="C48" s="66">
        <v>6.7279199999999997E-2</v>
      </c>
      <c r="D48" s="66">
        <v>0.112577</v>
      </c>
      <c r="E48" s="66">
        <v>0</v>
      </c>
      <c r="F48" s="66">
        <v>0.44108799999999998</v>
      </c>
      <c r="G48" s="66">
        <v>0</v>
      </c>
      <c r="H48" s="66">
        <v>0.69056899999999999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68.212838461992902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1.3170187098516095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0.60422658795098794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18390</v>
      </c>
      <c r="B8" s="66">
        <v>18390</v>
      </c>
      <c r="D8">
        <f t="shared" si="0"/>
        <v>0.10289205565906306</v>
      </c>
      <c r="E8">
        <f t="shared" si="0"/>
        <v>0.10289205565906306</v>
      </c>
      <c r="G8">
        <f t="shared" ca="1" si="1"/>
        <v>6</v>
      </c>
      <c r="H8">
        <f t="shared" ca="1" si="2"/>
        <v>0.61735233395437838</v>
      </c>
      <c r="I8">
        <f t="shared" ca="1" si="3"/>
        <v>398.23724695810267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28300</v>
      </c>
      <c r="B10" s="66">
        <v>28300</v>
      </c>
      <c r="D10">
        <f t="shared" si="0"/>
        <v>0.15833850870861799</v>
      </c>
      <c r="E10">
        <f t="shared" si="0"/>
        <v>0.15833850870861799</v>
      </c>
      <c r="G10">
        <f t="shared" ca="1" si="1"/>
        <v>8</v>
      </c>
      <c r="H10">
        <f t="shared" ca="1" si="2"/>
        <v>1.2667080696689439</v>
      </c>
      <c r="I10">
        <f t="shared" ca="1" si="3"/>
        <v>574.06986707899841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42893</v>
      </c>
      <c r="B13" s="66">
        <v>42893</v>
      </c>
      <c r="D13">
        <f t="shared" si="0"/>
        <v>0.23998634819924916</v>
      </c>
      <c r="E13">
        <f t="shared" si="0"/>
        <v>0.23998634819924916</v>
      </c>
      <c r="G13">
        <f t="shared" ca="1" si="1"/>
        <v>11</v>
      </c>
      <c r="H13">
        <f t="shared" ca="1" si="2"/>
        <v>2.6398498301917406</v>
      </c>
      <c r="I13">
        <f t="shared" ca="1" si="3"/>
        <v>785.54944581005032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49596</v>
      </c>
      <c r="B15" s="66">
        <v>49596</v>
      </c>
      <c r="D15">
        <f t="shared" si="0"/>
        <v>0.27748963526192993</v>
      </c>
      <c r="E15">
        <f t="shared" si="0"/>
        <v>0.27748963526192993</v>
      </c>
      <c r="G15">
        <f t="shared" ca="1" si="1"/>
        <v>13</v>
      </c>
      <c r="H15">
        <f t="shared" ca="1" si="2"/>
        <v>3.607365258405089</v>
      </c>
      <c r="I15">
        <f t="shared" ca="1" si="3"/>
        <v>845.91536839703224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46359</v>
      </c>
      <c r="B18" s="66">
        <v>46359</v>
      </c>
      <c r="D18">
        <f t="shared" si="0"/>
        <v>0.25937861926582406</v>
      </c>
      <c r="E18">
        <f t="shared" si="0"/>
        <v>0.25937861926582406</v>
      </c>
      <c r="G18">
        <f t="shared" ca="1" si="1"/>
        <v>16</v>
      </c>
      <c r="H18">
        <f t="shared" ca="1" si="2"/>
        <v>4.150057908253185</v>
      </c>
      <c r="I18">
        <f t="shared" ca="1" si="3"/>
        <v>707.11293402637648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55083</v>
      </c>
      <c r="B21" s="66">
        <v>55083</v>
      </c>
      <c r="D21">
        <f t="shared" si="0"/>
        <v>0.30818940195041711</v>
      </c>
      <c r="E21">
        <f t="shared" si="0"/>
        <v>0.30818940195041711</v>
      </c>
      <c r="G21">
        <f t="shared" ca="1" si="1"/>
        <v>19</v>
      </c>
      <c r="H21">
        <f t="shared" ca="1" si="2"/>
        <v>5.8555986370579252</v>
      </c>
      <c r="I21">
        <f t="shared" ca="1" si="3"/>
        <v>746.40498184259468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61554</v>
      </c>
      <c r="B23" s="66">
        <v>61554</v>
      </c>
      <c r="D23">
        <f t="shared" si="0"/>
        <v>0.34439464894170568</v>
      </c>
      <c r="E23">
        <f t="shared" si="0"/>
        <v>0.34439464894170568</v>
      </c>
      <c r="G23">
        <f t="shared" ca="1" si="1"/>
        <v>21</v>
      </c>
      <c r="H23">
        <f t="shared" ca="1" si="2"/>
        <v>7.2322876277758192</v>
      </c>
      <c r="I23">
        <f t="shared" ca="1" si="3"/>
        <v>767.67362083799685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73984</v>
      </c>
      <c r="B26" s="66">
        <v>73984</v>
      </c>
      <c r="D26">
        <f t="shared" si="0"/>
        <v>0.41394050276672767</v>
      </c>
      <c r="E26">
        <f t="shared" si="0"/>
        <v>0.41394050276672767</v>
      </c>
      <c r="G26">
        <f t="shared" ca="1" si="1"/>
        <v>24</v>
      </c>
      <c r="H26">
        <f t="shared" ca="1" si="2"/>
        <v>9.934572066401465</v>
      </c>
      <c r="I26">
        <f t="shared" ca="1" si="3"/>
        <v>809.16058142542022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90400</v>
      </c>
      <c r="B28" s="66">
        <v>90400</v>
      </c>
      <c r="D28">
        <f t="shared" si="0"/>
        <v>0.50578802781834153</v>
      </c>
      <c r="E28">
        <f t="shared" si="0"/>
        <v>0.50578802781834153</v>
      </c>
      <c r="G28">
        <f t="shared" ca="1" si="1"/>
        <v>26</v>
      </c>
      <c r="H28">
        <f t="shared" ca="1" si="2"/>
        <v>13.150488723276879</v>
      </c>
      <c r="I28">
        <f t="shared" ca="1" si="3"/>
        <v>901.2756896344506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87663</v>
      </c>
      <c r="B31" s="66">
        <v>87663</v>
      </c>
      <c r="D31">
        <f t="shared" si="0"/>
        <v>0.49047451197609815</v>
      </c>
      <c r="E31">
        <f t="shared" si="0"/>
        <v>0.49047451197609815</v>
      </c>
      <c r="G31">
        <f t="shared" ca="1" si="1"/>
        <v>29</v>
      </c>
      <c r="H31">
        <f t="shared" ca="1" si="2"/>
        <v>14.223760847306846</v>
      </c>
      <c r="I31">
        <f t="shared" ca="1" si="3"/>
        <v>754.1765148949861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102197</v>
      </c>
      <c r="B33" s="66">
        <v>102197</v>
      </c>
      <c r="D33">
        <f t="shared" si="0"/>
        <v>0.57179224644857352</v>
      </c>
      <c r="E33">
        <f t="shared" si="0"/>
        <v>0.57179224644857352</v>
      </c>
      <c r="G33">
        <f t="shared" ca="1" si="1"/>
        <v>31</v>
      </c>
      <c r="H33">
        <f t="shared" ca="1" si="2"/>
        <v>17.725559639905779</v>
      </c>
      <c r="I33">
        <f t="shared" ca="1" si="3"/>
        <v>791.8152419886593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124527</v>
      </c>
      <c r="B36" s="66">
        <v>124527</v>
      </c>
      <c r="D36">
        <f t="shared" si="0"/>
        <v>0.69672860332007314</v>
      </c>
      <c r="E36">
        <f t="shared" si="0"/>
        <v>0.69672860332007314</v>
      </c>
      <c r="G36">
        <f t="shared" ca="1" si="1"/>
        <v>34</v>
      </c>
      <c r="H36">
        <f t="shared" ca="1" si="2"/>
        <v>23.688772512882487</v>
      </c>
      <c r="I36">
        <f t="shared" ca="1" si="3"/>
        <v>815.53359120696075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135121</v>
      </c>
      <c r="B39" s="66">
        <v>135121</v>
      </c>
      <c r="D39">
        <f t="shared" si="0"/>
        <v>0.756002036580112</v>
      </c>
      <c r="E39">
        <f t="shared" si="0"/>
        <v>0.756002036580112</v>
      </c>
      <c r="G39">
        <f t="shared" ca="1" si="1"/>
        <v>37</v>
      </c>
      <c r="H39">
        <f t="shared" ca="1" si="2"/>
        <v>27.972075353464145</v>
      </c>
      <c r="I39">
        <f t="shared" ca="1" si="3"/>
        <v>736.52839547039935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140675</v>
      </c>
      <c r="B41" s="66">
        <v>140675</v>
      </c>
      <c r="D41">
        <f t="shared" si="0"/>
        <v>0.78707666828921674</v>
      </c>
      <c r="E41">
        <f t="shared" si="0"/>
        <v>0.78707666828921674</v>
      </c>
      <c r="G41">
        <f t="shared" ca="1" si="1"/>
        <v>39</v>
      </c>
      <c r="H41">
        <f t="shared" ca="1" si="2"/>
        <v>30.695990063279453</v>
      </c>
      <c r="I41">
        <f t="shared" ca="1" si="3"/>
        <v>671.68330364815415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153708</v>
      </c>
      <c r="B44" s="66">
        <v>153708</v>
      </c>
      <c r="D44">
        <f t="shared" si="0"/>
        <v>0.85999630729979692</v>
      </c>
      <c r="E44">
        <f t="shared" si="0"/>
        <v>0.85999630729979692</v>
      </c>
      <c r="G44">
        <f t="shared" ca="1" si="1"/>
        <v>42</v>
      </c>
      <c r="H44">
        <f t="shared" ca="1" si="2"/>
        <v>36.119844906591467</v>
      </c>
      <c r="I44">
        <f t="shared" ca="1" si="3"/>
        <v>590.91455689975339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157943</v>
      </c>
      <c r="B46" s="66">
        <v>157943</v>
      </c>
      <c r="D46">
        <f t="shared" si="0"/>
        <v>0.88369113360301232</v>
      </c>
      <c r="E46">
        <f t="shared" si="0"/>
        <v>0.88369113360301232</v>
      </c>
      <c r="G46">
        <f t="shared" ca="1" si="1"/>
        <v>44</v>
      </c>
      <c r="H46">
        <f t="shared" ca="1" si="2"/>
        <v>38.882409878532542</v>
      </c>
      <c r="I46">
        <f t="shared" ca="1" si="3"/>
        <v>518.07413051419667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162099</v>
      </c>
      <c r="B49" s="66">
        <v>162099</v>
      </c>
      <c r="D49">
        <f t="shared" si="0"/>
        <v>0.90694395488191748</v>
      </c>
      <c r="E49">
        <f t="shared" si="0"/>
        <v>0.90694395488191748</v>
      </c>
      <c r="G49">
        <f t="shared" ca="1" si="1"/>
        <v>47</v>
      </c>
      <c r="H49">
        <f t="shared" ca="1" si="2"/>
        <v>42.62636587945012</v>
      </c>
      <c r="I49">
        <f t="shared" ca="1" si="3"/>
        <v>408.11073622713417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174570</v>
      </c>
      <c r="B51" s="66">
        <v>174570</v>
      </c>
      <c r="D51">
        <f t="shared" si="0"/>
        <v>0.97671920371955623</v>
      </c>
      <c r="E51">
        <f t="shared" si="0"/>
        <v>0.97671920371955623</v>
      </c>
      <c r="G51">
        <f t="shared" ca="1" si="1"/>
        <v>49</v>
      </c>
      <c r="H51">
        <f t="shared" ca="1" si="2"/>
        <v>47.859240982258257</v>
      </c>
      <c r="I51">
        <f t="shared" ca="1" si="3"/>
        <v>360.53944782718872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167689</v>
      </c>
      <c r="B54" s="66">
        <v>167689</v>
      </c>
      <c r="D54">
        <f t="shared" si="0"/>
        <v>0.93822000660210036</v>
      </c>
      <c r="E54">
        <f t="shared" si="0"/>
        <v>0.93822000660210036</v>
      </c>
      <c r="G54">
        <f t="shared" ca="1" si="1"/>
        <v>52</v>
      </c>
      <c r="H54">
        <f t="shared" ca="1" si="2"/>
        <v>48.787440343309221</v>
      </c>
      <c r="I54">
        <f t="shared" ca="1" si="3"/>
        <v>246.61688095722783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148014</v>
      </c>
      <c r="B57" s="66">
        <v>148014</v>
      </c>
      <c r="D57">
        <f t="shared" si="0"/>
        <v>0.82813837554761061</v>
      </c>
      <c r="E57">
        <f t="shared" si="0"/>
        <v>0.82813837554761061</v>
      </c>
      <c r="G57">
        <f t="shared" ca="1" si="1"/>
        <v>55</v>
      </c>
      <c r="H57">
        <f t="shared" ca="1" si="2"/>
        <v>45.547610655118582</v>
      </c>
      <c r="I57">
        <f t="shared" ca="1" si="3"/>
        <v>144.57565246300598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166810</v>
      </c>
      <c r="B59" s="66">
        <v>166810</v>
      </c>
      <c r="D59">
        <f t="shared" si="0"/>
        <v>0.93330200133161012</v>
      </c>
      <c r="E59">
        <f t="shared" si="0"/>
        <v>0.93330200133161012</v>
      </c>
      <c r="G59">
        <f t="shared" ca="1" si="1"/>
        <v>57</v>
      </c>
      <c r="H59">
        <f t="shared" ca="1" si="2"/>
        <v>53.198214075901774</v>
      </c>
      <c r="I59">
        <f t="shared" ca="1" si="3"/>
        <v>117.34195731446479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168063</v>
      </c>
      <c r="B62" s="66">
        <v>168063</v>
      </c>
      <c r="D62">
        <f t="shared" si="0"/>
        <v>0.94031253671718951</v>
      </c>
      <c r="E62">
        <f t="shared" si="0"/>
        <v>0.94031253671718951</v>
      </c>
      <c r="G62">
        <f t="shared" ca="1" si="1"/>
        <v>60</v>
      </c>
      <c r="H62">
        <f t="shared" ca="1" si="2"/>
        <v>56.418752203031367</v>
      </c>
      <c r="I62">
        <f t="shared" ca="1" si="3"/>
        <v>63.424753491849124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178731</v>
      </c>
      <c r="B64" s="66">
        <v>178731</v>
      </c>
      <c r="D64">
        <f t="shared" si="0"/>
        <v>1</v>
      </c>
      <c r="E64">
        <f t="shared" si="0"/>
        <v>1</v>
      </c>
      <c r="G64">
        <f t="shared" ca="1" si="1"/>
        <v>62</v>
      </c>
      <c r="H64">
        <f t="shared" ca="1" si="2"/>
        <v>62</v>
      </c>
      <c r="I64">
        <f t="shared" ca="1" si="3"/>
        <v>38.599361754818332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163890</v>
      </c>
      <c r="B67" s="66">
        <v>163890</v>
      </c>
      <c r="D67">
        <f t="shared" ref="D67:E130" si="4">IFERROR( A67/MAX(A$2:A$257), 0 )</f>
        <v>0.91696460043305306</v>
      </c>
      <c r="E67">
        <f t="shared" si="4"/>
        <v>0.91696460043305306</v>
      </c>
      <c r="G67">
        <f t="shared" ref="G67:G130" ca="1" si="5">CELL("row",D67)-2</f>
        <v>65</v>
      </c>
      <c r="H67">
        <f t="shared" ref="H67:H130" ca="1" si="6">D67*G67</f>
        <v>59.60269902814845</v>
      </c>
      <c r="I67">
        <f t="shared" ref="I67:I130" ca="1" si="7">D67*((G67-$L$1)^2)</f>
        <v>9.4652121052367839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156478</v>
      </c>
      <c r="B69" s="66">
        <v>156478</v>
      </c>
      <c r="D69">
        <f t="shared" si="4"/>
        <v>0.87549445815219518</v>
      </c>
      <c r="E69">
        <f t="shared" si="4"/>
        <v>0.87549445815219518</v>
      </c>
      <c r="G69">
        <f t="shared" ca="1" si="5"/>
        <v>67</v>
      </c>
      <c r="H69">
        <f t="shared" ca="1" si="6"/>
        <v>58.658128696197075</v>
      </c>
      <c r="I69">
        <f t="shared" ca="1" si="7"/>
        <v>1.2878323296641838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145311</v>
      </c>
      <c r="B72" s="66">
        <v>145311</v>
      </c>
      <c r="D72">
        <f t="shared" si="4"/>
        <v>0.81301508971582992</v>
      </c>
      <c r="E72">
        <f t="shared" si="4"/>
        <v>0.81301508971582992</v>
      </c>
      <c r="G72">
        <f t="shared" ca="1" si="5"/>
        <v>70</v>
      </c>
      <c r="H72">
        <f t="shared" ca="1" si="6"/>
        <v>56.911056280108092</v>
      </c>
      <c r="I72">
        <f t="shared" ca="1" si="7"/>
        <v>2.5967265888066233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138433</v>
      </c>
      <c r="B75" s="66">
        <v>138433</v>
      </c>
      <c r="D75">
        <f t="shared" si="4"/>
        <v>0.77453267759929723</v>
      </c>
      <c r="E75">
        <f t="shared" si="4"/>
        <v>0.77453267759929723</v>
      </c>
      <c r="G75">
        <f t="shared" ca="1" si="5"/>
        <v>73</v>
      </c>
      <c r="H75">
        <f t="shared" ca="1" si="6"/>
        <v>56.540885464748698</v>
      </c>
      <c r="I75">
        <f t="shared" ca="1" si="7"/>
        <v>17.749899994994546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146488</v>
      </c>
      <c r="B77" s="66">
        <v>146488</v>
      </c>
      <c r="D77">
        <f t="shared" si="4"/>
        <v>0.81960040507802223</v>
      </c>
      <c r="E77">
        <f t="shared" si="4"/>
        <v>0.81960040507802223</v>
      </c>
      <c r="G77">
        <f t="shared" ca="1" si="5"/>
        <v>75</v>
      </c>
      <c r="H77">
        <f t="shared" ca="1" si="6"/>
        <v>61.470030380851668</v>
      </c>
      <c r="I77">
        <f t="shared" ca="1" si="7"/>
        <v>37.755353064711798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150677</v>
      </c>
      <c r="B80" s="66">
        <v>150677</v>
      </c>
      <c r="D80">
        <f t="shared" si="4"/>
        <v>0.84303786136708236</v>
      </c>
      <c r="E80">
        <f t="shared" si="4"/>
        <v>0.84303786136708236</v>
      </c>
      <c r="G80">
        <f t="shared" ca="1" si="5"/>
        <v>78</v>
      </c>
      <c r="H80">
        <f t="shared" ca="1" si="6"/>
        <v>65.75695318663243</v>
      </c>
      <c r="I80">
        <f t="shared" ca="1" si="7"/>
        <v>80.753358293324695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161453</v>
      </c>
      <c r="B82" s="66">
        <v>161453</v>
      </c>
      <c r="D82">
        <f t="shared" si="4"/>
        <v>0.90332958468312718</v>
      </c>
      <c r="E82">
        <f t="shared" si="4"/>
        <v>0.90332958468312718</v>
      </c>
      <c r="G82">
        <f t="shared" ca="1" si="5"/>
        <v>80</v>
      </c>
      <c r="H82">
        <f t="shared" ca="1" si="6"/>
        <v>72.26636677465018</v>
      </c>
      <c r="I82">
        <f t="shared" ca="1" si="7"/>
        <v>125.50606250763236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165345</v>
      </c>
      <c r="B85" s="66">
        <v>165345</v>
      </c>
      <c r="D85">
        <f t="shared" si="4"/>
        <v>0.92510532588079297</v>
      </c>
      <c r="E85">
        <f t="shared" si="4"/>
        <v>0.92510532588079297</v>
      </c>
      <c r="G85">
        <f t="shared" ca="1" si="5"/>
        <v>83</v>
      </c>
      <c r="H85">
        <f t="shared" ca="1" si="6"/>
        <v>76.783742048105822</v>
      </c>
      <c r="I85">
        <f t="shared" ca="1" si="7"/>
        <v>202.28366594729144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147543</v>
      </c>
      <c r="B88" s="66">
        <v>147543</v>
      </c>
      <c r="D88">
        <f t="shared" si="4"/>
        <v>0.8255031304026722</v>
      </c>
      <c r="E88">
        <f t="shared" si="4"/>
        <v>0.8255031304026722</v>
      </c>
      <c r="G88">
        <f t="shared" ca="1" si="5"/>
        <v>86</v>
      </c>
      <c r="H88">
        <f t="shared" ca="1" si="6"/>
        <v>70.993269214629805</v>
      </c>
      <c r="I88">
        <f t="shared" ca="1" si="7"/>
        <v>261.17525231714626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134215</v>
      </c>
      <c r="B90" s="66">
        <v>134215</v>
      </c>
      <c r="D90">
        <f t="shared" si="4"/>
        <v>0.75093296630131312</v>
      </c>
      <c r="E90">
        <f t="shared" si="4"/>
        <v>0.75093296630131312</v>
      </c>
      <c r="G90">
        <f t="shared" ca="1" si="5"/>
        <v>88</v>
      </c>
      <c r="H90">
        <f t="shared" ca="1" si="6"/>
        <v>66.08210103451556</v>
      </c>
      <c r="I90">
        <f t="shared" ca="1" si="7"/>
        <v>294.01410723797954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135709</v>
      </c>
      <c r="B93" s="66">
        <v>135709</v>
      </c>
      <c r="D93">
        <f t="shared" si="4"/>
        <v>0.75929189676105435</v>
      </c>
      <c r="E93">
        <f t="shared" si="4"/>
        <v>0.75929189676105435</v>
      </c>
      <c r="G93">
        <f t="shared" ca="1" si="5"/>
        <v>91</v>
      </c>
      <c r="H93">
        <f t="shared" ca="1" si="6"/>
        <v>69.09556260525595</v>
      </c>
      <c r="I93">
        <f t="shared" ca="1" si="7"/>
        <v>394.26590957218468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122214</v>
      </c>
      <c r="B95" s="66">
        <v>122214</v>
      </c>
      <c r="D95">
        <f t="shared" si="4"/>
        <v>0.68378736760830516</v>
      </c>
      <c r="E95">
        <f t="shared" si="4"/>
        <v>0.68378736760830516</v>
      </c>
      <c r="G95">
        <f t="shared" ca="1" si="5"/>
        <v>93</v>
      </c>
      <c r="H95">
        <f t="shared" ca="1" si="6"/>
        <v>63.592225187572382</v>
      </c>
      <c r="I95">
        <f t="shared" ca="1" si="7"/>
        <v>420.12126788456015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107978</v>
      </c>
      <c r="B98" s="66">
        <v>107978</v>
      </c>
      <c r="D98">
        <f t="shared" si="4"/>
        <v>0.60413694322753186</v>
      </c>
      <c r="E98">
        <f t="shared" si="4"/>
        <v>0.60413694322753186</v>
      </c>
      <c r="G98">
        <f t="shared" ca="1" si="5"/>
        <v>96</v>
      </c>
      <c r="H98">
        <f t="shared" ca="1" si="6"/>
        <v>57.997146549843059</v>
      </c>
      <c r="I98">
        <f t="shared" ca="1" si="7"/>
        <v>466.47005066286789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94232</v>
      </c>
      <c r="B100" s="66">
        <v>94232</v>
      </c>
      <c r="D100">
        <f t="shared" si="4"/>
        <v>0.52722806899754382</v>
      </c>
      <c r="E100">
        <f t="shared" si="4"/>
        <v>0.52722806899754382</v>
      </c>
      <c r="G100">
        <f t="shared" ca="1" si="5"/>
        <v>98</v>
      </c>
      <c r="H100">
        <f t="shared" ca="1" si="6"/>
        <v>51.668350761759292</v>
      </c>
      <c r="I100">
        <f t="shared" ca="1" si="7"/>
        <v>467.79628096101379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75759</v>
      </c>
      <c r="B103" s="66">
        <v>75759</v>
      </c>
      <c r="D103">
        <f t="shared" si="4"/>
        <v>0.42387162831293956</v>
      </c>
      <c r="E103">
        <f t="shared" si="4"/>
        <v>0.42387162831293956</v>
      </c>
      <c r="G103">
        <f t="shared" ca="1" si="5"/>
        <v>101</v>
      </c>
      <c r="H103">
        <f t="shared" ca="1" si="6"/>
        <v>42.811034459606894</v>
      </c>
      <c r="I103">
        <f t="shared" ca="1" si="7"/>
        <v>455.66113646708123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66374</v>
      </c>
      <c r="B106" s="66">
        <v>66374</v>
      </c>
      <c r="D106">
        <f t="shared" si="4"/>
        <v>0.37136255042494026</v>
      </c>
      <c r="E106">
        <f t="shared" si="4"/>
        <v>0.37136255042494026</v>
      </c>
      <c r="G106">
        <f t="shared" ca="1" si="5"/>
        <v>104</v>
      </c>
      <c r="H106">
        <f t="shared" ca="1" si="6"/>
        <v>38.621705244193791</v>
      </c>
      <c r="I106">
        <f t="shared" ca="1" si="7"/>
        <v>475.61179129923562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63528</v>
      </c>
      <c r="B108" s="66">
        <v>63528</v>
      </c>
      <c r="D108">
        <f t="shared" si="4"/>
        <v>0.35543917954915488</v>
      </c>
      <c r="E108">
        <f t="shared" si="4"/>
        <v>0.35543917954915488</v>
      </c>
      <c r="G108">
        <f t="shared" ca="1" si="5"/>
        <v>106</v>
      </c>
      <c r="H108">
        <f t="shared" ca="1" si="6"/>
        <v>37.676553032210414</v>
      </c>
      <c r="I108">
        <f t="shared" ca="1" si="7"/>
        <v>507.52079098742473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55428</v>
      </c>
      <c r="B111" s="66">
        <v>55428</v>
      </c>
      <c r="D111">
        <f t="shared" si="4"/>
        <v>0.31011967705658222</v>
      </c>
      <c r="E111">
        <f t="shared" si="4"/>
        <v>0.31011967705658222</v>
      </c>
      <c r="G111">
        <f t="shared" ca="1" si="5"/>
        <v>109</v>
      </c>
      <c r="H111">
        <f t="shared" ca="1" si="6"/>
        <v>33.803044799167459</v>
      </c>
      <c r="I111">
        <f t="shared" ca="1" si="7"/>
        <v>515.91278322081712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50242</v>
      </c>
      <c r="B113" s="66">
        <v>50242</v>
      </c>
      <c r="D113">
        <f t="shared" si="4"/>
        <v>0.28110400546072029</v>
      </c>
      <c r="E113">
        <f t="shared" si="4"/>
        <v>0.28110400546072029</v>
      </c>
      <c r="G113">
        <f t="shared" ca="1" si="5"/>
        <v>111</v>
      </c>
      <c r="H113">
        <f t="shared" ca="1" si="6"/>
        <v>31.202544606139952</v>
      </c>
      <c r="I113">
        <f t="shared" ca="1" si="7"/>
        <v>514.62868216792685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51361</v>
      </c>
      <c r="B116" s="66">
        <v>51361</v>
      </c>
      <c r="D116">
        <f t="shared" si="4"/>
        <v>0.2873648108050646</v>
      </c>
      <c r="E116">
        <f t="shared" si="4"/>
        <v>0.2873648108050646</v>
      </c>
      <c r="G116">
        <f t="shared" ca="1" si="5"/>
        <v>114</v>
      </c>
      <c r="H116">
        <f t="shared" ca="1" si="6"/>
        <v>32.759588431777367</v>
      </c>
      <c r="I116">
        <f t="shared" ca="1" si="7"/>
        <v>602.45002718869023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46714</v>
      </c>
      <c r="B118" s="66">
        <v>46714</v>
      </c>
      <c r="D118">
        <f t="shared" si="4"/>
        <v>0.26136484437506646</v>
      </c>
      <c r="E118">
        <f t="shared" si="4"/>
        <v>0.26136484437506646</v>
      </c>
      <c r="G118">
        <f t="shared" ca="1" si="5"/>
        <v>116</v>
      </c>
      <c r="H118">
        <f t="shared" ca="1" si="6"/>
        <v>30.318321947507709</v>
      </c>
      <c r="I118">
        <f t="shared" ca="1" si="7"/>
        <v>596.85610613912888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47062</v>
      </c>
      <c r="B121" s="66">
        <v>47062</v>
      </c>
      <c r="D121">
        <f t="shared" si="4"/>
        <v>0.26331190448215475</v>
      </c>
      <c r="E121">
        <f t="shared" si="4"/>
        <v>0.26331190448215475</v>
      </c>
      <c r="G121">
        <f t="shared" ca="1" si="5"/>
        <v>119</v>
      </c>
      <c r="H121">
        <f t="shared" ca="1" si="6"/>
        <v>31.334116633376414</v>
      </c>
      <c r="I121">
        <f t="shared" ca="1" si="7"/>
        <v>679.16981576390174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43483</v>
      </c>
      <c r="B124" s="66">
        <v>43483</v>
      </c>
      <c r="D124">
        <f t="shared" si="4"/>
        <v>0.2432873983808069</v>
      </c>
      <c r="E124">
        <f t="shared" si="4"/>
        <v>0.2432873983808069</v>
      </c>
      <c r="G124">
        <f t="shared" ca="1" si="5"/>
        <v>122</v>
      </c>
      <c r="H124">
        <f t="shared" ca="1" si="6"/>
        <v>29.681062602458443</v>
      </c>
      <c r="I124">
        <f t="shared" ca="1" si="7"/>
        <v>703.84473575397817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38466</v>
      </c>
      <c r="B126" s="66">
        <v>38466</v>
      </c>
      <c r="D126">
        <f t="shared" si="4"/>
        <v>0.21521728183695049</v>
      </c>
      <c r="E126">
        <f t="shared" si="4"/>
        <v>0.21521728183695049</v>
      </c>
      <c r="G126">
        <f t="shared" ca="1" si="5"/>
        <v>124</v>
      </c>
      <c r="H126">
        <f t="shared" ca="1" si="6"/>
        <v>26.686942947781862</v>
      </c>
      <c r="I126">
        <f t="shared" ca="1" si="7"/>
        <v>669.80081551976139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36135</v>
      </c>
      <c r="B129" s="66">
        <v>36135</v>
      </c>
      <c r="D129">
        <f t="shared" si="4"/>
        <v>0.20217533611964347</v>
      </c>
      <c r="E129">
        <f t="shared" si="4"/>
        <v>0.20217533611964347</v>
      </c>
      <c r="G129">
        <f t="shared" ca="1" si="5"/>
        <v>127</v>
      </c>
      <c r="H129">
        <f t="shared" ca="1" si="6"/>
        <v>25.67626768719472</v>
      </c>
      <c r="I129">
        <f t="shared" ca="1" si="7"/>
        <v>698.7038824819175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32053</v>
      </c>
      <c r="B131" s="66">
        <v>32053</v>
      </c>
      <c r="D131">
        <f t="shared" ref="D131:E194" si="8">IFERROR( A131/MAX(A$2:A$257), 0 )</f>
        <v>0.17933654486350997</v>
      </c>
      <c r="E131">
        <f t="shared" si="8"/>
        <v>0.17933654486350997</v>
      </c>
      <c r="G131">
        <f t="shared" ref="G131:G194" ca="1" si="9">CELL("row",D131)-2</f>
        <v>129</v>
      </c>
      <c r="H131">
        <f t="shared" ref="H131:H194" ca="1" si="10">D131*G131</f>
        <v>23.134414287392786</v>
      </c>
      <c r="I131">
        <f t="shared" ref="I131:I194" ca="1" si="11">D131*((G131-$L$1)^2)</f>
        <v>662.66270226510539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32030</v>
      </c>
      <c r="B134" s="66">
        <v>32030</v>
      </c>
      <c r="D134">
        <f t="shared" si="8"/>
        <v>0.17920785985643228</v>
      </c>
      <c r="E134">
        <f t="shared" si="8"/>
        <v>0.17920785985643228</v>
      </c>
      <c r="G134">
        <f t="shared" ca="1" si="9"/>
        <v>132</v>
      </c>
      <c r="H134">
        <f t="shared" ca="1" si="10"/>
        <v>23.655437501049061</v>
      </c>
      <c r="I134">
        <f t="shared" ca="1" si="11"/>
        <v>729.16129449137668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26668</v>
      </c>
      <c r="B136" s="66">
        <v>26668</v>
      </c>
      <c r="D136">
        <f t="shared" si="8"/>
        <v>0.14920746820641076</v>
      </c>
      <c r="E136">
        <f t="shared" si="8"/>
        <v>0.14920746820641076</v>
      </c>
      <c r="G136">
        <f t="shared" ca="1" si="9"/>
        <v>134</v>
      </c>
      <c r="H136">
        <f t="shared" ca="1" si="10"/>
        <v>19.99380073965904</v>
      </c>
      <c r="I136">
        <f t="shared" ca="1" si="11"/>
        <v>645.76255501418359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23989</v>
      </c>
      <c r="B139" s="66">
        <v>23989</v>
      </c>
      <c r="D139">
        <f t="shared" si="8"/>
        <v>0.13421846238201543</v>
      </c>
      <c r="E139">
        <f t="shared" si="8"/>
        <v>0.13421846238201543</v>
      </c>
      <c r="G139">
        <f t="shared" ca="1" si="9"/>
        <v>137</v>
      </c>
      <c r="H139">
        <f t="shared" ca="1" si="10"/>
        <v>18.387929346336115</v>
      </c>
      <c r="I139">
        <f t="shared" ca="1" si="11"/>
        <v>635.0779540730158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21854</v>
      </c>
      <c r="B142" s="66">
        <v>21854</v>
      </c>
      <c r="D142">
        <f t="shared" si="8"/>
        <v>0.12227313672502252</v>
      </c>
      <c r="E142">
        <f t="shared" si="8"/>
        <v>0.12227313672502252</v>
      </c>
      <c r="G142">
        <f t="shared" ca="1" si="9"/>
        <v>140</v>
      </c>
      <c r="H142">
        <f t="shared" ca="1" si="10"/>
        <v>17.118239141503153</v>
      </c>
      <c r="I142">
        <f t="shared" ca="1" si="11"/>
        <v>630.12196238503964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21103</v>
      </c>
      <c r="B144" s="66">
        <v>21103</v>
      </c>
      <c r="D144">
        <f t="shared" si="8"/>
        <v>0.11807129149392104</v>
      </c>
      <c r="E144">
        <f t="shared" si="8"/>
        <v>0.11807129149392104</v>
      </c>
      <c r="G144">
        <f t="shared" ca="1" si="9"/>
        <v>142</v>
      </c>
      <c r="H144">
        <f t="shared" ca="1" si="10"/>
        <v>16.766123392136787</v>
      </c>
      <c r="I144">
        <f t="shared" ca="1" si="11"/>
        <v>642.84448428622977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16724</v>
      </c>
      <c r="B147" s="66">
        <v>16724</v>
      </c>
      <c r="D147">
        <f t="shared" si="8"/>
        <v>9.3570785146393179E-2</v>
      </c>
      <c r="E147">
        <f t="shared" si="8"/>
        <v>9.3570785146393179E-2</v>
      </c>
      <c r="G147">
        <f t="shared" ca="1" si="9"/>
        <v>145</v>
      </c>
      <c r="H147">
        <f t="shared" ca="1" si="10"/>
        <v>13.567763846227011</v>
      </c>
      <c r="I147">
        <f t="shared" ca="1" si="11"/>
        <v>551.7184427615706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12001</v>
      </c>
      <c r="B149" s="66">
        <v>12001</v>
      </c>
      <c r="D149">
        <f t="shared" si="8"/>
        <v>6.714559869300793E-2</v>
      </c>
      <c r="E149">
        <f t="shared" si="8"/>
        <v>6.714559869300793E-2</v>
      </c>
      <c r="G149">
        <f t="shared" ca="1" si="9"/>
        <v>147</v>
      </c>
      <c r="H149">
        <f t="shared" ca="1" si="10"/>
        <v>9.8704030078721665</v>
      </c>
      <c r="I149">
        <f t="shared" ca="1" si="11"/>
        <v>416.80071893188932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11853</v>
      </c>
      <c r="B152" s="66">
        <v>11853</v>
      </c>
      <c r="D152">
        <f t="shared" si="8"/>
        <v>6.6317538647464619E-2</v>
      </c>
      <c r="E152">
        <f t="shared" si="8"/>
        <v>6.6317538647464619E-2</v>
      </c>
      <c r="G152">
        <f t="shared" ca="1" si="9"/>
        <v>150</v>
      </c>
      <c r="H152">
        <f t="shared" ca="1" si="10"/>
        <v>9.9476307971196931</v>
      </c>
      <c r="I152">
        <f t="shared" ca="1" si="11"/>
        <v>443.60728670370287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8738</v>
      </c>
      <c r="B154" s="66">
        <v>8738</v>
      </c>
      <c r="D154">
        <f t="shared" si="8"/>
        <v>4.8889112688901198E-2</v>
      </c>
      <c r="E154">
        <f t="shared" si="8"/>
        <v>4.8889112688901198E-2</v>
      </c>
      <c r="G154">
        <f t="shared" ca="1" si="9"/>
        <v>152</v>
      </c>
      <c r="H154">
        <f t="shared" ca="1" si="10"/>
        <v>7.4311451287129824</v>
      </c>
      <c r="I154">
        <f t="shared" ca="1" si="11"/>
        <v>343.21567258311478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6633</v>
      </c>
      <c r="B157" s="66">
        <v>6633</v>
      </c>
      <c r="D157">
        <f t="shared" si="8"/>
        <v>3.7111637041140039E-2</v>
      </c>
      <c r="E157">
        <f t="shared" si="8"/>
        <v>3.7111637041140039E-2</v>
      </c>
      <c r="G157">
        <f t="shared" ca="1" si="9"/>
        <v>155</v>
      </c>
      <c r="H157">
        <f t="shared" ca="1" si="10"/>
        <v>5.7523037413767062</v>
      </c>
      <c r="I157">
        <f t="shared" ca="1" si="11"/>
        <v>279.52527355689563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5903</v>
      </c>
      <c r="B160" s="66">
        <v>5903</v>
      </c>
      <c r="D160">
        <f t="shared" si="8"/>
        <v>3.3027286816500773E-2</v>
      </c>
      <c r="E160">
        <f t="shared" si="8"/>
        <v>3.3027286816500773E-2</v>
      </c>
      <c r="G160">
        <f t="shared" ca="1" si="9"/>
        <v>158</v>
      </c>
      <c r="H160">
        <f t="shared" ca="1" si="10"/>
        <v>5.2183113170071218</v>
      </c>
      <c r="I160">
        <f t="shared" ca="1" si="11"/>
        <v>266.25721350934657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5043</v>
      </c>
      <c r="B162" s="66">
        <v>5043</v>
      </c>
      <c r="D162">
        <f t="shared" si="8"/>
        <v>2.8215586551857259E-2</v>
      </c>
      <c r="E162">
        <f t="shared" si="8"/>
        <v>2.8215586551857259E-2</v>
      </c>
      <c r="G162">
        <f t="shared" ca="1" si="9"/>
        <v>160</v>
      </c>
      <c r="H162">
        <f t="shared" ca="1" si="10"/>
        <v>4.5144938482971613</v>
      </c>
      <c r="I162">
        <f t="shared" ca="1" si="11"/>
        <v>237.71301613049121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4814</v>
      </c>
      <c r="B165" s="66">
        <v>4814</v>
      </c>
      <c r="D165">
        <f t="shared" si="8"/>
        <v>2.693433148138823E-2</v>
      </c>
      <c r="E165">
        <f t="shared" si="8"/>
        <v>2.693433148138823E-2</v>
      </c>
      <c r="G165">
        <f t="shared" ca="1" si="9"/>
        <v>163</v>
      </c>
      <c r="H165">
        <f t="shared" ca="1" si="10"/>
        <v>4.3902960314662813</v>
      </c>
      <c r="I165">
        <f t="shared" ca="1" si="11"/>
        <v>241.99435602983738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2749</v>
      </c>
      <c r="B167" s="66">
        <v>2749</v>
      </c>
      <c r="D167">
        <f t="shared" si="8"/>
        <v>1.5380655845936071E-2</v>
      </c>
      <c r="E167">
        <f t="shared" si="8"/>
        <v>1.5380655845936071E-2</v>
      </c>
      <c r="G167">
        <f t="shared" ca="1" si="9"/>
        <v>165</v>
      </c>
      <c r="H167">
        <f t="shared" ca="1" si="10"/>
        <v>2.5378082145794516</v>
      </c>
      <c r="I167">
        <f t="shared" ca="1" si="11"/>
        <v>144.08221014523605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876</v>
      </c>
      <c r="B170" s="66">
        <v>876</v>
      </c>
      <c r="D170">
        <f t="shared" si="8"/>
        <v>4.9012202695671147E-3</v>
      </c>
      <c r="E170">
        <f t="shared" si="8"/>
        <v>4.9012202695671147E-3</v>
      </c>
      <c r="G170">
        <f t="shared" ca="1" si="9"/>
        <v>168</v>
      </c>
      <c r="H170">
        <f t="shared" ca="1" si="10"/>
        <v>0.82340500528727523</v>
      </c>
      <c r="I170">
        <f t="shared" ca="1" si="11"/>
        <v>48.803791085170424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696</v>
      </c>
      <c r="B173" s="66">
        <v>696</v>
      </c>
      <c r="D173">
        <f t="shared" si="8"/>
        <v>3.8941202141766118E-3</v>
      </c>
      <c r="E173">
        <f t="shared" si="8"/>
        <v>3.8941202141766118E-3</v>
      </c>
      <c r="G173">
        <f t="shared" ca="1" si="9"/>
        <v>171</v>
      </c>
      <c r="H173">
        <f t="shared" ca="1" si="10"/>
        <v>0.66589455662420061</v>
      </c>
      <c r="I173">
        <f t="shared" ca="1" si="11"/>
        <v>41.142161133883285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1354</v>
      </c>
      <c r="B175" s="66">
        <v>1354</v>
      </c>
      <c r="D175">
        <f t="shared" si="8"/>
        <v>7.5756304166596728E-3</v>
      </c>
      <c r="E175">
        <f t="shared" si="8"/>
        <v>7.5756304166596728E-3</v>
      </c>
      <c r="G175">
        <f t="shared" ca="1" si="9"/>
        <v>173</v>
      </c>
      <c r="H175">
        <f t="shared" ca="1" si="10"/>
        <v>1.3105840620821234</v>
      </c>
      <c r="I175">
        <f t="shared" ca="1" si="11"/>
        <v>83.183067560761714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902</v>
      </c>
      <c r="B178" s="66">
        <v>902</v>
      </c>
      <c r="D178">
        <f t="shared" si="8"/>
        <v>5.0466902775679655E-3</v>
      </c>
      <c r="E178">
        <f t="shared" si="8"/>
        <v>5.0466902775679655E-3</v>
      </c>
      <c r="G178">
        <f t="shared" ca="1" si="9"/>
        <v>176</v>
      </c>
      <c r="H178">
        <f t="shared" ca="1" si="10"/>
        <v>0.88821748885196194</v>
      </c>
      <c r="I178">
        <f t="shared" ca="1" si="11"/>
        <v>58.63281197757096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424</v>
      </c>
      <c r="B180" s="66">
        <v>424</v>
      </c>
      <c r="D180">
        <f t="shared" si="8"/>
        <v>2.372280130475407E-3</v>
      </c>
      <c r="E180">
        <f t="shared" si="8"/>
        <v>2.372280130475407E-3</v>
      </c>
      <c r="G180">
        <f t="shared" ca="1" si="9"/>
        <v>178</v>
      </c>
      <c r="H180">
        <f t="shared" ca="1" si="10"/>
        <v>0.42226586322462245</v>
      </c>
      <c r="I180">
        <f t="shared" ca="1" si="11"/>
        <v>28.59361630357758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57.321579282998798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1.1067358300302317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0.51079545943120086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10926</v>
      </c>
      <c r="B8" s="66">
        <v>10926</v>
      </c>
      <c r="D8">
        <f t="shared" si="0"/>
        <v>9.8366854529412819</v>
      </c>
      <c r="E8">
        <f t="shared" si="1"/>
        <v>9.8366854529412819</v>
      </c>
      <c r="G8">
        <f t="shared" ca="1" si="2"/>
        <v>6</v>
      </c>
      <c r="H8">
        <f t="shared" ca="1" si="3"/>
        <v>59.020112717647692</v>
      </c>
      <c r="I8">
        <f t="shared" ca="1" si="4"/>
        <v>25908.890080581379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17369</v>
      </c>
      <c r="B10" s="66">
        <v>17369</v>
      </c>
      <c r="D10">
        <f t="shared" si="0"/>
        <v>15.63732286583719</v>
      </c>
      <c r="E10">
        <f t="shared" si="1"/>
        <v>15.63732286583719</v>
      </c>
      <c r="G10">
        <f t="shared" ca="1" si="2"/>
        <v>8</v>
      </c>
      <c r="H10">
        <f t="shared" ca="1" si="3"/>
        <v>125.09858292669752</v>
      </c>
      <c r="I10">
        <f t="shared" ca="1" si="4"/>
        <v>38039.635936394588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28319</v>
      </c>
      <c r="B13" s="66">
        <v>28319</v>
      </c>
      <c r="D13">
        <f t="shared" si="0"/>
        <v>25.495615535588886</v>
      </c>
      <c r="E13">
        <f t="shared" si="1"/>
        <v>25.495615535588886</v>
      </c>
      <c r="G13">
        <f t="shared" ca="1" si="2"/>
        <v>11</v>
      </c>
      <c r="H13">
        <f t="shared" ca="1" si="3"/>
        <v>280.45177089147774</v>
      </c>
      <c r="I13">
        <f t="shared" ca="1" si="4"/>
        <v>54705.654339639797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33599</v>
      </c>
      <c r="B15" s="66">
        <v>33599</v>
      </c>
      <c r="D15">
        <f t="shared" si="0"/>
        <v>30.249203233880117</v>
      </c>
      <c r="E15">
        <f t="shared" si="1"/>
        <v>30.249203233880117</v>
      </c>
      <c r="G15">
        <f t="shared" ca="1" si="2"/>
        <v>13</v>
      </c>
      <c r="H15">
        <f t="shared" ca="1" si="3"/>
        <v>393.23964204044154</v>
      </c>
      <c r="I15">
        <f t="shared" ca="1" si="4"/>
        <v>59421.607132438949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33033</v>
      </c>
      <c r="B18" s="66">
        <v>33033</v>
      </c>
      <c r="D18">
        <f t="shared" si="0"/>
        <v>29.739633037434505</v>
      </c>
      <c r="E18">
        <f t="shared" si="1"/>
        <v>29.739633037434505</v>
      </c>
      <c r="G18">
        <f t="shared" ca="1" si="2"/>
        <v>16</v>
      </c>
      <c r="H18">
        <f t="shared" ca="1" si="3"/>
        <v>475.83412859895208</v>
      </c>
      <c r="I18">
        <f t="shared" ca="1" si="4"/>
        <v>50779.617896838761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37366</v>
      </c>
      <c r="B21" s="66">
        <v>37366</v>
      </c>
      <c r="D21">
        <f t="shared" si="0"/>
        <v>33.640635972414785</v>
      </c>
      <c r="E21">
        <f t="shared" si="1"/>
        <v>33.640635972414785</v>
      </c>
      <c r="G21">
        <f t="shared" ca="1" si="2"/>
        <v>19</v>
      </c>
      <c r="H21">
        <f t="shared" ca="1" si="3"/>
        <v>639.17208347588087</v>
      </c>
      <c r="I21">
        <f t="shared" ca="1" si="4"/>
        <v>49402.735232436942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39721</v>
      </c>
      <c r="B23" s="66">
        <v>39721</v>
      </c>
      <c r="D23">
        <f t="shared" si="0"/>
        <v>35.760844121936728</v>
      </c>
      <c r="E23">
        <f t="shared" si="1"/>
        <v>35.760844121936728</v>
      </c>
      <c r="G23">
        <f t="shared" ca="1" si="2"/>
        <v>21</v>
      </c>
      <c r="H23">
        <f t="shared" ca="1" si="3"/>
        <v>750.97772656067127</v>
      </c>
      <c r="I23">
        <f t="shared" ca="1" si="4"/>
        <v>47177.748282691879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47769</v>
      </c>
      <c r="B26" s="66">
        <v>47769</v>
      </c>
      <c r="D26">
        <f t="shared" si="0"/>
        <v>43.006464159029115</v>
      </c>
      <c r="E26">
        <f t="shared" si="1"/>
        <v>43.006464159029115</v>
      </c>
      <c r="G26">
        <f t="shared" ca="1" si="2"/>
        <v>24</v>
      </c>
      <c r="H26">
        <f t="shared" ca="1" si="3"/>
        <v>1032.1551398166987</v>
      </c>
      <c r="I26">
        <f t="shared" ca="1" si="4"/>
        <v>47751.266108744116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57831</v>
      </c>
      <c r="B28" s="66">
        <v>57831</v>
      </c>
      <c r="D28">
        <f t="shared" si="0"/>
        <v>52.065289806795469</v>
      </c>
      <c r="E28">
        <f t="shared" si="1"/>
        <v>52.065289806795469</v>
      </c>
      <c r="G28">
        <f t="shared" ca="1" si="2"/>
        <v>26</v>
      </c>
      <c r="H28">
        <f t="shared" ca="1" si="3"/>
        <v>1353.6975349766822</v>
      </c>
      <c r="I28">
        <f t="shared" ca="1" si="4"/>
        <v>51078.201095435827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55076</v>
      </c>
      <c r="B31" s="66">
        <v>55076</v>
      </c>
      <c r="D31">
        <f t="shared" si="0"/>
        <v>49.584961377099951</v>
      </c>
      <c r="E31">
        <f t="shared" si="1"/>
        <v>49.584961377099951</v>
      </c>
      <c r="G31">
        <f t="shared" ca="1" si="2"/>
        <v>29</v>
      </c>
      <c r="H31">
        <f t="shared" ca="1" si="3"/>
        <v>1437.9638799358986</v>
      </c>
      <c r="I31">
        <f t="shared" ca="1" si="4"/>
        <v>39772.68525524388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62405</v>
      </c>
      <c r="B33" s="66">
        <v>62405</v>
      </c>
      <c r="D33">
        <f t="shared" si="0"/>
        <v>56.183265210580331</v>
      </c>
      <c r="E33">
        <f t="shared" si="1"/>
        <v>56.183265210580331</v>
      </c>
      <c r="G33">
        <f t="shared" ca="1" si="2"/>
        <v>31</v>
      </c>
      <c r="H33">
        <f t="shared" ca="1" si="3"/>
        <v>1741.6812215279901</v>
      </c>
      <c r="I33">
        <f t="shared" ca="1" si="4"/>
        <v>38925.200831008246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78142</v>
      </c>
      <c r="B36" s="66">
        <v>78142</v>
      </c>
      <c r="D36">
        <f t="shared" si="0"/>
        <v>70.351297333309319</v>
      </c>
      <c r="E36">
        <f t="shared" si="1"/>
        <v>70.351297333309319</v>
      </c>
      <c r="G36">
        <f t="shared" ca="1" si="2"/>
        <v>34</v>
      </c>
      <c r="H36">
        <f t="shared" ca="1" si="3"/>
        <v>2391.9441093325167</v>
      </c>
      <c r="I36">
        <f t="shared" ca="1" si="4"/>
        <v>38263.793453288301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83113</v>
      </c>
      <c r="B39" s="66">
        <v>83113</v>
      </c>
      <c r="D39">
        <f t="shared" si="0"/>
        <v>74.826692115166466</v>
      </c>
      <c r="E39">
        <f t="shared" si="1"/>
        <v>74.826692115166466</v>
      </c>
      <c r="G39">
        <f t="shared" ca="1" si="2"/>
        <v>37</v>
      </c>
      <c r="H39">
        <f t="shared" ca="1" si="3"/>
        <v>2768.5876082611594</v>
      </c>
      <c r="I39">
        <f t="shared" ca="1" si="4"/>
        <v>30900.923476364253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89796</v>
      </c>
      <c r="B41" s="66">
        <v>89796</v>
      </c>
      <c r="D41">
        <f t="shared" si="0"/>
        <v>80.843401696166524</v>
      </c>
      <c r="E41">
        <f t="shared" si="1"/>
        <v>80.843401696166524</v>
      </c>
      <c r="G41">
        <f t="shared" ca="1" si="2"/>
        <v>39</v>
      </c>
      <c r="H41">
        <f t="shared" ca="1" si="3"/>
        <v>3152.8926661504943</v>
      </c>
      <c r="I41">
        <f t="shared" ca="1" si="4"/>
        <v>27137.53470077123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91899</v>
      </c>
      <c r="B44" s="66">
        <v>91899</v>
      </c>
      <c r="D44">
        <f t="shared" si="0"/>
        <v>82.736734069179107</v>
      </c>
      <c r="E44">
        <f t="shared" si="1"/>
        <v>82.736734069179107</v>
      </c>
      <c r="G44">
        <f t="shared" ca="1" si="2"/>
        <v>42</v>
      </c>
      <c r="H44">
        <f t="shared" ca="1" si="3"/>
        <v>3474.9428309055224</v>
      </c>
      <c r="I44">
        <f t="shared" ca="1" si="4"/>
        <v>19422.513827498609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94752</v>
      </c>
      <c r="B46" s="66">
        <v>94752</v>
      </c>
      <c r="D46">
        <f t="shared" si="0"/>
        <v>85.305291967517149</v>
      </c>
      <c r="E46">
        <f t="shared" si="1"/>
        <v>85.305291967517149</v>
      </c>
      <c r="G46">
        <f t="shared" ca="1" si="2"/>
        <v>44</v>
      </c>
      <c r="H46">
        <f t="shared" ca="1" si="3"/>
        <v>3753.4328465707545</v>
      </c>
      <c r="I46">
        <f t="shared" ca="1" si="4"/>
        <v>15138.658819036895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100285</v>
      </c>
      <c r="B49" s="66">
        <v>100285</v>
      </c>
      <c r="D49">
        <f t="shared" si="0"/>
        <v>90.286655743018173</v>
      </c>
      <c r="E49">
        <f t="shared" si="1"/>
        <v>90.286655743018173</v>
      </c>
      <c r="G49">
        <f t="shared" ca="1" si="2"/>
        <v>47</v>
      </c>
      <c r="H49">
        <f t="shared" ca="1" si="3"/>
        <v>4243.4728199218544</v>
      </c>
      <c r="I49">
        <f t="shared" ca="1" si="4"/>
        <v>9618.6887698364499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111074</v>
      </c>
      <c r="B51" s="66">
        <v>111074</v>
      </c>
      <c r="D51">
        <f t="shared" si="0"/>
        <v>100</v>
      </c>
      <c r="E51">
        <f t="shared" si="1"/>
        <v>100</v>
      </c>
      <c r="G51">
        <f t="shared" ca="1" si="2"/>
        <v>49</v>
      </c>
      <c r="H51">
        <f t="shared" ca="1" si="3"/>
        <v>4900</v>
      </c>
      <c r="I51">
        <f t="shared" ca="1" si="4"/>
        <v>6924.8681763234781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100373</v>
      </c>
      <c r="B54" s="66">
        <v>100373</v>
      </c>
      <c r="D54">
        <f t="shared" si="0"/>
        <v>90.365882204656359</v>
      </c>
      <c r="E54">
        <f t="shared" si="1"/>
        <v>90.365882204656359</v>
      </c>
      <c r="G54">
        <f t="shared" ca="1" si="2"/>
        <v>52</v>
      </c>
      <c r="H54">
        <f t="shared" ca="1" si="3"/>
        <v>4699.0258746421305</v>
      </c>
      <c r="I54">
        <f t="shared" ca="1" si="4"/>
        <v>2559.090039421048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70089</v>
      </c>
      <c r="B57" s="66">
        <v>70089</v>
      </c>
      <c r="D57">
        <f t="shared" si="0"/>
        <v>63.10117579271477</v>
      </c>
      <c r="E57">
        <f t="shared" si="1"/>
        <v>63.10117579271477</v>
      </c>
      <c r="G57">
        <f t="shared" ca="1" si="2"/>
        <v>55</v>
      </c>
      <c r="H57">
        <f t="shared" ca="1" si="3"/>
        <v>3470.5646685993124</v>
      </c>
      <c r="I57">
        <f t="shared" ca="1" si="4"/>
        <v>340.09832337912559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84449</v>
      </c>
      <c r="B59" s="66">
        <v>84449</v>
      </c>
      <c r="D59">
        <f t="shared" si="0"/>
        <v>76.02949385094621</v>
      </c>
      <c r="E59">
        <f t="shared" si="1"/>
        <v>76.02949385094621</v>
      </c>
      <c r="G59">
        <f t="shared" ca="1" si="2"/>
        <v>57</v>
      </c>
      <c r="H59">
        <f t="shared" ca="1" si="3"/>
        <v>4333.6811495039337</v>
      </c>
      <c r="I59">
        <f t="shared" ca="1" si="4"/>
        <v>7.862455933852023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91384</v>
      </c>
      <c r="B62" s="66">
        <v>91384</v>
      </c>
      <c r="D62">
        <f t="shared" si="0"/>
        <v>82.273079208455627</v>
      </c>
      <c r="E62">
        <f t="shared" si="1"/>
        <v>82.273079208455627</v>
      </c>
      <c r="G62">
        <f t="shared" ca="1" si="2"/>
        <v>60</v>
      </c>
      <c r="H62">
        <f t="shared" ca="1" si="3"/>
        <v>4936.3847525073379</v>
      </c>
      <c r="I62">
        <f t="shared" ca="1" si="4"/>
        <v>590.22193123960665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90472</v>
      </c>
      <c r="B64" s="66">
        <v>90472</v>
      </c>
      <c r="D64">
        <f t="shared" si="0"/>
        <v>81.452004969659868</v>
      </c>
      <c r="E64">
        <f t="shared" si="1"/>
        <v>81.452004969659868</v>
      </c>
      <c r="G64">
        <f t="shared" ca="1" si="2"/>
        <v>62</v>
      </c>
      <c r="H64">
        <f t="shared" ca="1" si="3"/>
        <v>5050.0243081189119</v>
      </c>
      <c r="I64">
        <f t="shared" ca="1" si="4"/>
        <v>1782.7905660237586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83001</v>
      </c>
      <c r="B67" s="66">
        <v>83001</v>
      </c>
      <c r="D67">
        <f t="shared" ref="D67:D130" si="5">IFERROR( 100*A67/MAX(A$2:A$257), 0 )</f>
        <v>74.725858436717857</v>
      </c>
      <c r="E67">
        <f t="shared" ref="E67:E130" si="6">IFERROR( 100*B67/MAX(B$2:B$257), 0 )</f>
        <v>74.725858436717857</v>
      </c>
      <c r="G67">
        <f t="shared" ref="G67:G130" ca="1" si="7">CELL("row",D67)-2</f>
        <v>65</v>
      </c>
      <c r="H67">
        <f t="shared" ref="H67:H130" ca="1" si="8">D67*G67</f>
        <v>4857.1807983866611</v>
      </c>
      <c r="I67">
        <f t="shared" ref="I67:I130" ca="1" si="9">D67*((G67-$L$1)^2)</f>
        <v>4405.6979750872279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74720</v>
      </c>
      <c r="B69" s="66">
        <v>74720</v>
      </c>
      <c r="D69">
        <f t="shared" si="5"/>
        <v>67.270468336424372</v>
      </c>
      <c r="E69">
        <f t="shared" si="6"/>
        <v>67.270468336424372</v>
      </c>
      <c r="G69">
        <f t="shared" ca="1" si="7"/>
        <v>67</v>
      </c>
      <c r="H69">
        <f t="shared" ca="1" si="8"/>
        <v>4507.1213785404325</v>
      </c>
      <c r="I69">
        <f t="shared" ca="1" si="9"/>
        <v>6301.3477109177466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63624</v>
      </c>
      <c r="B72" s="66">
        <v>63624</v>
      </c>
      <c r="D72">
        <f t="shared" si="5"/>
        <v>57.28073176440931</v>
      </c>
      <c r="E72">
        <f t="shared" si="6"/>
        <v>57.28073176440931</v>
      </c>
      <c r="G72">
        <f t="shared" ca="1" si="7"/>
        <v>70</v>
      </c>
      <c r="H72">
        <f t="shared" ca="1" si="8"/>
        <v>4009.6512235086516</v>
      </c>
      <c r="I72">
        <f t="shared" ca="1" si="9"/>
        <v>9207.4395410630732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52962</v>
      </c>
      <c r="B75" s="66">
        <v>52962</v>
      </c>
      <c r="D75">
        <f t="shared" si="5"/>
        <v>47.681725696382593</v>
      </c>
      <c r="E75">
        <f t="shared" si="6"/>
        <v>47.681725696382593</v>
      </c>
      <c r="G75">
        <f t="shared" ca="1" si="7"/>
        <v>73</v>
      </c>
      <c r="H75">
        <f t="shared" ca="1" si="8"/>
        <v>3480.7659758359291</v>
      </c>
      <c r="I75">
        <f t="shared" ca="1" si="9"/>
        <v>11720.782134619883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57055</v>
      </c>
      <c r="B77" s="66">
        <v>57055</v>
      </c>
      <c r="D77">
        <f t="shared" si="5"/>
        <v>51.366656463258728</v>
      </c>
      <c r="E77">
        <f t="shared" si="6"/>
        <v>51.366656463258728</v>
      </c>
      <c r="G77">
        <f t="shared" ca="1" si="7"/>
        <v>75</v>
      </c>
      <c r="H77">
        <f t="shared" ca="1" si="8"/>
        <v>3852.4992347444045</v>
      </c>
      <c r="I77">
        <f t="shared" ca="1" si="9"/>
        <v>16053.444394226866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55301</v>
      </c>
      <c r="B80" s="66">
        <v>55301</v>
      </c>
      <c r="D80">
        <f t="shared" si="5"/>
        <v>49.787529034697592</v>
      </c>
      <c r="E80">
        <f t="shared" si="6"/>
        <v>49.787529034697592</v>
      </c>
      <c r="G80">
        <f t="shared" ca="1" si="7"/>
        <v>78</v>
      </c>
      <c r="H80">
        <f t="shared" ca="1" si="8"/>
        <v>3883.4272647064122</v>
      </c>
      <c r="I80">
        <f t="shared" ca="1" si="9"/>
        <v>21289.002202405503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60259</v>
      </c>
      <c r="B82" s="66">
        <v>60259</v>
      </c>
      <c r="D82">
        <f t="shared" si="5"/>
        <v>54.251219907449091</v>
      </c>
      <c r="E82">
        <f t="shared" si="6"/>
        <v>54.251219907449091</v>
      </c>
      <c r="G82">
        <f t="shared" ca="1" si="7"/>
        <v>80</v>
      </c>
      <c r="H82">
        <f t="shared" ca="1" si="8"/>
        <v>4340.0975925959274</v>
      </c>
      <c r="I82">
        <f t="shared" ca="1" si="9"/>
        <v>27901.986478823888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68379</v>
      </c>
      <c r="B85" s="66">
        <v>68379</v>
      </c>
      <c r="D85">
        <f t="shared" si="5"/>
        <v>61.561661594972719</v>
      </c>
      <c r="E85">
        <f t="shared" si="6"/>
        <v>61.561661594972719</v>
      </c>
      <c r="G85">
        <f t="shared" ca="1" si="7"/>
        <v>83</v>
      </c>
      <c r="H85">
        <f t="shared" ca="1" si="8"/>
        <v>5109.617912382736</v>
      </c>
      <c r="I85">
        <f t="shared" ca="1" si="9"/>
        <v>40592.607869006555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57220</v>
      </c>
      <c r="B88" s="66">
        <v>57220</v>
      </c>
      <c r="D88">
        <f t="shared" si="5"/>
        <v>51.515206078830332</v>
      </c>
      <c r="E88">
        <f t="shared" si="6"/>
        <v>51.515206078830332</v>
      </c>
      <c r="G88">
        <f t="shared" ca="1" si="7"/>
        <v>86</v>
      </c>
      <c r="H88">
        <f t="shared" ca="1" si="8"/>
        <v>4430.3077227794083</v>
      </c>
      <c r="I88">
        <f t="shared" ca="1" si="9"/>
        <v>42368.774730428493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48814</v>
      </c>
      <c r="B90" s="66">
        <v>48814</v>
      </c>
      <c r="D90">
        <f t="shared" si="5"/>
        <v>43.947278390982589</v>
      </c>
      <c r="E90">
        <f t="shared" si="6"/>
        <v>43.947278390982589</v>
      </c>
      <c r="G90">
        <f t="shared" ca="1" si="7"/>
        <v>88</v>
      </c>
      <c r="H90">
        <f t="shared" ca="1" si="8"/>
        <v>3867.3604984064677</v>
      </c>
      <c r="I90">
        <f t="shared" ca="1" si="9"/>
        <v>41361.662138940606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45641</v>
      </c>
      <c r="B93" s="66">
        <v>45641</v>
      </c>
      <c r="D93">
        <f t="shared" si="5"/>
        <v>41.090624268505678</v>
      </c>
      <c r="E93">
        <f t="shared" si="6"/>
        <v>41.090624268505678</v>
      </c>
      <c r="G93">
        <f t="shared" ca="1" si="7"/>
        <v>91</v>
      </c>
      <c r="H93">
        <f t="shared" ca="1" si="8"/>
        <v>3739.2468084340167</v>
      </c>
      <c r="I93">
        <f t="shared" ca="1" si="9"/>
        <v>46606.466211450519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37603</v>
      </c>
      <c r="B95" s="66">
        <v>37603</v>
      </c>
      <c r="D95">
        <f t="shared" si="5"/>
        <v>33.85400723841763</v>
      </c>
      <c r="E95">
        <f t="shared" si="6"/>
        <v>33.85400723841763</v>
      </c>
      <c r="G95">
        <f t="shared" ca="1" si="7"/>
        <v>93</v>
      </c>
      <c r="H95">
        <f t="shared" ca="1" si="8"/>
        <v>3148.4226731728395</v>
      </c>
      <c r="I95">
        <f t="shared" ca="1" si="9"/>
        <v>43094.448522449697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30705</v>
      </c>
      <c r="B98" s="66">
        <v>30705</v>
      </c>
      <c r="D98">
        <f t="shared" si="5"/>
        <v>27.643733006824281</v>
      </c>
      <c r="E98">
        <f t="shared" si="6"/>
        <v>27.643733006824281</v>
      </c>
      <c r="G98">
        <f t="shared" ca="1" si="7"/>
        <v>96</v>
      </c>
      <c r="H98">
        <f t="shared" ca="1" si="8"/>
        <v>2653.7983686551311</v>
      </c>
      <c r="I98">
        <f t="shared" ca="1" si="9"/>
        <v>41355.58378774437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23565</v>
      </c>
      <c r="B100" s="66">
        <v>23565</v>
      </c>
      <c r="D100">
        <f t="shared" si="5"/>
        <v>21.215586005725914</v>
      </c>
      <c r="E100">
        <f t="shared" si="6"/>
        <v>21.215586005725914</v>
      </c>
      <c r="G100">
        <f t="shared" ca="1" si="7"/>
        <v>98</v>
      </c>
      <c r="H100">
        <f t="shared" ca="1" si="8"/>
        <v>2079.1274285611394</v>
      </c>
      <c r="I100">
        <f t="shared" ca="1" si="9"/>
        <v>35106.14962725003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17453</v>
      </c>
      <c r="B103" s="66">
        <v>17453</v>
      </c>
      <c r="D103">
        <f t="shared" si="5"/>
        <v>15.712948124673641</v>
      </c>
      <c r="E103">
        <f t="shared" si="6"/>
        <v>15.712948124673641</v>
      </c>
      <c r="G103">
        <f t="shared" ca="1" si="7"/>
        <v>101</v>
      </c>
      <c r="H103">
        <f t="shared" ca="1" si="8"/>
        <v>1587.0077605920378</v>
      </c>
      <c r="I103">
        <f t="shared" ca="1" si="9"/>
        <v>29977.23214009689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15285</v>
      </c>
      <c r="B106" s="66">
        <v>15285</v>
      </c>
      <c r="D106">
        <f t="shared" si="5"/>
        <v>13.761096206132848</v>
      </c>
      <c r="E106">
        <f t="shared" si="6"/>
        <v>13.761096206132848</v>
      </c>
      <c r="G106">
        <f t="shared" ca="1" si="7"/>
        <v>104</v>
      </c>
      <c r="H106">
        <f t="shared" ca="1" si="8"/>
        <v>1431.1540054378161</v>
      </c>
      <c r="I106">
        <f t="shared" ca="1" si="9"/>
        <v>29983.707954409689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11336</v>
      </c>
      <c r="B108" s="66">
        <v>11336</v>
      </c>
      <c r="D108">
        <f t="shared" si="5"/>
        <v>10.205808740119199</v>
      </c>
      <c r="E108">
        <f t="shared" si="6"/>
        <v>10.205808740119199</v>
      </c>
      <c r="G108">
        <f t="shared" ca="1" si="7"/>
        <v>106</v>
      </c>
      <c r="H108">
        <f t="shared" ca="1" si="8"/>
        <v>1081.8157264526351</v>
      </c>
      <c r="I108">
        <f t="shared" ca="1" si="9"/>
        <v>24183.568488333498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10664</v>
      </c>
      <c r="B111" s="66">
        <v>10664</v>
      </c>
      <c r="D111">
        <f t="shared" si="5"/>
        <v>9.6008066694275893</v>
      </c>
      <c r="E111">
        <f t="shared" si="6"/>
        <v>9.6008066694275893</v>
      </c>
      <c r="G111">
        <f t="shared" ca="1" si="7"/>
        <v>109</v>
      </c>
      <c r="H111">
        <f t="shared" ca="1" si="8"/>
        <v>1046.4879269676073</v>
      </c>
      <c r="I111">
        <f t="shared" ca="1" si="9"/>
        <v>25640.482350014619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9554</v>
      </c>
      <c r="B113" s="66">
        <v>9554</v>
      </c>
      <c r="D113">
        <f t="shared" si="5"/>
        <v>8.6014728919459102</v>
      </c>
      <c r="E113">
        <f t="shared" si="6"/>
        <v>8.6014728919459102</v>
      </c>
      <c r="G113">
        <f t="shared" ca="1" si="7"/>
        <v>111</v>
      </c>
      <c r="H113">
        <f t="shared" ca="1" si="8"/>
        <v>954.763491005996</v>
      </c>
      <c r="I113">
        <f t="shared" ca="1" si="9"/>
        <v>24784.050466638819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9114</v>
      </c>
      <c r="B116" s="66">
        <v>9114</v>
      </c>
      <c r="D116">
        <f t="shared" si="5"/>
        <v>8.2053405837549747</v>
      </c>
      <c r="E116">
        <f t="shared" si="6"/>
        <v>8.2053405837549747</v>
      </c>
      <c r="G116">
        <f t="shared" ca="1" si="7"/>
        <v>114</v>
      </c>
      <c r="H116">
        <f t="shared" ca="1" si="8"/>
        <v>935.40882654806705</v>
      </c>
      <c r="I116">
        <f t="shared" ca="1" si="9"/>
        <v>26359.191997683967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7739</v>
      </c>
      <c r="B118" s="66">
        <v>7739</v>
      </c>
      <c r="D118">
        <f t="shared" si="5"/>
        <v>6.9674271206583001</v>
      </c>
      <c r="E118">
        <f t="shared" si="6"/>
        <v>6.9674271206583001</v>
      </c>
      <c r="G118">
        <f t="shared" ca="1" si="7"/>
        <v>116</v>
      </c>
      <c r="H118">
        <f t="shared" ca="1" si="8"/>
        <v>808.22154599636281</v>
      </c>
      <c r="I118">
        <f t="shared" ca="1" si="9"/>
        <v>23989.945865490179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8873</v>
      </c>
      <c r="B121" s="66">
        <v>8873</v>
      </c>
      <c r="D121">
        <f t="shared" si="5"/>
        <v>7.9883681149503936</v>
      </c>
      <c r="E121">
        <f t="shared" si="6"/>
        <v>7.9883681149503936</v>
      </c>
      <c r="G121">
        <f t="shared" ca="1" si="7"/>
        <v>119</v>
      </c>
      <c r="H121">
        <f t="shared" ca="1" si="8"/>
        <v>950.61580567909687</v>
      </c>
      <c r="I121">
        <f t="shared" ca="1" si="9"/>
        <v>30389.57031920919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8309</v>
      </c>
      <c r="B124" s="66">
        <v>8309</v>
      </c>
      <c r="D124">
        <f t="shared" si="5"/>
        <v>7.4805985199056488</v>
      </c>
      <c r="E124">
        <f t="shared" si="6"/>
        <v>7.4805985199056488</v>
      </c>
      <c r="G124">
        <f t="shared" ca="1" si="7"/>
        <v>122</v>
      </c>
      <c r="H124">
        <f t="shared" ca="1" si="8"/>
        <v>912.63301942848921</v>
      </c>
      <c r="I124">
        <f t="shared" ca="1" si="9"/>
        <v>31293.573623399643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6962</v>
      </c>
      <c r="B126" s="66">
        <v>6962</v>
      </c>
      <c r="D126">
        <f t="shared" si="5"/>
        <v>6.2678934764211247</v>
      </c>
      <c r="E126">
        <f t="shared" si="6"/>
        <v>6.2678934764211247</v>
      </c>
      <c r="G126">
        <f t="shared" ca="1" si="7"/>
        <v>124</v>
      </c>
      <c r="H126">
        <f t="shared" ca="1" si="8"/>
        <v>777.21879107621942</v>
      </c>
      <c r="I126">
        <f t="shared" ca="1" si="9"/>
        <v>27867.128290328965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7126</v>
      </c>
      <c r="B129" s="66">
        <v>7126</v>
      </c>
      <c r="D129">
        <f t="shared" si="5"/>
        <v>6.4155427912922915</v>
      </c>
      <c r="E129">
        <f t="shared" si="6"/>
        <v>6.4155427912922915</v>
      </c>
      <c r="G129">
        <f t="shared" ca="1" si="7"/>
        <v>127</v>
      </c>
      <c r="H129">
        <f t="shared" ca="1" si="8"/>
        <v>814.77393449412102</v>
      </c>
      <c r="I129">
        <f t="shared" ca="1" si="9"/>
        <v>31147.988338246123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5413</v>
      </c>
      <c r="B131" s="66">
        <v>5413</v>
      </c>
      <c r="D131">
        <f t="shared" ref="D131:D194" si="10">IFERROR( 100*A131/MAX(A$2:A$257), 0 )</f>
        <v>4.8733276914489441</v>
      </c>
      <c r="E131">
        <f t="shared" ref="E131:E194" si="11">IFERROR( 100*B131/MAX(B$2:B$257), 0 )</f>
        <v>4.8733276914489441</v>
      </c>
      <c r="G131">
        <f t="shared" ref="G131:G194" ca="1" si="12">CELL("row",D131)-2</f>
        <v>129</v>
      </c>
      <c r="H131">
        <f t="shared" ref="H131:H194" ca="1" si="13">D131*G131</f>
        <v>628.65927219691378</v>
      </c>
      <c r="I131">
        <f t="shared" ref="I131:I194" ca="1" si="14">D131*((G131-$L$1)^2)</f>
        <v>25038.163502678206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4897</v>
      </c>
      <c r="B134" s="66">
        <v>4897</v>
      </c>
      <c r="D134">
        <f t="shared" si="10"/>
        <v>4.4087725300250282</v>
      </c>
      <c r="E134">
        <f t="shared" si="11"/>
        <v>4.4087725300250282</v>
      </c>
      <c r="G134">
        <f t="shared" ca="1" si="12"/>
        <v>132</v>
      </c>
      <c r="H134">
        <f t="shared" ca="1" si="13"/>
        <v>581.95797396330374</v>
      </c>
      <c r="I134">
        <f t="shared" ca="1" si="14"/>
        <v>24587.135920455079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4654</v>
      </c>
      <c r="B136" s="66">
        <v>4654</v>
      </c>
      <c r="D136">
        <f t="shared" si="10"/>
        <v>4.18999945981958</v>
      </c>
      <c r="E136">
        <f t="shared" si="11"/>
        <v>4.18999945981958</v>
      </c>
      <c r="G136">
        <f t="shared" ca="1" si="12"/>
        <v>134</v>
      </c>
      <c r="H136">
        <f t="shared" ca="1" si="13"/>
        <v>561.45992761582374</v>
      </c>
      <c r="I136">
        <f t="shared" ca="1" si="14"/>
        <v>24635.437877273809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4240</v>
      </c>
      <c r="B139" s="66">
        <v>4240</v>
      </c>
      <c r="D139">
        <f t="shared" si="10"/>
        <v>3.8172749698399264</v>
      </c>
      <c r="E139">
        <f t="shared" si="11"/>
        <v>3.8172749698399264</v>
      </c>
      <c r="G139">
        <f t="shared" ca="1" si="12"/>
        <v>137</v>
      </c>
      <c r="H139">
        <f t="shared" ca="1" si="13"/>
        <v>522.96667086806997</v>
      </c>
      <c r="I139">
        <f t="shared" ca="1" si="14"/>
        <v>24234.545516080354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2641</v>
      </c>
      <c r="B142" s="66">
        <v>2641</v>
      </c>
      <c r="D142">
        <f t="shared" si="10"/>
        <v>2.3776941498460484</v>
      </c>
      <c r="E142">
        <f t="shared" si="11"/>
        <v>2.3776941498460484</v>
      </c>
      <c r="G142">
        <f t="shared" ca="1" si="12"/>
        <v>140</v>
      </c>
      <c r="H142">
        <f t="shared" ca="1" si="13"/>
        <v>332.8771809784468</v>
      </c>
      <c r="I142">
        <f t="shared" ca="1" si="14"/>
        <v>16253.254431470852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2741</v>
      </c>
      <c r="B144" s="66">
        <v>2741</v>
      </c>
      <c r="D144">
        <f t="shared" si="10"/>
        <v>2.4677242198894431</v>
      </c>
      <c r="E144">
        <f t="shared" si="11"/>
        <v>2.4677242198894431</v>
      </c>
      <c r="G144">
        <f t="shared" ca="1" si="12"/>
        <v>142</v>
      </c>
      <c r="H144">
        <f t="shared" ca="1" si="13"/>
        <v>350.41683922430093</v>
      </c>
      <c r="I144">
        <f t="shared" ca="1" si="14"/>
        <v>17694.655956550483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1833</v>
      </c>
      <c r="B147" s="66">
        <v>1833</v>
      </c>
      <c r="D147">
        <f t="shared" si="10"/>
        <v>1.650251183895421</v>
      </c>
      <c r="E147">
        <f t="shared" si="11"/>
        <v>1.650251183895421</v>
      </c>
      <c r="G147">
        <f t="shared" ca="1" si="12"/>
        <v>145</v>
      </c>
      <c r="H147">
        <f t="shared" ca="1" si="13"/>
        <v>239.28642166483604</v>
      </c>
      <c r="I147">
        <f t="shared" ca="1" si="14"/>
        <v>12686.314985622686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1820</v>
      </c>
      <c r="B149" s="66">
        <v>1820</v>
      </c>
      <c r="D149">
        <f t="shared" si="10"/>
        <v>1.6385472747897798</v>
      </c>
      <c r="E149">
        <f t="shared" si="11"/>
        <v>1.6385472747897798</v>
      </c>
      <c r="G149">
        <f t="shared" ca="1" si="12"/>
        <v>147</v>
      </c>
      <c r="H149">
        <f t="shared" ca="1" si="13"/>
        <v>240.86644939409763</v>
      </c>
      <c r="I149">
        <f t="shared" ca="1" si="14"/>
        <v>13177.556258870443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849</v>
      </c>
      <c r="B152" s="66">
        <v>849</v>
      </c>
      <c r="D152">
        <f t="shared" si="10"/>
        <v>0.76435529466841923</v>
      </c>
      <c r="E152">
        <f t="shared" si="11"/>
        <v>0.76435529466841923</v>
      </c>
      <c r="G152">
        <f t="shared" ca="1" si="12"/>
        <v>150</v>
      </c>
      <c r="H152">
        <f t="shared" ca="1" si="13"/>
        <v>114.65329420026288</v>
      </c>
      <c r="I152">
        <f t="shared" ca="1" si="14"/>
        <v>6565.2690341045245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450</v>
      </c>
      <c r="B154" s="66">
        <v>450</v>
      </c>
      <c r="D154">
        <f t="shared" si="10"/>
        <v>0.40513531519527524</v>
      </c>
      <c r="E154">
        <f t="shared" si="11"/>
        <v>0.40513531519527524</v>
      </c>
      <c r="G154">
        <f t="shared" ca="1" si="12"/>
        <v>152</v>
      </c>
      <c r="H154">
        <f t="shared" ca="1" si="13"/>
        <v>61.580567909681832</v>
      </c>
      <c r="I154">
        <f t="shared" ca="1" si="14"/>
        <v>3631.6343223972008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189</v>
      </c>
      <c r="B157" s="66">
        <v>189</v>
      </c>
      <c r="D157">
        <f t="shared" si="10"/>
        <v>0.17015683238201559</v>
      </c>
      <c r="E157">
        <f t="shared" si="11"/>
        <v>0.17015683238201559</v>
      </c>
      <c r="G157">
        <f t="shared" ca="1" si="12"/>
        <v>155</v>
      </c>
      <c r="H157">
        <f t="shared" ca="1" si="13"/>
        <v>26.374309019212419</v>
      </c>
      <c r="I157">
        <f t="shared" ca="1" si="14"/>
        <v>1623.4789078830829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76.783652574254603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1.482499619296513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0.62092606284152607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7713</v>
      </c>
      <c r="B8" s="66">
        <v>7713</v>
      </c>
      <c r="D8">
        <f t="shared" si="0"/>
        <v>7.4275589110484095</v>
      </c>
      <c r="E8">
        <f t="shared" si="1"/>
        <v>7.4275589110484095</v>
      </c>
      <c r="G8">
        <f t="shared" ca="1" si="2"/>
        <v>6</v>
      </c>
      <c r="H8">
        <f t="shared" ca="1" si="3"/>
        <v>44.56535346629046</v>
      </c>
      <c r="I8">
        <f t="shared" ca="1" si="4"/>
        <v>37214.487604970192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11169</v>
      </c>
      <c r="B10" s="66">
        <v>11169</v>
      </c>
      <c r="D10">
        <f t="shared" si="0"/>
        <v>10.755659986710707</v>
      </c>
      <c r="E10">
        <f t="shared" si="1"/>
        <v>10.755659986710707</v>
      </c>
      <c r="G10">
        <f t="shared" ca="1" si="2"/>
        <v>8</v>
      </c>
      <c r="H10">
        <f t="shared" ca="1" si="3"/>
        <v>86.04527989368566</v>
      </c>
      <c r="I10">
        <f t="shared" ca="1" si="4"/>
        <v>50887.080238051094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15311</v>
      </c>
      <c r="B13" s="66">
        <v>15311</v>
      </c>
      <c r="D13">
        <f t="shared" si="0"/>
        <v>14.744373718016622</v>
      </c>
      <c r="E13">
        <f t="shared" si="1"/>
        <v>14.744373718016622</v>
      </c>
      <c r="G13">
        <f t="shared" ca="1" si="2"/>
        <v>11</v>
      </c>
      <c r="H13">
        <f t="shared" ca="1" si="3"/>
        <v>162.18811089818283</v>
      </c>
      <c r="I13">
        <f t="shared" ca="1" si="4"/>
        <v>63806.114280560745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16848</v>
      </c>
      <c r="B15" s="66">
        <v>16848</v>
      </c>
      <c r="D15">
        <f t="shared" si="0"/>
        <v>16.224492743853702</v>
      </c>
      <c r="E15">
        <f t="shared" si="1"/>
        <v>16.224492743853702</v>
      </c>
      <c r="G15">
        <f t="shared" ca="1" si="2"/>
        <v>13</v>
      </c>
      <c r="H15">
        <f t="shared" ca="1" si="3"/>
        <v>210.91840567009814</v>
      </c>
      <c r="I15">
        <f t="shared" ca="1" si="4"/>
        <v>66006.985399204816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14355</v>
      </c>
      <c r="B18" s="66">
        <v>14355</v>
      </c>
      <c r="D18">
        <f t="shared" si="0"/>
        <v>13.823753165836889</v>
      </c>
      <c r="E18">
        <f t="shared" si="1"/>
        <v>13.823753165836889</v>
      </c>
      <c r="G18">
        <f t="shared" ca="1" si="2"/>
        <v>16</v>
      </c>
      <c r="H18">
        <f t="shared" ca="1" si="3"/>
        <v>221.18005065339023</v>
      </c>
      <c r="I18">
        <f t="shared" ca="1" si="4"/>
        <v>51073.963091342383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18545</v>
      </c>
      <c r="B21" s="66">
        <v>18545</v>
      </c>
      <c r="D21">
        <f t="shared" si="0"/>
        <v>17.858690523193669</v>
      </c>
      <c r="E21">
        <f t="shared" si="1"/>
        <v>17.858690523193669</v>
      </c>
      <c r="G21">
        <f t="shared" ca="1" si="2"/>
        <v>19</v>
      </c>
      <c r="H21">
        <f t="shared" ca="1" si="3"/>
        <v>339.31511994067972</v>
      </c>
      <c r="I21">
        <f t="shared" ca="1" si="4"/>
        <v>59629.283737880236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23393</v>
      </c>
      <c r="B23" s="66">
        <v>23393</v>
      </c>
      <c r="D23">
        <f t="shared" si="0"/>
        <v>22.527276754331059</v>
      </c>
      <c r="E23">
        <f t="shared" si="1"/>
        <v>22.527276754331059</v>
      </c>
      <c r="G23">
        <f t="shared" ca="1" si="2"/>
        <v>21</v>
      </c>
      <c r="H23">
        <f t="shared" ca="1" si="3"/>
        <v>473.07281184095223</v>
      </c>
      <c r="I23">
        <f t="shared" ca="1" si="4"/>
        <v>70100.737864494149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28434</v>
      </c>
      <c r="B26" s="66">
        <v>28434</v>
      </c>
      <c r="D26">
        <f t="shared" si="0"/>
        <v>27.381720481881302</v>
      </c>
      <c r="E26">
        <f t="shared" si="1"/>
        <v>27.381720481881302</v>
      </c>
      <c r="G26">
        <f t="shared" ca="1" si="2"/>
        <v>24</v>
      </c>
      <c r="H26">
        <f t="shared" ca="1" si="3"/>
        <v>657.16129156515126</v>
      </c>
      <c r="I26">
        <f t="shared" ca="1" si="4"/>
        <v>76288.594205820104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35037</v>
      </c>
      <c r="B28" s="66">
        <v>35037</v>
      </c>
      <c r="D28">
        <f t="shared" si="0"/>
        <v>33.740358040503452</v>
      </c>
      <c r="E28">
        <f t="shared" si="1"/>
        <v>33.740358040503452</v>
      </c>
      <c r="G28">
        <f t="shared" ca="1" si="2"/>
        <v>26</v>
      </c>
      <c r="H28">
        <f t="shared" ca="1" si="3"/>
        <v>877.24930905308975</v>
      </c>
      <c r="I28">
        <f t="shared" ca="1" si="4"/>
        <v>87015.687281796389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34547</v>
      </c>
      <c r="B31" s="66">
        <v>34547</v>
      </c>
      <c r="D31">
        <f t="shared" si="0"/>
        <v>33.268491857900869</v>
      </c>
      <c r="E31">
        <f t="shared" si="1"/>
        <v>33.268491857900869</v>
      </c>
      <c r="G31">
        <f t="shared" ca="1" si="2"/>
        <v>29</v>
      </c>
      <c r="H31">
        <f t="shared" ca="1" si="3"/>
        <v>964.78626387912527</v>
      </c>
      <c r="I31">
        <f t="shared" ca="1" si="4"/>
        <v>75961.197365672895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42464</v>
      </c>
      <c r="B33" s="66">
        <v>42464</v>
      </c>
      <c r="D33">
        <f t="shared" si="0"/>
        <v>40.892501179665459</v>
      </c>
      <c r="E33">
        <f t="shared" si="1"/>
        <v>40.892501179665459</v>
      </c>
      <c r="G33">
        <f t="shared" ca="1" si="2"/>
        <v>31</v>
      </c>
      <c r="H33">
        <f t="shared" ca="1" si="3"/>
        <v>1267.6675365696292</v>
      </c>
      <c r="I33">
        <f t="shared" ca="1" si="4"/>
        <v>85716.523681762555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48957</v>
      </c>
      <c r="B36" s="66">
        <v>48957</v>
      </c>
      <c r="D36">
        <f t="shared" si="0"/>
        <v>47.145209595254371</v>
      </c>
      <c r="E36">
        <f t="shared" si="1"/>
        <v>47.145209595254371</v>
      </c>
      <c r="G36">
        <f t="shared" ca="1" si="2"/>
        <v>34</v>
      </c>
      <c r="H36">
        <f t="shared" ca="1" si="3"/>
        <v>1602.9371262386487</v>
      </c>
      <c r="I36">
        <f t="shared" ca="1" si="4"/>
        <v>86296.521183175588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55313</v>
      </c>
      <c r="B39" s="66">
        <v>55313</v>
      </c>
      <c r="D39">
        <f t="shared" si="0"/>
        <v>53.265988078156447</v>
      </c>
      <c r="E39">
        <f t="shared" si="1"/>
        <v>53.265988078156447</v>
      </c>
      <c r="G39">
        <f t="shared" ca="1" si="2"/>
        <v>37</v>
      </c>
      <c r="H39">
        <f t="shared" ca="1" si="3"/>
        <v>1970.8415588917885</v>
      </c>
      <c r="I39">
        <f t="shared" ca="1" si="4"/>
        <v>84306.157351961461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54596</v>
      </c>
      <c r="B41" s="66">
        <v>54596</v>
      </c>
      <c r="D41">
        <f t="shared" si="0"/>
        <v>52.575522664021648</v>
      </c>
      <c r="E41">
        <f t="shared" si="1"/>
        <v>52.575522664021648</v>
      </c>
      <c r="G41">
        <f t="shared" ca="1" si="2"/>
        <v>39</v>
      </c>
      <c r="H41">
        <f t="shared" ca="1" si="3"/>
        <v>2050.4453838968443</v>
      </c>
      <c r="I41">
        <f t="shared" ca="1" si="4"/>
        <v>75057.047584825661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65241</v>
      </c>
      <c r="B44" s="66">
        <v>65241</v>
      </c>
      <c r="D44">
        <f t="shared" si="0"/>
        <v>62.826574733010411</v>
      </c>
      <c r="E44">
        <f t="shared" si="1"/>
        <v>62.826574733010411</v>
      </c>
      <c r="G44">
        <f t="shared" ca="1" si="2"/>
        <v>42</v>
      </c>
      <c r="H44">
        <f t="shared" ca="1" si="3"/>
        <v>2638.7161387864371</v>
      </c>
      <c r="I44">
        <f t="shared" ca="1" si="4"/>
        <v>76014.028981869866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66420</v>
      </c>
      <c r="B46" s="66">
        <v>66420</v>
      </c>
      <c r="D46">
        <f t="shared" si="0"/>
        <v>63.961942547884789</v>
      </c>
      <c r="E46">
        <f t="shared" si="1"/>
        <v>63.961942547884789</v>
      </c>
      <c r="G46">
        <f t="shared" ca="1" si="2"/>
        <v>44</v>
      </c>
      <c r="H46">
        <f t="shared" ca="1" si="3"/>
        <v>2814.3254721069306</v>
      </c>
      <c r="I46">
        <f t="shared" ca="1" si="4"/>
        <v>68744.241144023545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64096</v>
      </c>
      <c r="B49" s="66">
        <v>64096</v>
      </c>
      <c r="D49">
        <f t="shared" si="0"/>
        <v>61.723948653255398</v>
      </c>
      <c r="E49">
        <f t="shared" si="1"/>
        <v>61.723948653255398</v>
      </c>
      <c r="G49">
        <f t="shared" ca="1" si="2"/>
        <v>47</v>
      </c>
      <c r="H49">
        <f t="shared" ca="1" si="3"/>
        <v>2901.0255867030037</v>
      </c>
      <c r="I49">
        <f t="shared" ca="1" si="4"/>
        <v>54753.213808069413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66157</v>
      </c>
      <c r="B51" s="66">
        <v>66157</v>
      </c>
      <c r="D51">
        <f t="shared" si="0"/>
        <v>63.708675596814423</v>
      </c>
      <c r="E51">
        <f t="shared" si="1"/>
        <v>63.708675596814423</v>
      </c>
      <c r="G51">
        <f t="shared" ca="1" si="2"/>
        <v>49</v>
      </c>
      <c r="H51">
        <f t="shared" ca="1" si="3"/>
        <v>3121.7251042439066</v>
      </c>
      <c r="I51">
        <f t="shared" ca="1" si="4"/>
        <v>49178.723983534735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69576</v>
      </c>
      <c r="B54" s="66">
        <v>69576</v>
      </c>
      <c r="D54">
        <f t="shared" si="0"/>
        <v>67.001145960729175</v>
      </c>
      <c r="E54">
        <f t="shared" si="1"/>
        <v>67.001145960729175</v>
      </c>
      <c r="G54">
        <f t="shared" ca="1" si="2"/>
        <v>52</v>
      </c>
      <c r="H54">
        <f t="shared" ca="1" si="3"/>
        <v>3484.0595899579171</v>
      </c>
      <c r="I54">
        <f t="shared" ca="1" si="4"/>
        <v>41154.076022542024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80092</v>
      </c>
      <c r="B57" s="66">
        <v>80092</v>
      </c>
      <c r="D57">
        <f t="shared" si="0"/>
        <v>77.127972034706232</v>
      </c>
      <c r="E57">
        <f t="shared" si="1"/>
        <v>77.127972034706232</v>
      </c>
      <c r="G57">
        <f t="shared" ca="1" si="2"/>
        <v>55</v>
      </c>
      <c r="H57">
        <f t="shared" ca="1" si="3"/>
        <v>4242.0384619088427</v>
      </c>
      <c r="I57">
        <f t="shared" ca="1" si="4"/>
        <v>36599.345251830273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84566</v>
      </c>
      <c r="B59" s="66">
        <v>84566</v>
      </c>
      <c r="D59">
        <f t="shared" si="0"/>
        <v>81.436399179530639</v>
      </c>
      <c r="E59">
        <f t="shared" si="1"/>
        <v>81.436399179530639</v>
      </c>
      <c r="G59">
        <f t="shared" ca="1" si="2"/>
        <v>57</v>
      </c>
      <c r="H59">
        <f t="shared" ca="1" si="3"/>
        <v>4641.8747532332463</v>
      </c>
      <c r="I59">
        <f t="shared" ca="1" si="4"/>
        <v>31873.629187923416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78399</v>
      </c>
      <c r="B62" s="66">
        <v>78399</v>
      </c>
      <c r="D62">
        <f t="shared" si="0"/>
        <v>75.497626224203842</v>
      </c>
      <c r="E62">
        <f t="shared" si="1"/>
        <v>75.497626224203842</v>
      </c>
      <c r="G62">
        <f t="shared" ca="1" si="2"/>
        <v>60</v>
      </c>
      <c r="H62">
        <f t="shared" ca="1" si="3"/>
        <v>4529.8575734522301</v>
      </c>
      <c r="I62">
        <f t="shared" ca="1" si="4"/>
        <v>21267.001355599958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90047</v>
      </c>
      <c r="B64" s="66">
        <v>90047</v>
      </c>
      <c r="D64">
        <f t="shared" si="0"/>
        <v>86.714559479213818</v>
      </c>
      <c r="E64">
        <f t="shared" si="1"/>
        <v>86.714559479213818</v>
      </c>
      <c r="G64">
        <f t="shared" ca="1" si="2"/>
        <v>62</v>
      </c>
      <c r="H64">
        <f t="shared" ca="1" si="3"/>
        <v>5376.302687711257</v>
      </c>
      <c r="I64">
        <f t="shared" ca="1" si="4"/>
        <v>18952.020511045841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83407</v>
      </c>
      <c r="B67" s="66">
        <v>83407</v>
      </c>
      <c r="D67">
        <f t="shared" ref="D67:D130" si="5">IFERROR(100*A67/MAX(A$2:A$257), 0 )</f>
        <v>80.320291208844125</v>
      </c>
      <c r="E67">
        <f t="shared" ref="E67:E130" si="6">IFERROR(100*B67/MAX(B$2:B$257), 0 )</f>
        <v>80.320291208844125</v>
      </c>
      <c r="G67">
        <f t="shared" ref="G67:G130" ca="1" si="7">CELL("row",D67)-2</f>
        <v>65</v>
      </c>
      <c r="H67">
        <f t="shared" ref="H67:H130" ca="1" si="8">D67*G67</f>
        <v>5220.8189285748686</v>
      </c>
      <c r="I67">
        <f t="shared" ref="I67:I130" ca="1" si="9">D67*((G67-$L$1)^2)</f>
        <v>11152.831304665131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83417</v>
      </c>
      <c r="B69" s="66">
        <v>83417</v>
      </c>
      <c r="D69">
        <f t="shared" si="5"/>
        <v>80.329921130938047</v>
      </c>
      <c r="E69">
        <f t="shared" si="6"/>
        <v>80.329921130938047</v>
      </c>
      <c r="G69">
        <f t="shared" ca="1" si="7"/>
        <v>67</v>
      </c>
      <c r="H69">
        <f t="shared" ca="1" si="8"/>
        <v>5382.104715772849</v>
      </c>
      <c r="I69">
        <f t="shared" ca="1" si="9"/>
        <v>7689.1686192010384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83591</v>
      </c>
      <c r="B72" s="66">
        <v>83591</v>
      </c>
      <c r="D72">
        <f t="shared" si="5"/>
        <v>80.497481775372435</v>
      </c>
      <c r="E72">
        <f t="shared" si="6"/>
        <v>80.497481775372435</v>
      </c>
      <c r="G72">
        <f t="shared" ca="1" si="7"/>
        <v>70</v>
      </c>
      <c r="H72">
        <f t="shared" ca="1" si="8"/>
        <v>5634.8237242760706</v>
      </c>
      <c r="I72">
        <f t="shared" ca="1" si="9"/>
        <v>3704.3284674639049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87855</v>
      </c>
      <c r="B75" s="66">
        <v>87855</v>
      </c>
      <c r="D75">
        <f t="shared" si="5"/>
        <v>84.603680556224305</v>
      </c>
      <c r="E75">
        <f t="shared" si="6"/>
        <v>84.603680556224305</v>
      </c>
      <c r="G75">
        <f t="shared" ca="1" si="7"/>
        <v>73</v>
      </c>
      <c r="H75">
        <f t="shared" ca="1" si="8"/>
        <v>6176.0686806043741</v>
      </c>
      <c r="I75">
        <f t="shared" ca="1" si="9"/>
        <v>1211.1885584468864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92012</v>
      </c>
      <c r="B77" s="66">
        <v>92012</v>
      </c>
      <c r="D77">
        <f t="shared" si="5"/>
        <v>88.606839170671108</v>
      </c>
      <c r="E77">
        <f t="shared" si="6"/>
        <v>88.606839170671108</v>
      </c>
      <c r="G77">
        <f t="shared" ca="1" si="7"/>
        <v>75</v>
      </c>
      <c r="H77">
        <f t="shared" ca="1" si="8"/>
        <v>6645.512937800333</v>
      </c>
      <c r="I77">
        <f t="shared" ca="1" si="9"/>
        <v>281.89526065061136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98203</v>
      </c>
      <c r="B80" s="66">
        <v>98203</v>
      </c>
      <c r="D80">
        <f t="shared" si="5"/>
        <v>94.568723939023329</v>
      </c>
      <c r="E80">
        <f t="shared" si="6"/>
        <v>94.568723939023329</v>
      </c>
      <c r="G80">
        <f t="shared" ca="1" si="7"/>
        <v>78</v>
      </c>
      <c r="H80">
        <f t="shared" ca="1" si="8"/>
        <v>7376.3604672438196</v>
      </c>
      <c r="I80">
        <f t="shared" ca="1" si="9"/>
        <v>139.91452732173988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103843</v>
      </c>
      <c r="B82" s="66">
        <v>103843</v>
      </c>
      <c r="D82">
        <f t="shared" si="5"/>
        <v>100</v>
      </c>
      <c r="E82">
        <f t="shared" si="6"/>
        <v>100</v>
      </c>
      <c r="G82">
        <f t="shared" ca="1" si="7"/>
        <v>80</v>
      </c>
      <c r="H82">
        <f t="shared" ca="1" si="8"/>
        <v>8000</v>
      </c>
      <c r="I82">
        <f t="shared" ca="1" si="9"/>
        <v>1034.489076309904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99643</v>
      </c>
      <c r="B85" s="66">
        <v>99643</v>
      </c>
      <c r="D85">
        <f t="shared" si="5"/>
        <v>95.955432720549297</v>
      </c>
      <c r="E85">
        <f t="shared" si="6"/>
        <v>95.955432720549297</v>
      </c>
      <c r="G85">
        <f t="shared" ca="1" si="7"/>
        <v>83</v>
      </c>
      <c r="H85">
        <f t="shared" ca="1" si="8"/>
        <v>7964.300915805592</v>
      </c>
      <c r="I85">
        <f t="shared" ca="1" si="9"/>
        <v>3708.0034182070722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92524</v>
      </c>
      <c r="B88" s="66">
        <v>92524</v>
      </c>
      <c r="D88">
        <f t="shared" si="5"/>
        <v>89.099891181880338</v>
      </c>
      <c r="E88">
        <f t="shared" si="6"/>
        <v>89.099891181880338</v>
      </c>
      <c r="G88">
        <f t="shared" ca="1" si="7"/>
        <v>86</v>
      </c>
      <c r="H88">
        <f t="shared" ca="1" si="8"/>
        <v>7662.5906416417092</v>
      </c>
      <c r="I88">
        <f t="shared" ca="1" si="9"/>
        <v>7568.2391914726859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86907</v>
      </c>
      <c r="B90" s="66">
        <v>86907</v>
      </c>
      <c r="D90">
        <f t="shared" si="5"/>
        <v>83.690763941719709</v>
      </c>
      <c r="E90">
        <f t="shared" si="6"/>
        <v>83.690763941719709</v>
      </c>
      <c r="G90">
        <f t="shared" ca="1" si="7"/>
        <v>88</v>
      </c>
      <c r="H90">
        <f t="shared" ca="1" si="8"/>
        <v>7364.7872268713345</v>
      </c>
      <c r="I90">
        <f t="shared" ca="1" si="9"/>
        <v>10528.837873729315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92066</v>
      </c>
      <c r="B93" s="66">
        <v>92066</v>
      </c>
      <c r="D93">
        <f t="shared" si="5"/>
        <v>88.658840749978339</v>
      </c>
      <c r="E93">
        <f t="shared" si="6"/>
        <v>88.658840749978339</v>
      </c>
      <c r="G93">
        <f t="shared" ca="1" si="7"/>
        <v>91</v>
      </c>
      <c r="H93">
        <f t="shared" ca="1" si="8"/>
        <v>8067.954508248029</v>
      </c>
      <c r="I93">
        <f t="shared" ca="1" si="9"/>
        <v>17918.353706235706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85434</v>
      </c>
      <c r="B95" s="66">
        <v>85434</v>
      </c>
      <c r="D95">
        <f t="shared" si="5"/>
        <v>82.272276417283791</v>
      </c>
      <c r="E95">
        <f t="shared" si="6"/>
        <v>82.272276417283791</v>
      </c>
      <c r="G95">
        <f t="shared" ca="1" si="7"/>
        <v>93</v>
      </c>
      <c r="H95">
        <f t="shared" ca="1" si="8"/>
        <v>7651.3217068073927</v>
      </c>
      <c r="I95">
        <f t="shared" ca="1" si="9"/>
        <v>21635.134262977808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78460</v>
      </c>
      <c r="B98" s="66">
        <v>78460</v>
      </c>
      <c r="D98">
        <f t="shared" si="5"/>
        <v>75.556368748976823</v>
      </c>
      <c r="E98">
        <f t="shared" si="6"/>
        <v>75.556368748976823</v>
      </c>
      <c r="G98">
        <f t="shared" ca="1" si="7"/>
        <v>96</v>
      </c>
      <c r="H98">
        <f t="shared" ca="1" si="8"/>
        <v>7253.4113999017754</v>
      </c>
      <c r="I98">
        <f t="shared" ca="1" si="9"/>
        <v>27900.549808884793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71321</v>
      </c>
      <c r="B100" s="66">
        <v>71321</v>
      </c>
      <c r="D100">
        <f t="shared" si="5"/>
        <v>68.681567366120007</v>
      </c>
      <c r="E100">
        <f t="shared" si="6"/>
        <v>68.681567366120007</v>
      </c>
      <c r="G100">
        <f t="shared" ca="1" si="7"/>
        <v>98</v>
      </c>
      <c r="H100">
        <f t="shared" ca="1" si="8"/>
        <v>6730.7936018797609</v>
      </c>
      <c r="I100">
        <f t="shared" ca="1" si="9"/>
        <v>30915.867304654272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59137</v>
      </c>
      <c r="B103" s="66">
        <v>59137</v>
      </c>
      <c r="D103">
        <f t="shared" si="5"/>
        <v>56.948470286875377</v>
      </c>
      <c r="E103">
        <f t="shared" si="6"/>
        <v>56.948470286875377</v>
      </c>
      <c r="G103">
        <f t="shared" ca="1" si="7"/>
        <v>101</v>
      </c>
      <c r="H103">
        <f t="shared" ca="1" si="8"/>
        <v>5751.795498974413</v>
      </c>
      <c r="I103">
        <f t="shared" ca="1" si="9"/>
        <v>33396.375864663212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51608</v>
      </c>
      <c r="B106" s="66">
        <v>51608</v>
      </c>
      <c r="D106">
        <f t="shared" si="5"/>
        <v>49.698101942355287</v>
      </c>
      <c r="E106">
        <f t="shared" si="6"/>
        <v>49.698101942355287</v>
      </c>
      <c r="G106">
        <f t="shared" ca="1" si="7"/>
        <v>104</v>
      </c>
      <c r="H106">
        <f t="shared" ca="1" si="8"/>
        <v>5168.6026020049494</v>
      </c>
      <c r="I106">
        <f t="shared" ca="1" si="9"/>
        <v>36812.853542366553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52651</v>
      </c>
      <c r="B108" s="66">
        <v>52651</v>
      </c>
      <c r="D108">
        <f t="shared" si="5"/>
        <v>50.702502816752215</v>
      </c>
      <c r="E108">
        <f t="shared" si="6"/>
        <v>50.702502816752215</v>
      </c>
      <c r="G108">
        <f t="shared" ca="1" si="7"/>
        <v>106</v>
      </c>
      <c r="H108">
        <f t="shared" ca="1" si="8"/>
        <v>5374.4652985757348</v>
      </c>
      <c r="I108">
        <f t="shared" ca="1" si="9"/>
        <v>43279.400706682027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45414</v>
      </c>
      <c r="B111" s="66">
        <v>45414</v>
      </c>
      <c r="D111">
        <f t="shared" si="5"/>
        <v>43.733328197374881</v>
      </c>
      <c r="E111">
        <f t="shared" si="6"/>
        <v>43.733328197374881</v>
      </c>
      <c r="G111">
        <f t="shared" ca="1" si="7"/>
        <v>109</v>
      </c>
      <c r="H111">
        <f t="shared" ca="1" si="8"/>
        <v>4766.9327735138622</v>
      </c>
      <c r="I111">
        <f t="shared" ca="1" si="9"/>
        <v>45390.517015781377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41234</v>
      </c>
      <c r="B113" s="66">
        <v>41234</v>
      </c>
      <c r="D113">
        <f t="shared" si="5"/>
        <v>39.708020762112035</v>
      </c>
      <c r="E113">
        <f t="shared" si="6"/>
        <v>39.708020762112035</v>
      </c>
      <c r="G113">
        <f t="shared" ca="1" si="7"/>
        <v>111</v>
      </c>
      <c r="H113">
        <f t="shared" ca="1" si="8"/>
        <v>4407.590304594436</v>
      </c>
      <c r="I113">
        <f t="shared" ca="1" si="9"/>
        <v>46488.500091891743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42802</v>
      </c>
      <c r="B116" s="66">
        <v>42802</v>
      </c>
      <c r="D116">
        <f t="shared" si="5"/>
        <v>41.2179925464403</v>
      </c>
      <c r="E116">
        <f t="shared" si="6"/>
        <v>41.2179925464403</v>
      </c>
      <c r="G116">
        <f t="shared" ca="1" si="7"/>
        <v>114</v>
      </c>
      <c r="H116">
        <f t="shared" ca="1" si="8"/>
        <v>4698.8511502941938</v>
      </c>
      <c r="I116">
        <f t="shared" ca="1" si="9"/>
        <v>57089.2491410894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39179</v>
      </c>
      <c r="B118" s="66">
        <v>39179</v>
      </c>
      <c r="D118">
        <f t="shared" si="5"/>
        <v>37.729071771809366</v>
      </c>
      <c r="E118">
        <f t="shared" si="6"/>
        <v>37.729071771809366</v>
      </c>
      <c r="G118">
        <f t="shared" ca="1" si="7"/>
        <v>116</v>
      </c>
      <c r="H118">
        <f t="shared" ca="1" si="8"/>
        <v>4376.5723255298863</v>
      </c>
      <c r="I118">
        <f t="shared" ca="1" si="9"/>
        <v>58024.365948907041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38430</v>
      </c>
      <c r="B121" s="66">
        <v>38430</v>
      </c>
      <c r="D121">
        <f t="shared" si="5"/>
        <v>37.007790606973991</v>
      </c>
      <c r="E121">
        <f t="shared" si="6"/>
        <v>37.007790606973991</v>
      </c>
      <c r="G121">
        <f t="shared" ca="1" si="7"/>
        <v>119</v>
      </c>
      <c r="H121">
        <f t="shared" ca="1" si="8"/>
        <v>4403.927082229905</v>
      </c>
      <c r="I121">
        <f t="shared" ca="1" si="9"/>
        <v>65956.024204418936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35312</v>
      </c>
      <c r="B124" s="66">
        <v>35312</v>
      </c>
      <c r="D124">
        <f t="shared" si="5"/>
        <v>34.005180898086536</v>
      </c>
      <c r="E124">
        <f t="shared" si="6"/>
        <v>34.005180898086536</v>
      </c>
      <c r="G124">
        <f t="shared" ca="1" si="7"/>
        <v>122</v>
      </c>
      <c r="H124">
        <f t="shared" ca="1" si="8"/>
        <v>4148.6320695665572</v>
      </c>
      <c r="I124">
        <f t="shared" ca="1" si="9"/>
        <v>69524.206973654422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32068</v>
      </c>
      <c r="B126" s="66">
        <v>32068</v>
      </c>
      <c r="D126">
        <f t="shared" si="5"/>
        <v>30.881234170815556</v>
      </c>
      <c r="E126">
        <f t="shared" si="6"/>
        <v>30.881234170815556</v>
      </c>
      <c r="G126">
        <f t="shared" ca="1" si="7"/>
        <v>124</v>
      </c>
      <c r="H126">
        <f t="shared" ca="1" si="8"/>
        <v>3829.273037181129</v>
      </c>
      <c r="I126">
        <f t="shared" ca="1" si="9"/>
        <v>68846.112815390297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29264</v>
      </c>
      <c r="B129" s="66">
        <v>29264</v>
      </c>
      <c r="D129">
        <f t="shared" si="5"/>
        <v>28.181004015677512</v>
      </c>
      <c r="E129">
        <f t="shared" si="6"/>
        <v>28.181004015677512</v>
      </c>
      <c r="G129">
        <f t="shared" ca="1" si="7"/>
        <v>127</v>
      </c>
      <c r="H129">
        <f t="shared" ca="1" si="8"/>
        <v>3578.9875099910441</v>
      </c>
      <c r="I129">
        <f t="shared" ca="1" si="9"/>
        <v>71063.5178525183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27010</v>
      </c>
      <c r="B131" s="66">
        <v>27010</v>
      </c>
      <c r="D131">
        <f t="shared" ref="D131:D194" si="10">IFERROR(100*A131/MAX(A$2:A$257), 0 )</f>
        <v>26.010419575705633</v>
      </c>
      <c r="E131">
        <f t="shared" ref="E131:E194" si="11">IFERROR(100*B131/MAX(B$2:B$257), 0 )</f>
        <v>26.010419575705633</v>
      </c>
      <c r="G131">
        <f t="shared" ref="G131:G194" ca="1" si="12">CELL("row",D131)-2</f>
        <v>129</v>
      </c>
      <c r="H131">
        <f t="shared" ref="H131:H194" ca="1" si="13">D131*G131</f>
        <v>3355.3441252660268</v>
      </c>
      <c r="I131">
        <f t="shared" ref="I131:I194" ca="1" si="14">D131*((G131-$L$1)^2)</f>
        <v>70918.629862880363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27262</v>
      </c>
      <c r="B134" s="66">
        <v>27262</v>
      </c>
      <c r="D134">
        <f t="shared" si="10"/>
        <v>26.253093612472675</v>
      </c>
      <c r="E134">
        <f t="shared" si="11"/>
        <v>26.253093612472675</v>
      </c>
      <c r="G134">
        <f t="shared" ca="1" si="12"/>
        <v>132</v>
      </c>
      <c r="H134">
        <f t="shared" ca="1" si="13"/>
        <v>3465.408356846393</v>
      </c>
      <c r="I134">
        <f t="shared" ca="1" si="14"/>
        <v>80041.613799806815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22351</v>
      </c>
      <c r="B136" s="66">
        <v>22351</v>
      </c>
      <c r="D136">
        <f t="shared" si="10"/>
        <v>21.523838872143525</v>
      </c>
      <c r="E136">
        <f t="shared" si="11"/>
        <v>21.523838872143525</v>
      </c>
      <c r="G136">
        <f t="shared" ca="1" si="12"/>
        <v>134</v>
      </c>
      <c r="H136">
        <f t="shared" ca="1" si="13"/>
        <v>2884.1944088672321</v>
      </c>
      <c r="I136">
        <f t="shared" ca="1" si="14"/>
        <v>70462.815437951765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20126</v>
      </c>
      <c r="B139" s="66">
        <v>20126</v>
      </c>
      <c r="D139">
        <f t="shared" si="10"/>
        <v>19.38118120624404</v>
      </c>
      <c r="E139">
        <f t="shared" si="11"/>
        <v>19.38118120624404</v>
      </c>
      <c r="G139">
        <f t="shared" ca="1" si="12"/>
        <v>137</v>
      </c>
      <c r="H139">
        <f t="shared" ca="1" si="13"/>
        <v>2655.2218252554335</v>
      </c>
      <c r="I139">
        <f t="shared" ca="1" si="14"/>
        <v>70276.327741514629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19448</v>
      </c>
      <c r="B142" s="66">
        <v>19448</v>
      </c>
      <c r="D142">
        <f t="shared" si="10"/>
        <v>18.728272488275572</v>
      </c>
      <c r="E142">
        <f t="shared" si="11"/>
        <v>18.728272488275572</v>
      </c>
      <c r="G142">
        <f t="shared" ca="1" si="12"/>
        <v>140</v>
      </c>
      <c r="H142">
        <f t="shared" ca="1" si="13"/>
        <v>2621.9581483585798</v>
      </c>
      <c r="I142">
        <f t="shared" ca="1" si="14"/>
        <v>74843.918611623638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18863</v>
      </c>
      <c r="B144" s="66">
        <v>18863</v>
      </c>
      <c r="D144">
        <f t="shared" si="10"/>
        <v>18.164922045780649</v>
      </c>
      <c r="E144">
        <f t="shared" si="11"/>
        <v>18.164922045780649</v>
      </c>
      <c r="G144">
        <f t="shared" ca="1" si="12"/>
        <v>142</v>
      </c>
      <c r="H144">
        <f t="shared" ca="1" si="13"/>
        <v>2579.4189305008522</v>
      </c>
      <c r="I144">
        <f t="shared" ca="1" si="14"/>
        <v>77258.537310605359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15008</v>
      </c>
      <c r="B147" s="66">
        <v>15008</v>
      </c>
      <c r="D147">
        <f t="shared" si="10"/>
        <v>14.452587078570534</v>
      </c>
      <c r="E147">
        <f t="shared" si="11"/>
        <v>14.452587078570534</v>
      </c>
      <c r="G147">
        <f t="shared" ca="1" si="12"/>
        <v>145</v>
      </c>
      <c r="H147">
        <f t="shared" ca="1" si="13"/>
        <v>2095.6251263927275</v>
      </c>
      <c r="I147">
        <f t="shared" ca="1" si="14"/>
        <v>67254.681203450295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10317</v>
      </c>
      <c r="B149" s="66">
        <v>10317</v>
      </c>
      <c r="D149">
        <f t="shared" si="10"/>
        <v>9.9351906243078485</v>
      </c>
      <c r="E149">
        <f t="shared" si="11"/>
        <v>9.9351906243078485</v>
      </c>
      <c r="G149">
        <f t="shared" ca="1" si="12"/>
        <v>147</v>
      </c>
      <c r="H149">
        <f t="shared" ca="1" si="13"/>
        <v>1460.4730217732538</v>
      </c>
      <c r="I149">
        <f t="shared" ca="1" si="14"/>
        <v>48983.822495933797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11210</v>
      </c>
      <c r="B152" s="66">
        <v>11210</v>
      </c>
      <c r="D152">
        <f t="shared" si="10"/>
        <v>10.795142667295822</v>
      </c>
      <c r="E152">
        <f t="shared" si="11"/>
        <v>10.795142667295822</v>
      </c>
      <c r="G152">
        <f t="shared" ca="1" si="12"/>
        <v>150</v>
      </c>
      <c r="H152">
        <f t="shared" ca="1" si="13"/>
        <v>1619.2714000943733</v>
      </c>
      <c r="I152">
        <f t="shared" ca="1" si="14"/>
        <v>57868.803747406346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8288</v>
      </c>
      <c r="B154" s="66">
        <v>8288</v>
      </c>
      <c r="D154">
        <f t="shared" si="10"/>
        <v>7.9812794314493996</v>
      </c>
      <c r="E154">
        <f t="shared" si="11"/>
        <v>7.9812794314493996</v>
      </c>
      <c r="G154">
        <f t="shared" ca="1" si="12"/>
        <v>152</v>
      </c>
      <c r="H154">
        <f t="shared" ca="1" si="13"/>
        <v>1213.1544735803088</v>
      </c>
      <c r="I154">
        <f t="shared" ca="1" si="14"/>
        <v>45154.079764205359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6444</v>
      </c>
      <c r="B157" s="66">
        <v>6444</v>
      </c>
      <c r="D157">
        <f t="shared" si="10"/>
        <v>6.20552179732866</v>
      </c>
      <c r="E157">
        <f t="shared" si="11"/>
        <v>6.20552179732866</v>
      </c>
      <c r="G157">
        <f t="shared" ca="1" si="12"/>
        <v>155</v>
      </c>
      <c r="H157">
        <f t="shared" ca="1" si="13"/>
        <v>961.85587858594226</v>
      </c>
      <c r="I157">
        <f t="shared" ca="1" si="14"/>
        <v>37964.122663831855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5903</v>
      </c>
      <c r="B160" s="66">
        <v>5903</v>
      </c>
      <c r="D160">
        <f t="shared" si="10"/>
        <v>5.6845430120470324</v>
      </c>
      <c r="E160">
        <f t="shared" si="11"/>
        <v>5.6845430120470324</v>
      </c>
      <c r="G160">
        <f t="shared" ca="1" si="12"/>
        <v>158</v>
      </c>
      <c r="H160">
        <f t="shared" ca="1" si="13"/>
        <v>898.15779590343107</v>
      </c>
      <c r="I160">
        <f t="shared" ca="1" si="14"/>
        <v>37495.7862459924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5043</v>
      </c>
      <c r="B162" s="66">
        <v>5043</v>
      </c>
      <c r="D162">
        <f t="shared" si="10"/>
        <v>4.8563697119690303</v>
      </c>
      <c r="E162">
        <f t="shared" si="11"/>
        <v>4.8563697119690303</v>
      </c>
      <c r="G162">
        <f t="shared" ca="1" si="12"/>
        <v>160</v>
      </c>
      <c r="H162">
        <f t="shared" ca="1" si="13"/>
        <v>777.01915391504485</v>
      </c>
      <c r="I162">
        <f t="shared" ca="1" si="14"/>
        <v>33630.168326226856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4814</v>
      </c>
      <c r="B165" s="66">
        <v>4814</v>
      </c>
      <c r="D165">
        <f t="shared" si="10"/>
        <v>4.6358444960180272</v>
      </c>
      <c r="E165">
        <f t="shared" si="11"/>
        <v>4.6358444960180272</v>
      </c>
      <c r="G165">
        <f t="shared" ca="1" si="12"/>
        <v>163</v>
      </c>
      <c r="H165">
        <f t="shared" ca="1" si="13"/>
        <v>755.64265285093848</v>
      </c>
      <c r="I165">
        <f t="shared" ca="1" si="14"/>
        <v>34459.430798787522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2749</v>
      </c>
      <c r="B167" s="66">
        <v>2749</v>
      </c>
      <c r="D167">
        <f t="shared" si="10"/>
        <v>2.6472655836214285</v>
      </c>
      <c r="E167">
        <f t="shared" si="11"/>
        <v>2.6472655836214285</v>
      </c>
      <c r="G167">
        <f t="shared" ca="1" si="12"/>
        <v>165</v>
      </c>
      <c r="H167">
        <f t="shared" ca="1" si="13"/>
        <v>436.79882129753571</v>
      </c>
      <c r="I167">
        <f t="shared" ca="1" si="14"/>
        <v>20601.348908622975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876</v>
      </c>
      <c r="B170" s="66">
        <v>876</v>
      </c>
      <c r="D170">
        <f t="shared" si="10"/>
        <v>0.84358117542829081</v>
      </c>
      <c r="E170">
        <f t="shared" si="11"/>
        <v>0.84358117542829081</v>
      </c>
      <c r="G170">
        <f t="shared" ca="1" si="12"/>
        <v>168</v>
      </c>
      <c r="H170">
        <f t="shared" ca="1" si="13"/>
        <v>141.72163747195285</v>
      </c>
      <c r="I170">
        <f t="shared" ca="1" si="14"/>
        <v>7018.9514026176021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696</v>
      </c>
      <c r="B173" s="66">
        <v>696</v>
      </c>
      <c r="D173">
        <f t="shared" si="10"/>
        <v>0.67024257773754614</v>
      </c>
      <c r="E173">
        <f t="shared" si="11"/>
        <v>0.67024257773754614</v>
      </c>
      <c r="G173">
        <f t="shared" ca="1" si="12"/>
        <v>171</v>
      </c>
      <c r="H173">
        <f t="shared" ca="1" si="13"/>
        <v>114.61148079312039</v>
      </c>
      <c r="I173">
        <f t="shared" ca="1" si="14"/>
        <v>5949.5557765907561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1354</v>
      </c>
      <c r="B175" s="66">
        <v>1354</v>
      </c>
      <c r="D175">
        <f t="shared" si="10"/>
        <v>1.3038914515181572</v>
      </c>
      <c r="E175">
        <f t="shared" si="11"/>
        <v>1.3038914515181572</v>
      </c>
      <c r="G175">
        <f t="shared" ca="1" si="12"/>
        <v>173</v>
      </c>
      <c r="H175">
        <f t="shared" ca="1" si="13"/>
        <v>225.57322111264119</v>
      </c>
      <c r="I175">
        <f t="shared" ca="1" si="14"/>
        <v>12070.886610732221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902</v>
      </c>
      <c r="B178" s="66">
        <v>902</v>
      </c>
      <c r="D178">
        <f t="shared" si="10"/>
        <v>0.86861897287250944</v>
      </c>
      <c r="E178">
        <f t="shared" si="11"/>
        <v>0.86861897287250944</v>
      </c>
      <c r="G178">
        <f t="shared" ca="1" si="12"/>
        <v>176</v>
      </c>
      <c r="H178">
        <f t="shared" ca="1" si="13"/>
        <v>152.87693922556167</v>
      </c>
      <c r="I178">
        <f t="shared" ca="1" si="14"/>
        <v>8550.5840586737722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424</v>
      </c>
      <c r="B180" s="66">
        <v>424</v>
      </c>
      <c r="D180">
        <f t="shared" si="10"/>
        <v>0.40830869678264303</v>
      </c>
      <c r="E180">
        <f t="shared" si="11"/>
        <v>0.40830869678264303</v>
      </c>
      <c r="G180">
        <f t="shared" ca="1" si="12"/>
        <v>178</v>
      </c>
      <c r="H180">
        <f t="shared" ca="1" si="13"/>
        <v>72.678948027310454</v>
      </c>
      <c r="I180">
        <f t="shared" ca="1" si="14"/>
        <v>4183.0201074243805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0.16147800000000001</v>
      </c>
      <c r="B2" s="68">
        <v>0.63619999999999999</v>
      </c>
      <c r="C2" s="68">
        <v>0</v>
      </c>
      <c r="D2" s="68">
        <v>1</v>
      </c>
      <c r="E2" s="68" t="s">
        <v>409</v>
      </c>
    </row>
    <row r="3" spans="1:5">
      <c r="A3" s="68">
        <v>0.16664799999999999</v>
      </c>
      <c r="B3" s="68">
        <v>0.63387800000000005</v>
      </c>
      <c r="C3" s="68">
        <v>0.40462599999999999</v>
      </c>
      <c r="D3" s="89">
        <v>1</v>
      </c>
      <c r="E3" s="68" t="s">
        <v>410</v>
      </c>
    </row>
    <row r="4" spans="1:5">
      <c r="A4" s="68">
        <v>0.171649</v>
      </c>
      <c r="B4" s="68">
        <v>0.63229800000000003</v>
      </c>
      <c r="C4" s="68">
        <v>0.80981499999999995</v>
      </c>
      <c r="D4" s="89">
        <v>1</v>
      </c>
      <c r="E4" s="68" t="s">
        <v>411</v>
      </c>
    </row>
    <row r="5" spans="1:5">
      <c r="A5" s="89">
        <v>0.17641100000000001</v>
      </c>
      <c r="B5" s="89">
        <v>0.63146899999999995</v>
      </c>
      <c r="C5" s="89">
        <v>1.21648</v>
      </c>
      <c r="D5" s="89">
        <v>1</v>
      </c>
      <c r="E5" s="68" t="s">
        <v>412</v>
      </c>
    </row>
    <row r="6" spans="1:5">
      <c r="A6" s="68">
        <v>0.181032</v>
      </c>
      <c r="B6" s="68">
        <v>0.63027500000000003</v>
      </c>
      <c r="C6" s="68">
        <v>1.62493</v>
      </c>
      <c r="D6" s="68">
        <v>1</v>
      </c>
      <c r="E6" s="68" t="s">
        <v>413</v>
      </c>
    </row>
    <row r="7" spans="1:5">
      <c r="A7" s="68">
        <v>0.185698</v>
      </c>
      <c r="B7" s="68">
        <v>0.62854100000000002</v>
      </c>
      <c r="C7" s="68">
        <v>2.0293999999999999</v>
      </c>
      <c r="D7" s="68">
        <v>1</v>
      </c>
      <c r="E7" s="68" t="s">
        <v>414</v>
      </c>
    </row>
    <row r="8" spans="1:5">
      <c r="A8" s="68">
        <v>0.190168</v>
      </c>
      <c r="B8" s="68">
        <v>0.62707999999999997</v>
      </c>
      <c r="C8" s="68">
        <v>2.4348299999999998</v>
      </c>
      <c r="D8" s="68">
        <v>1</v>
      </c>
      <c r="E8" s="68" t="s">
        <v>415</v>
      </c>
    </row>
    <row r="9" spans="1:5">
      <c r="A9" s="68">
        <v>0.194462</v>
      </c>
      <c r="B9" s="68">
        <v>0.62507500000000005</v>
      </c>
      <c r="C9" s="68">
        <v>2.8410299999999999</v>
      </c>
      <c r="D9" s="68">
        <v>1</v>
      </c>
      <c r="E9" s="68" t="s">
        <v>416</v>
      </c>
    </row>
    <row r="10" spans="1:5">
      <c r="A10" s="68">
        <v>0.19858400000000001</v>
      </c>
      <c r="B10" s="68">
        <v>0.62361500000000003</v>
      </c>
      <c r="C10" s="68">
        <v>3.2469899999999998</v>
      </c>
      <c r="D10" s="68">
        <v>1</v>
      </c>
      <c r="E10" s="68" t="s">
        <v>417</v>
      </c>
    </row>
    <row r="11" spans="1:5">
      <c r="A11" s="68">
        <v>0.20253099999999999</v>
      </c>
      <c r="B11" s="68">
        <v>0.62234599999999995</v>
      </c>
      <c r="C11" s="68">
        <v>3.65625</v>
      </c>
      <c r="D11" s="68">
        <v>1</v>
      </c>
      <c r="E11" s="68" t="s">
        <v>418</v>
      </c>
    </row>
    <row r="12" spans="1:5">
      <c r="A12" s="68">
        <v>0.206205</v>
      </c>
      <c r="B12" s="68">
        <v>0.620564</v>
      </c>
      <c r="C12" s="68">
        <v>4.0614800000000004</v>
      </c>
      <c r="D12" s="68">
        <v>1</v>
      </c>
      <c r="E12" s="68" t="s">
        <v>419</v>
      </c>
    </row>
    <row r="13" spans="1:5">
      <c r="A13" s="68">
        <v>0.20974100000000001</v>
      </c>
      <c r="B13" s="68">
        <v>0.61830499999999999</v>
      </c>
      <c r="C13" s="68">
        <v>4.4647899999999998</v>
      </c>
      <c r="D13" s="68">
        <v>1</v>
      </c>
      <c r="E13" s="68" t="s">
        <v>420</v>
      </c>
    </row>
    <row r="14" spans="1:5">
      <c r="A14" s="68">
        <v>0.21316299999999999</v>
      </c>
      <c r="B14" s="68">
        <v>0.61425200000000002</v>
      </c>
      <c r="C14" s="68">
        <v>4.8726399999999996</v>
      </c>
      <c r="D14" s="68">
        <v>1</v>
      </c>
      <c r="E14" s="68" t="s">
        <v>421</v>
      </c>
    </row>
    <row r="15" spans="1:5">
      <c r="A15" s="68">
        <v>0.21668599999999999</v>
      </c>
      <c r="B15" s="68">
        <v>0.60880199999999995</v>
      </c>
      <c r="C15" s="68">
        <v>5.2778600000000004</v>
      </c>
      <c r="D15" s="68">
        <v>1</v>
      </c>
      <c r="E15" s="68" t="s">
        <v>422</v>
      </c>
    </row>
    <row r="16" spans="1:5">
      <c r="A16" s="68">
        <v>0.220114</v>
      </c>
      <c r="B16" s="68">
        <v>0.60275999999999996</v>
      </c>
      <c r="C16" s="68">
        <v>5.6851000000000003</v>
      </c>
      <c r="D16" s="68">
        <v>1</v>
      </c>
      <c r="E16" s="68" t="s">
        <v>423</v>
      </c>
    </row>
    <row r="17" spans="1:5">
      <c r="A17" s="68">
        <v>0.22317999999999999</v>
      </c>
      <c r="B17" s="68">
        <v>0.59576499999999999</v>
      </c>
      <c r="C17" s="68">
        <v>6.0928300000000002</v>
      </c>
      <c r="D17" s="68">
        <v>1</v>
      </c>
      <c r="E17" s="68" t="s">
        <v>424</v>
      </c>
    </row>
    <row r="18" spans="1:5">
      <c r="A18" s="68">
        <v>0.225969</v>
      </c>
      <c r="B18" s="68">
        <v>0.58835400000000004</v>
      </c>
      <c r="C18" s="68">
        <v>6.4980200000000004</v>
      </c>
      <c r="D18" s="68">
        <v>1</v>
      </c>
      <c r="E18" s="68" t="s">
        <v>425</v>
      </c>
    </row>
    <row r="19" spans="1:5">
      <c r="A19" s="68">
        <v>0.228718</v>
      </c>
      <c r="B19" s="68">
        <v>0.57993399999999995</v>
      </c>
      <c r="C19" s="68">
        <v>6.9032600000000004</v>
      </c>
      <c r="D19" s="68">
        <v>1</v>
      </c>
      <c r="E19" s="68" t="s">
        <v>426</v>
      </c>
    </row>
    <row r="20" spans="1:5">
      <c r="A20" s="68">
        <v>0.23141</v>
      </c>
      <c r="B20" s="68">
        <v>0.57155599999999995</v>
      </c>
      <c r="C20" s="68">
        <v>7.3129499999999998</v>
      </c>
      <c r="D20" s="68">
        <v>1</v>
      </c>
      <c r="E20" s="68" t="s">
        <v>427</v>
      </c>
    </row>
    <row r="21" spans="1:5">
      <c r="A21" s="68">
        <v>0.23404800000000001</v>
      </c>
      <c r="B21" s="68">
        <v>0.56350800000000001</v>
      </c>
      <c r="C21" s="68">
        <v>7.7176200000000001</v>
      </c>
      <c r="D21" s="68">
        <v>1</v>
      </c>
      <c r="E21" s="68" t="s">
        <v>428</v>
      </c>
    </row>
    <row r="22" spans="1:5">
      <c r="A22" s="68">
        <v>0.23660900000000001</v>
      </c>
      <c r="B22" s="68">
        <v>0.55471700000000002</v>
      </c>
      <c r="C22" s="68">
        <v>8.1254200000000001</v>
      </c>
      <c r="D22" s="68">
        <v>1</v>
      </c>
      <c r="E22" s="68" t="s">
        <v>429</v>
      </c>
    </row>
    <row r="23" spans="1:5">
      <c r="A23" s="68">
        <v>0.23905000000000001</v>
      </c>
      <c r="B23" s="68">
        <v>0.54697300000000004</v>
      </c>
      <c r="C23" s="68">
        <v>8.5297699999999992</v>
      </c>
      <c r="D23" s="68">
        <v>1</v>
      </c>
      <c r="E23" s="68" t="s">
        <v>430</v>
      </c>
    </row>
    <row r="24" spans="1:5">
      <c r="A24" s="68">
        <v>0.24125099999999999</v>
      </c>
      <c r="B24" s="68">
        <v>0.54014399999999996</v>
      </c>
      <c r="C24" s="68">
        <v>8.9335500000000003</v>
      </c>
      <c r="D24" s="68">
        <v>1</v>
      </c>
      <c r="E24" s="68" t="s">
        <v>431</v>
      </c>
    </row>
    <row r="25" spans="1:5">
      <c r="A25" s="68">
        <v>0.24315700000000001</v>
      </c>
      <c r="B25" s="68">
        <v>0.532864</v>
      </c>
      <c r="C25" s="68">
        <v>9.3429400000000005</v>
      </c>
      <c r="D25" s="68">
        <v>1</v>
      </c>
      <c r="E25" s="68" t="s">
        <v>432</v>
      </c>
    </row>
    <row r="26" spans="1:5">
      <c r="A26" s="68">
        <v>0.24479799999999999</v>
      </c>
      <c r="B26" s="68">
        <v>0.52626399999999995</v>
      </c>
      <c r="C26" s="68">
        <v>9.7496500000000008</v>
      </c>
      <c r="D26" s="68">
        <v>1</v>
      </c>
      <c r="E26" s="68" t="s">
        <v>433</v>
      </c>
    </row>
    <row r="27" spans="1:5">
      <c r="A27" s="68">
        <v>0.24607899999999999</v>
      </c>
      <c r="B27" s="68">
        <v>0.52042500000000003</v>
      </c>
      <c r="C27" s="68">
        <v>10.156599999999999</v>
      </c>
      <c r="D27" s="68">
        <v>1</v>
      </c>
      <c r="E27" s="68" t="s">
        <v>434</v>
      </c>
    </row>
    <row r="28" spans="1:5">
      <c r="A28" s="68">
        <v>0.2472</v>
      </c>
      <c r="B28" s="68">
        <v>0.51429499999999995</v>
      </c>
      <c r="C28" s="68">
        <v>10.5616</v>
      </c>
      <c r="D28" s="68">
        <v>1</v>
      </c>
      <c r="E28" s="68" t="s">
        <v>435</v>
      </c>
    </row>
    <row r="29" spans="1:5">
      <c r="A29" s="68">
        <v>0.24846399999999999</v>
      </c>
      <c r="B29" s="68">
        <v>0.50774600000000003</v>
      </c>
      <c r="C29" s="68">
        <v>10.965999999999999</v>
      </c>
      <c r="D29" s="68">
        <v>1</v>
      </c>
      <c r="E29" s="68" t="s">
        <v>436</v>
      </c>
    </row>
    <row r="30" spans="1:5">
      <c r="A30" s="68">
        <v>0.24973699999999999</v>
      </c>
      <c r="B30" s="68">
        <v>0.50117</v>
      </c>
      <c r="C30" s="68">
        <v>11.3786</v>
      </c>
      <c r="D30" s="68">
        <v>1</v>
      </c>
      <c r="E30" s="68" t="s">
        <v>437</v>
      </c>
    </row>
    <row r="31" spans="1:5">
      <c r="A31" s="68">
        <v>0.25093399999999999</v>
      </c>
      <c r="B31" s="68">
        <v>0.49459900000000001</v>
      </c>
      <c r="C31" s="68">
        <v>11.779299999999999</v>
      </c>
      <c r="D31" s="68">
        <v>1</v>
      </c>
      <c r="E31" s="68" t="s">
        <v>438</v>
      </c>
    </row>
    <row r="32" spans="1:5">
      <c r="A32" s="68">
        <v>0.25182900000000003</v>
      </c>
      <c r="B32" s="68">
        <v>0.48903600000000003</v>
      </c>
      <c r="C32" s="68">
        <v>12.187099999999999</v>
      </c>
      <c r="D32" s="68">
        <v>1</v>
      </c>
      <c r="E32" s="68" t="s">
        <v>439</v>
      </c>
    </row>
    <row r="33" spans="1:5">
      <c r="A33" s="68">
        <v>0.25258999999999998</v>
      </c>
      <c r="B33" s="68">
        <v>0.483983</v>
      </c>
      <c r="C33" s="68">
        <v>12.601699999999999</v>
      </c>
      <c r="D33" s="68">
        <v>1</v>
      </c>
      <c r="E33" s="68" t="s">
        <v>440</v>
      </c>
    </row>
    <row r="34" spans="1:5">
      <c r="A34" s="68">
        <v>0.25323699999999999</v>
      </c>
      <c r="B34" s="68">
        <v>0.47913699999999998</v>
      </c>
      <c r="C34" s="68">
        <v>13.0031</v>
      </c>
      <c r="D34" s="68">
        <v>1</v>
      </c>
      <c r="E34" s="68" t="s">
        <v>441</v>
      </c>
    </row>
    <row r="35" spans="1:5">
      <c r="A35" s="68">
        <v>0.25385999999999997</v>
      </c>
      <c r="B35" s="68">
        <v>0.47440700000000002</v>
      </c>
      <c r="C35" s="68">
        <v>13.404500000000001</v>
      </c>
      <c r="D35" s="68">
        <v>1</v>
      </c>
      <c r="E35" s="68" t="s">
        <v>442</v>
      </c>
    </row>
    <row r="36" spans="1:5">
      <c r="A36" s="68">
        <v>0.2545</v>
      </c>
      <c r="B36" s="68">
        <v>0.46949299999999999</v>
      </c>
      <c r="C36" s="68">
        <v>13.81</v>
      </c>
      <c r="D36" s="68">
        <v>1</v>
      </c>
      <c r="E36" s="68" t="s">
        <v>443</v>
      </c>
    </row>
    <row r="37" spans="1:5">
      <c r="A37" s="68">
        <v>0.25505899999999998</v>
      </c>
      <c r="B37" s="68">
        <v>0.46469700000000003</v>
      </c>
      <c r="C37" s="68">
        <v>14.214499999999999</v>
      </c>
      <c r="D37" s="68">
        <v>1</v>
      </c>
      <c r="E37" s="68" t="s">
        <v>444</v>
      </c>
    </row>
    <row r="38" spans="1:5">
      <c r="A38" s="68">
        <v>0.25540200000000002</v>
      </c>
      <c r="B38" s="68">
        <v>0.46041599999999999</v>
      </c>
      <c r="C38" s="68">
        <v>14.6235</v>
      </c>
      <c r="D38" s="68">
        <v>1</v>
      </c>
      <c r="E38" s="68" t="s">
        <v>445</v>
      </c>
    </row>
    <row r="39" spans="1:5">
      <c r="A39" s="68">
        <v>0.25557200000000002</v>
      </c>
      <c r="B39" s="68">
        <v>0.456484</v>
      </c>
      <c r="C39" s="68">
        <v>15.026999999999999</v>
      </c>
      <c r="D39" s="68">
        <v>1</v>
      </c>
      <c r="E39" s="68" t="s">
        <v>446</v>
      </c>
    </row>
    <row r="40" spans="1:5">
      <c r="A40" s="68">
        <v>0.25553999999999999</v>
      </c>
      <c r="B40" s="68">
        <v>0.45294899999999999</v>
      </c>
      <c r="C40" s="68">
        <v>15.437200000000001</v>
      </c>
      <c r="D40" s="68">
        <v>1</v>
      </c>
      <c r="E40" s="68" t="s">
        <v>447</v>
      </c>
    </row>
    <row r="41" spans="1:5">
      <c r="A41" s="68">
        <v>0.25534299999999999</v>
      </c>
      <c r="B41" s="68">
        <v>0.44995000000000002</v>
      </c>
      <c r="C41" s="68">
        <v>15.841900000000001</v>
      </c>
      <c r="D41" s="68">
        <v>1</v>
      </c>
      <c r="E41" s="68" t="s">
        <v>448</v>
      </c>
    </row>
    <row r="42" spans="1:5">
      <c r="A42" s="68">
        <v>0.254996</v>
      </c>
      <c r="B42" s="68">
        <v>0.447434</v>
      </c>
      <c r="C42" s="68">
        <v>16.245200000000001</v>
      </c>
      <c r="D42" s="68">
        <v>1</v>
      </c>
      <c r="E42" s="68" t="s">
        <v>449</v>
      </c>
    </row>
    <row r="43" spans="1:5">
      <c r="A43" s="68">
        <v>0.25446800000000003</v>
      </c>
      <c r="B43" s="68">
        <v>0.44544</v>
      </c>
      <c r="C43" s="68">
        <v>16.653199999999998</v>
      </c>
      <c r="D43" s="68">
        <v>1</v>
      </c>
      <c r="E43" s="68" t="s">
        <v>450</v>
      </c>
    </row>
    <row r="44" spans="1:5">
      <c r="A44" s="68">
        <v>0.25383600000000001</v>
      </c>
      <c r="B44" s="68">
        <v>0.44394</v>
      </c>
      <c r="C44" s="68">
        <v>17.059699999999999</v>
      </c>
      <c r="D44" s="68">
        <v>1</v>
      </c>
      <c r="E44" s="68" t="s">
        <v>451</v>
      </c>
    </row>
    <row r="45" spans="1:5">
      <c r="A45" s="68">
        <v>0.25318800000000002</v>
      </c>
      <c r="B45" s="68">
        <v>0.44253500000000001</v>
      </c>
      <c r="C45" s="68">
        <v>17.467099999999999</v>
      </c>
      <c r="D45" s="68">
        <v>1</v>
      </c>
      <c r="E45" s="68" t="s">
        <v>452</v>
      </c>
    </row>
    <row r="46" spans="1:5">
      <c r="A46" s="68">
        <v>0.25242300000000001</v>
      </c>
      <c r="B46" s="68">
        <v>0.44125199999999998</v>
      </c>
      <c r="C46" s="68">
        <v>17.872900000000001</v>
      </c>
      <c r="D46" s="68">
        <v>1</v>
      </c>
      <c r="E46" s="68" t="s">
        <v>453</v>
      </c>
    </row>
    <row r="47" spans="1:5">
      <c r="A47" s="68">
        <v>0.25134400000000001</v>
      </c>
      <c r="B47" s="68">
        <v>0.44068000000000002</v>
      </c>
      <c r="C47" s="68">
        <v>18.278700000000001</v>
      </c>
      <c r="D47" s="68">
        <v>1</v>
      </c>
      <c r="E47" s="68" t="s">
        <v>454</v>
      </c>
    </row>
    <row r="48" spans="1:5">
      <c r="A48" s="68">
        <v>0.250336</v>
      </c>
      <c r="B48" s="68">
        <v>0.43969799999999998</v>
      </c>
      <c r="C48" s="68">
        <v>18.683499999999999</v>
      </c>
      <c r="D48" s="68">
        <v>1</v>
      </c>
      <c r="E48" s="68" t="s">
        <v>455</v>
      </c>
    </row>
    <row r="49" spans="1:5">
      <c r="A49" s="68">
        <v>0.24940599999999999</v>
      </c>
      <c r="B49" s="68">
        <v>0.43828299999999998</v>
      </c>
      <c r="C49" s="68">
        <v>19.090499999999999</v>
      </c>
      <c r="D49" s="68">
        <v>1</v>
      </c>
      <c r="E49" s="68" t="s">
        <v>456</v>
      </c>
    </row>
    <row r="50" spans="1:5">
      <c r="A50" s="68">
        <v>0.24846299999999999</v>
      </c>
      <c r="B50" s="68">
        <v>0.437581</v>
      </c>
      <c r="C50" s="68">
        <v>19.503599999999999</v>
      </c>
      <c r="D50" s="68">
        <v>1</v>
      </c>
      <c r="E50" s="68" t="s">
        <v>457</v>
      </c>
    </row>
    <row r="51" spans="1:5">
      <c r="A51" s="68">
        <v>0.24768100000000001</v>
      </c>
      <c r="B51" s="68">
        <v>0.43651299999999998</v>
      </c>
      <c r="C51" s="68">
        <v>19.907699999999998</v>
      </c>
      <c r="D51" s="68">
        <v>1</v>
      </c>
      <c r="E51" s="68" t="s">
        <v>458</v>
      </c>
    </row>
    <row r="52" spans="1:5">
      <c r="A52" s="68">
        <v>0.24731400000000001</v>
      </c>
      <c r="B52" s="68">
        <v>0.435247</v>
      </c>
      <c r="C52" s="68">
        <v>20.311299999999999</v>
      </c>
      <c r="D52" s="68">
        <v>1</v>
      </c>
      <c r="E52" s="68" t="s">
        <v>459</v>
      </c>
    </row>
    <row r="53" spans="1:5">
      <c r="A53" s="68">
        <v>0.246832</v>
      </c>
      <c r="B53" s="68">
        <v>0.43417</v>
      </c>
      <c r="C53" s="68">
        <v>20.717600000000001</v>
      </c>
      <c r="D53" s="68">
        <v>1</v>
      </c>
      <c r="E53" s="68" t="s">
        <v>460</v>
      </c>
    </row>
    <row r="54" spans="1:5">
      <c r="A54" s="68">
        <v>0.24606500000000001</v>
      </c>
      <c r="B54" s="68">
        <v>0.43367</v>
      </c>
      <c r="C54" s="68">
        <v>21.120899999999999</v>
      </c>
      <c r="D54" s="68">
        <v>1</v>
      </c>
      <c r="E54" s="68" t="s">
        <v>461</v>
      </c>
    </row>
    <row r="55" spans="1:5">
      <c r="A55" s="68">
        <v>0.24546399999999999</v>
      </c>
      <c r="B55" s="68">
        <v>0.43316100000000002</v>
      </c>
      <c r="C55" s="68">
        <v>21.529699999999998</v>
      </c>
      <c r="D55" s="68">
        <v>1</v>
      </c>
      <c r="E55" s="68" t="s">
        <v>462</v>
      </c>
    </row>
    <row r="56" spans="1:5">
      <c r="A56" s="68">
        <v>0.24484300000000001</v>
      </c>
      <c r="B56" s="68">
        <v>0.43279200000000001</v>
      </c>
      <c r="C56" s="68">
        <v>21.9358</v>
      </c>
      <c r="D56" s="68">
        <v>1</v>
      </c>
      <c r="E56" s="68" t="s">
        <v>463</v>
      </c>
    </row>
    <row r="57" spans="1:5">
      <c r="A57" s="68">
        <v>0.244307</v>
      </c>
      <c r="B57" s="68">
        <v>0.43195600000000001</v>
      </c>
      <c r="C57" s="68">
        <v>22.340900000000001</v>
      </c>
      <c r="D57" s="68">
        <v>1</v>
      </c>
      <c r="E57" s="68" t="s">
        <v>464</v>
      </c>
    </row>
    <row r="58" spans="1:5">
      <c r="A58" s="68">
        <v>0.243945</v>
      </c>
      <c r="B58" s="68">
        <v>0.43097600000000003</v>
      </c>
      <c r="C58" s="68">
        <v>22.7485</v>
      </c>
      <c r="D58" s="68">
        <v>1</v>
      </c>
      <c r="E58" s="68" t="s">
        <v>465</v>
      </c>
    </row>
    <row r="59" spans="1:5">
      <c r="A59" s="68">
        <v>0.24389</v>
      </c>
      <c r="B59" s="68">
        <v>0.42961899999999997</v>
      </c>
      <c r="C59" s="68">
        <v>23.1557</v>
      </c>
      <c r="D59" s="68">
        <v>1</v>
      </c>
      <c r="E59" s="68" t="s">
        <v>466</v>
      </c>
    </row>
    <row r="60" spans="1:5">
      <c r="A60" s="68">
        <v>0.24407699999999999</v>
      </c>
      <c r="B60" s="68">
        <v>0.42838799999999999</v>
      </c>
      <c r="C60" s="68">
        <v>23.560400000000001</v>
      </c>
      <c r="D60" s="68">
        <v>1</v>
      </c>
      <c r="E60" s="68" t="s">
        <v>467</v>
      </c>
    </row>
    <row r="61" spans="1:5">
      <c r="A61" s="68">
        <v>0.24437700000000001</v>
      </c>
      <c r="B61" s="68">
        <v>0.427315</v>
      </c>
      <c r="C61" s="68">
        <v>23.9666</v>
      </c>
      <c r="D61" s="68">
        <v>1</v>
      </c>
      <c r="E61" s="68" t="s">
        <v>468</v>
      </c>
    </row>
    <row r="62" spans="1:5">
      <c r="A62" s="68">
        <v>0.24517800000000001</v>
      </c>
      <c r="B62" s="68">
        <v>0.42520599999999997</v>
      </c>
      <c r="C62" s="68">
        <v>24.372800000000002</v>
      </c>
      <c r="D62" s="68">
        <v>1</v>
      </c>
      <c r="E62" s="68" t="s">
        <v>469</v>
      </c>
    </row>
    <row r="63" spans="1:5">
      <c r="A63" s="68">
        <v>0.246782</v>
      </c>
      <c r="B63" s="68">
        <v>0.42190699999999998</v>
      </c>
      <c r="C63" s="68">
        <v>24.7776</v>
      </c>
      <c r="D63" s="68">
        <v>1</v>
      </c>
      <c r="E63" s="68" t="s">
        <v>470</v>
      </c>
    </row>
    <row r="64" spans="1:5">
      <c r="A64" s="68">
        <v>0.248589</v>
      </c>
      <c r="B64" s="68">
        <v>0.41874299999999998</v>
      </c>
      <c r="C64" s="68">
        <v>25.206199999999999</v>
      </c>
      <c r="D64" s="68">
        <v>1</v>
      </c>
      <c r="E64" s="68" t="s">
        <v>471</v>
      </c>
    </row>
    <row r="65" spans="1:5">
      <c r="A65" s="68">
        <v>0.25016100000000002</v>
      </c>
      <c r="B65" s="68">
        <v>0.41678500000000002</v>
      </c>
      <c r="C65" s="68">
        <v>25.607500000000002</v>
      </c>
      <c r="D65" s="68">
        <v>1</v>
      </c>
      <c r="E65" s="68" t="s">
        <v>472</v>
      </c>
    </row>
    <row r="66" spans="1:5">
      <c r="A66" s="68">
        <v>0.25173699999999999</v>
      </c>
      <c r="B66" s="68">
        <v>0.414879</v>
      </c>
      <c r="C66" s="68">
        <v>26.015799999999999</v>
      </c>
      <c r="D66" s="68">
        <v>1</v>
      </c>
      <c r="E66" s="68" t="s">
        <v>473</v>
      </c>
    </row>
    <row r="67" spans="1:5">
      <c r="A67" s="68">
        <v>0.25342399999999998</v>
      </c>
      <c r="B67" s="68">
        <v>0.41259499999999999</v>
      </c>
      <c r="C67" s="68">
        <v>26.412400000000002</v>
      </c>
      <c r="D67" s="68">
        <v>1</v>
      </c>
      <c r="E67" s="68" t="s">
        <v>474</v>
      </c>
    </row>
    <row r="68" spans="1:5">
      <c r="A68" s="68">
        <v>0.25509500000000002</v>
      </c>
      <c r="B68" s="68">
        <v>0.41055999999999998</v>
      </c>
      <c r="C68" s="68">
        <v>26.8371</v>
      </c>
      <c r="D68" s="68">
        <v>1</v>
      </c>
      <c r="E68" s="68" t="s">
        <v>475</v>
      </c>
    </row>
    <row r="69" spans="1:5">
      <c r="A69" s="68">
        <v>0.25645899999999999</v>
      </c>
      <c r="B69" s="68">
        <v>0.40937699999999999</v>
      </c>
      <c r="C69" s="68">
        <v>27.229099999999999</v>
      </c>
      <c r="D69" s="68">
        <v>1</v>
      </c>
      <c r="E69" s="68" t="s">
        <v>476</v>
      </c>
    </row>
    <row r="70" spans="1:5">
      <c r="A70" s="68">
        <v>0.25786900000000001</v>
      </c>
      <c r="B70" s="68">
        <v>0.407605</v>
      </c>
      <c r="C70" s="68">
        <v>27.642099999999999</v>
      </c>
      <c r="D70" s="68">
        <v>1</v>
      </c>
      <c r="E70" s="68" t="s">
        <v>477</v>
      </c>
    </row>
    <row r="71" spans="1:5">
      <c r="A71" s="68">
        <v>0.25942500000000002</v>
      </c>
      <c r="B71" s="68">
        <v>0.40550000000000003</v>
      </c>
      <c r="C71" s="68">
        <v>28.0487</v>
      </c>
      <c r="D71" s="68">
        <v>1</v>
      </c>
      <c r="E71" s="68" t="s">
        <v>478</v>
      </c>
    </row>
    <row r="72" spans="1:5">
      <c r="A72" s="68">
        <v>0.26101799999999997</v>
      </c>
      <c r="B72" s="68">
        <v>0.40391199999999999</v>
      </c>
      <c r="C72" s="68">
        <v>28.451599999999999</v>
      </c>
      <c r="D72" s="68">
        <v>1</v>
      </c>
      <c r="E72" s="68" t="s">
        <v>479</v>
      </c>
    </row>
    <row r="73" spans="1:5">
      <c r="A73" s="68">
        <v>0.262546</v>
      </c>
      <c r="B73" s="68">
        <v>0.402476</v>
      </c>
      <c r="C73" s="68">
        <v>28.860600000000002</v>
      </c>
      <c r="D73" s="68">
        <v>1</v>
      </c>
      <c r="E73" s="68" t="s">
        <v>480</v>
      </c>
    </row>
    <row r="74" spans="1:5">
      <c r="A74" s="68">
        <v>0.26428400000000002</v>
      </c>
      <c r="B74" s="68">
        <v>0.40087299999999998</v>
      </c>
      <c r="C74" s="68">
        <v>29.270299999999999</v>
      </c>
      <c r="D74" s="68">
        <v>1</v>
      </c>
      <c r="E74" s="68" t="s">
        <v>481</v>
      </c>
    </row>
    <row r="75" spans="1:5">
      <c r="A75" s="68">
        <v>0.26625399999999999</v>
      </c>
      <c r="B75" s="68">
        <v>0.39912799999999998</v>
      </c>
      <c r="C75" s="68">
        <v>29.677600000000002</v>
      </c>
      <c r="D75" s="68">
        <v>1</v>
      </c>
      <c r="E75" s="68" t="s">
        <v>482</v>
      </c>
    </row>
    <row r="76" spans="1:5">
      <c r="A76" s="68">
        <v>0.268455</v>
      </c>
      <c r="B76" s="68">
        <v>0.396621</v>
      </c>
      <c r="C76" s="68">
        <v>30.081299999999999</v>
      </c>
      <c r="D76" s="68">
        <v>2</v>
      </c>
      <c r="E76" s="68" t="s">
        <v>483</v>
      </c>
    </row>
    <row r="77" spans="1:5">
      <c r="A77" s="68">
        <v>0.27113399999999999</v>
      </c>
      <c r="B77" s="68">
        <v>0.39280199999999998</v>
      </c>
      <c r="C77" s="68">
        <v>30.704999999999998</v>
      </c>
      <c r="D77" s="68">
        <v>2</v>
      </c>
      <c r="E77" s="68" t="s">
        <v>484</v>
      </c>
    </row>
    <row r="78" spans="1:5">
      <c r="A78" s="68">
        <v>0.27348800000000001</v>
      </c>
      <c r="B78" s="68">
        <v>0.38951200000000002</v>
      </c>
      <c r="C78" s="68">
        <v>31.065200000000001</v>
      </c>
      <c r="D78" s="68">
        <v>2</v>
      </c>
      <c r="E78" s="68" t="s">
        <v>485</v>
      </c>
    </row>
    <row r="79" spans="1:5">
      <c r="A79" s="68">
        <v>0.276117</v>
      </c>
      <c r="B79" s="68">
        <v>0.38616800000000001</v>
      </c>
      <c r="C79" s="68">
        <v>31.463200000000001</v>
      </c>
      <c r="D79" s="68">
        <v>2</v>
      </c>
      <c r="E79" s="68" t="s">
        <v>486</v>
      </c>
    </row>
    <row r="80" spans="1:5">
      <c r="A80" s="68">
        <v>0.278644</v>
      </c>
      <c r="B80" s="68">
        <v>0.38340000000000002</v>
      </c>
      <c r="C80" s="68">
        <v>31.838999999999999</v>
      </c>
      <c r="D80" s="68">
        <v>2</v>
      </c>
      <c r="E80" s="68" t="s">
        <v>487</v>
      </c>
    </row>
    <row r="81" spans="1:5">
      <c r="A81" s="68">
        <v>0.28132499999999999</v>
      </c>
      <c r="B81" s="68">
        <v>0.38068600000000002</v>
      </c>
      <c r="C81" s="68">
        <v>32.210700000000003</v>
      </c>
      <c r="D81" s="68">
        <v>2</v>
      </c>
      <c r="E81" s="68" t="s">
        <v>488</v>
      </c>
    </row>
    <row r="82" spans="1:5">
      <c r="A82" s="68">
        <v>0.28399200000000002</v>
      </c>
      <c r="B82" s="68">
        <v>0.37828400000000001</v>
      </c>
      <c r="C82" s="68">
        <v>32.607900000000001</v>
      </c>
      <c r="D82" s="68">
        <v>2</v>
      </c>
      <c r="E82" s="68" t="s">
        <v>489</v>
      </c>
    </row>
    <row r="83" spans="1:5">
      <c r="A83" s="68">
        <v>0.286686</v>
      </c>
      <c r="B83" s="68">
        <v>0.37611600000000001</v>
      </c>
      <c r="C83" s="68">
        <v>33.021799999999999</v>
      </c>
      <c r="D83" s="68">
        <v>2</v>
      </c>
      <c r="E83" s="68" t="s">
        <v>490</v>
      </c>
    </row>
    <row r="84" spans="1:5">
      <c r="A84" s="68">
        <v>0.28956700000000002</v>
      </c>
      <c r="B84" s="68">
        <v>0.37312099999999998</v>
      </c>
      <c r="C84" s="68">
        <v>33.428400000000003</v>
      </c>
      <c r="D84" s="68">
        <v>2</v>
      </c>
      <c r="E84" s="68" t="s">
        <v>491</v>
      </c>
    </row>
    <row r="85" spans="1:5">
      <c r="A85" s="68">
        <v>0.292742</v>
      </c>
      <c r="B85" s="68">
        <v>0.36930099999999999</v>
      </c>
      <c r="C85" s="68">
        <v>33.828699999999998</v>
      </c>
      <c r="D85" s="68">
        <v>2</v>
      </c>
      <c r="E85" s="68" t="s">
        <v>492</v>
      </c>
    </row>
    <row r="86" spans="1:5">
      <c r="A86" s="68">
        <v>0.29554000000000002</v>
      </c>
      <c r="B86" s="68">
        <v>0.36649799999999999</v>
      </c>
      <c r="C86" s="68">
        <v>34.239600000000003</v>
      </c>
      <c r="D86" s="68">
        <v>2</v>
      </c>
      <c r="E86" s="68" t="s">
        <v>493</v>
      </c>
    </row>
    <row r="87" spans="1:5">
      <c r="A87" s="68">
        <v>0.29783100000000001</v>
      </c>
      <c r="B87" s="68">
        <v>0.36426399999999998</v>
      </c>
      <c r="C87" s="68">
        <v>34.630499999999998</v>
      </c>
      <c r="D87" s="68">
        <v>2</v>
      </c>
      <c r="E87" s="68" t="s">
        <v>494</v>
      </c>
    </row>
    <row r="88" spans="1:5">
      <c r="A88" s="68">
        <v>0.29967500000000002</v>
      </c>
      <c r="B88" s="68">
        <v>0.362124</v>
      </c>
      <c r="C88" s="68">
        <v>35.030700000000003</v>
      </c>
      <c r="D88" s="68">
        <v>2</v>
      </c>
      <c r="E88" s="68" t="s">
        <v>495</v>
      </c>
    </row>
    <row r="89" spans="1:5">
      <c r="A89" s="68">
        <v>0.30149900000000002</v>
      </c>
      <c r="B89" s="68">
        <v>0.35989399999999999</v>
      </c>
      <c r="C89" s="68">
        <v>35.4392</v>
      </c>
      <c r="D89" s="68">
        <v>2</v>
      </c>
      <c r="E89" s="68" t="s">
        <v>496</v>
      </c>
    </row>
    <row r="90" spans="1:5">
      <c r="A90" s="68">
        <v>0.30337199999999998</v>
      </c>
      <c r="B90" s="68">
        <v>0.357603</v>
      </c>
      <c r="C90" s="68">
        <v>35.8444</v>
      </c>
      <c r="D90" s="68">
        <v>2</v>
      </c>
      <c r="E90" s="68" t="s">
        <v>497</v>
      </c>
    </row>
    <row r="91" spans="1:5">
      <c r="A91" s="68">
        <v>0.305255</v>
      </c>
      <c r="B91" s="68">
        <v>0.35547200000000001</v>
      </c>
      <c r="C91" s="68">
        <v>36.268700000000003</v>
      </c>
      <c r="D91" s="68">
        <v>2</v>
      </c>
      <c r="E91" s="68" t="s">
        <v>498</v>
      </c>
    </row>
    <row r="92" spans="1:5">
      <c r="A92" s="68">
        <v>0.306973</v>
      </c>
      <c r="B92" s="68">
        <v>0.35389500000000002</v>
      </c>
      <c r="C92" s="68">
        <v>36.678600000000003</v>
      </c>
      <c r="D92" s="68">
        <v>2</v>
      </c>
      <c r="E92" s="68" t="s">
        <v>499</v>
      </c>
    </row>
    <row r="93" spans="1:5">
      <c r="A93" s="68">
        <v>0.30849799999999999</v>
      </c>
      <c r="B93" s="68">
        <v>0.35296499999999997</v>
      </c>
      <c r="C93" s="68">
        <v>37.064599999999999</v>
      </c>
      <c r="D93" s="68">
        <v>2</v>
      </c>
      <c r="E93" s="68" t="s">
        <v>500</v>
      </c>
    </row>
    <row r="94" spans="1:5">
      <c r="A94" s="68">
        <v>0.30990299999999998</v>
      </c>
      <c r="B94" s="68">
        <v>0.35250500000000001</v>
      </c>
      <c r="C94" s="68">
        <v>37.486400000000003</v>
      </c>
      <c r="D94" s="68">
        <v>2</v>
      </c>
      <c r="E94" s="68" t="s">
        <v>501</v>
      </c>
    </row>
    <row r="95" spans="1:5">
      <c r="A95" s="68">
        <v>0.31140600000000002</v>
      </c>
      <c r="B95" s="68">
        <v>0.352466</v>
      </c>
      <c r="C95" s="68">
        <v>37.883400000000002</v>
      </c>
      <c r="D95" s="68">
        <v>2</v>
      </c>
      <c r="E95" s="68" t="s">
        <v>502</v>
      </c>
    </row>
    <row r="96" spans="1:5">
      <c r="A96" s="68">
        <v>0.31312200000000001</v>
      </c>
      <c r="B96" s="68">
        <v>0.35231899999999999</v>
      </c>
      <c r="C96" s="68">
        <v>38.306199999999997</v>
      </c>
      <c r="D96" s="68">
        <v>2</v>
      </c>
      <c r="E96" s="68" t="s">
        <v>503</v>
      </c>
    </row>
    <row r="97" spans="1:5">
      <c r="A97" s="68">
        <v>0.31492399999999998</v>
      </c>
      <c r="B97" s="68">
        <v>0.35216500000000001</v>
      </c>
      <c r="C97" s="68">
        <v>38.690600000000003</v>
      </c>
      <c r="D97" s="68">
        <v>2</v>
      </c>
      <c r="E97" s="68" t="s">
        <v>504</v>
      </c>
    </row>
    <row r="98" spans="1:5">
      <c r="A98" s="68">
        <v>0.316859</v>
      </c>
      <c r="B98" s="68">
        <v>0.35195799999999999</v>
      </c>
      <c r="C98" s="68">
        <v>39.113500000000002</v>
      </c>
      <c r="D98" s="68">
        <v>2</v>
      </c>
      <c r="E98" s="68" t="s">
        <v>505</v>
      </c>
    </row>
    <row r="99" spans="1:5">
      <c r="A99" s="68">
        <v>0.31887700000000002</v>
      </c>
      <c r="B99" s="68">
        <v>0.35189300000000001</v>
      </c>
      <c r="C99" s="68">
        <v>39.527000000000001</v>
      </c>
      <c r="D99" s="68">
        <v>2</v>
      </c>
      <c r="E99" s="68" t="s">
        <v>506</v>
      </c>
    </row>
    <row r="100" spans="1:5">
      <c r="A100" s="68">
        <v>0.32058900000000001</v>
      </c>
      <c r="B100" s="68">
        <v>0.35269099999999998</v>
      </c>
      <c r="C100" s="68">
        <v>39.918999999999997</v>
      </c>
      <c r="D100" s="68">
        <v>2</v>
      </c>
      <c r="E100" s="68" t="s">
        <v>507</v>
      </c>
    </row>
    <row r="101" spans="1:5">
      <c r="A101" s="68">
        <v>0.32194499999999998</v>
      </c>
      <c r="B101" s="68">
        <v>0.35396499999999997</v>
      </c>
      <c r="C101" s="68">
        <v>40.334200000000003</v>
      </c>
      <c r="D101" s="68">
        <v>2</v>
      </c>
      <c r="E101" s="68" t="s">
        <v>508</v>
      </c>
    </row>
    <row r="102" spans="1:5">
      <c r="A102" s="68">
        <v>0.32306499999999999</v>
      </c>
      <c r="B102" s="68">
        <v>0.35589900000000002</v>
      </c>
      <c r="C102" s="68">
        <v>40.737000000000002</v>
      </c>
      <c r="D102" s="68">
        <v>2</v>
      </c>
      <c r="E102" s="68" t="s">
        <v>509</v>
      </c>
    </row>
    <row r="103" spans="1:5">
      <c r="A103" s="68">
        <v>0.32385199999999997</v>
      </c>
      <c r="B103" s="68">
        <v>0.35844999999999999</v>
      </c>
      <c r="C103" s="68">
        <v>41.146999999999998</v>
      </c>
      <c r="D103" s="68">
        <v>2</v>
      </c>
      <c r="E103" s="68" t="s">
        <v>510</v>
      </c>
    </row>
    <row r="104" spans="1:5">
      <c r="A104" s="68">
        <v>0.32419199999999998</v>
      </c>
      <c r="B104" s="68">
        <v>0.36088399999999998</v>
      </c>
      <c r="C104" s="68">
        <v>41.543900000000001</v>
      </c>
      <c r="D104" s="68">
        <v>2</v>
      </c>
      <c r="E104" s="68" t="s">
        <v>511</v>
      </c>
    </row>
    <row r="105" spans="1:5">
      <c r="A105" s="68">
        <v>0.32471800000000001</v>
      </c>
      <c r="B105" s="68">
        <v>0.363205</v>
      </c>
      <c r="C105" s="68">
        <v>41.960700000000003</v>
      </c>
      <c r="D105" s="68">
        <v>2</v>
      </c>
      <c r="E105" s="68" t="s">
        <v>512</v>
      </c>
    </row>
    <row r="106" spans="1:5">
      <c r="A106" s="68">
        <v>0.32518999999999998</v>
      </c>
      <c r="B106" s="68">
        <v>0.36540699999999998</v>
      </c>
      <c r="C106" s="68">
        <v>42.358899999999998</v>
      </c>
      <c r="D106" s="68">
        <v>2</v>
      </c>
      <c r="E106" s="68" t="s">
        <v>513</v>
      </c>
    </row>
    <row r="107" spans="1:5">
      <c r="A107" s="68">
        <v>0.32564599999999999</v>
      </c>
      <c r="B107" s="68">
        <v>0.36727900000000002</v>
      </c>
      <c r="C107" s="68">
        <v>42.771299999999997</v>
      </c>
      <c r="D107" s="68">
        <v>2</v>
      </c>
      <c r="E107" s="68" t="s">
        <v>514</v>
      </c>
    </row>
    <row r="108" spans="1:5">
      <c r="A108" s="68">
        <v>0.32571899999999998</v>
      </c>
      <c r="B108" s="68">
        <v>0.36912800000000001</v>
      </c>
      <c r="C108" s="68">
        <v>43.179499999999997</v>
      </c>
      <c r="D108" s="68">
        <v>2</v>
      </c>
      <c r="E108" s="68" t="s">
        <v>515</v>
      </c>
    </row>
    <row r="109" spans="1:5">
      <c r="A109" s="68">
        <v>0.32521800000000001</v>
      </c>
      <c r="B109" s="68">
        <v>0.37131799999999998</v>
      </c>
      <c r="C109" s="68">
        <v>43.5837</v>
      </c>
      <c r="D109" s="68">
        <v>2</v>
      </c>
      <c r="E109" s="68" t="s">
        <v>516</v>
      </c>
    </row>
    <row r="110" spans="1:5">
      <c r="A110" s="68">
        <v>0.324324</v>
      </c>
      <c r="B110" s="68">
        <v>0.373753</v>
      </c>
      <c r="C110" s="68">
        <v>43.967399999999998</v>
      </c>
      <c r="D110" s="68">
        <v>2</v>
      </c>
      <c r="E110" s="68" t="s">
        <v>517</v>
      </c>
    </row>
    <row r="111" spans="1:5">
      <c r="A111" s="68">
        <v>0.32358300000000001</v>
      </c>
      <c r="B111" s="68">
        <v>0.37568600000000002</v>
      </c>
      <c r="C111" s="68">
        <v>44.394100000000002</v>
      </c>
      <c r="D111" s="68">
        <v>2</v>
      </c>
      <c r="E111" s="68" t="s">
        <v>518</v>
      </c>
    </row>
    <row r="112" spans="1:5">
      <c r="A112" s="68">
        <v>0.32267000000000001</v>
      </c>
      <c r="B112" s="68">
        <v>0.37718600000000002</v>
      </c>
      <c r="C112" s="68">
        <v>44.798900000000003</v>
      </c>
      <c r="D112" s="68">
        <v>2</v>
      </c>
      <c r="E112" s="68" t="s">
        <v>519</v>
      </c>
    </row>
    <row r="113" spans="1:5">
      <c r="A113" s="68">
        <v>0.32158999999999999</v>
      </c>
      <c r="B113" s="68">
        <v>0.37853300000000001</v>
      </c>
      <c r="C113" s="68">
        <v>45.202300000000001</v>
      </c>
      <c r="D113" s="68">
        <v>2</v>
      </c>
      <c r="E113" s="68" t="s">
        <v>520</v>
      </c>
    </row>
    <row r="114" spans="1:5">
      <c r="A114" s="68">
        <v>0.32064199999999998</v>
      </c>
      <c r="B114" s="68">
        <v>0.37989000000000001</v>
      </c>
      <c r="C114" s="68">
        <v>45.606299999999997</v>
      </c>
      <c r="D114" s="68">
        <v>2</v>
      </c>
      <c r="E114" s="68" t="s">
        <v>521</v>
      </c>
    </row>
    <row r="115" spans="1:5">
      <c r="A115" s="68">
        <v>0.31962699999999999</v>
      </c>
      <c r="B115" s="68">
        <v>0.38158300000000001</v>
      </c>
      <c r="C115" s="68">
        <v>46.015300000000003</v>
      </c>
      <c r="D115" s="68">
        <v>2</v>
      </c>
      <c r="E115" s="68" t="s">
        <v>522</v>
      </c>
    </row>
    <row r="116" spans="1:5">
      <c r="A116" s="68">
        <v>0.31844600000000001</v>
      </c>
      <c r="B116" s="68">
        <v>0.383434</v>
      </c>
      <c r="C116" s="68">
        <v>46.431899999999999</v>
      </c>
      <c r="D116" s="68">
        <v>2</v>
      </c>
      <c r="E116" s="68" t="s">
        <v>523</v>
      </c>
    </row>
    <row r="117" spans="1:5">
      <c r="A117" s="68">
        <v>0.31744600000000001</v>
      </c>
      <c r="B117" s="68">
        <v>0.38500800000000002</v>
      </c>
      <c r="C117" s="68">
        <v>46.819299999999998</v>
      </c>
      <c r="D117" s="68">
        <v>2</v>
      </c>
      <c r="E117" s="68" t="s">
        <v>524</v>
      </c>
    </row>
    <row r="118" spans="1:5">
      <c r="A118" s="68">
        <v>0.31688899999999998</v>
      </c>
      <c r="B118" s="68">
        <v>0.385959</v>
      </c>
      <c r="C118" s="68">
        <v>47.232900000000001</v>
      </c>
      <c r="D118" s="68">
        <v>2</v>
      </c>
      <c r="E118" s="68" t="s">
        <v>525</v>
      </c>
    </row>
    <row r="119" spans="1:5">
      <c r="A119" s="68">
        <v>0.31640200000000002</v>
      </c>
      <c r="B119" s="68">
        <v>0.38649899999999998</v>
      </c>
      <c r="C119" s="68">
        <v>47.629100000000001</v>
      </c>
      <c r="D119" s="68">
        <v>2</v>
      </c>
      <c r="E119" s="68" t="s">
        <v>526</v>
      </c>
    </row>
    <row r="120" spans="1:5">
      <c r="A120" s="68">
        <v>0.31578699999999998</v>
      </c>
      <c r="B120" s="68">
        <v>0.38655400000000001</v>
      </c>
      <c r="C120" s="68">
        <v>48.052799999999998</v>
      </c>
      <c r="D120" s="68">
        <v>2</v>
      </c>
      <c r="E120" s="68" t="s">
        <v>527</v>
      </c>
    </row>
    <row r="121" spans="1:5">
      <c r="A121" s="68">
        <v>0.31497900000000001</v>
      </c>
      <c r="B121" s="68">
        <v>0.38692700000000002</v>
      </c>
      <c r="C121" s="68">
        <v>48.454799999999999</v>
      </c>
      <c r="D121" s="68">
        <v>2</v>
      </c>
      <c r="E121" s="68" t="s">
        <v>528</v>
      </c>
    </row>
    <row r="122" spans="1:5">
      <c r="A122" s="68">
        <v>0.31424600000000003</v>
      </c>
      <c r="B122" s="68">
        <v>0.38757200000000003</v>
      </c>
      <c r="C122" s="68">
        <v>48.848300000000002</v>
      </c>
      <c r="D122" s="68">
        <v>2</v>
      </c>
      <c r="E122" s="68" t="s">
        <v>529</v>
      </c>
    </row>
    <row r="123" spans="1:5">
      <c r="A123" s="68">
        <v>0.313303</v>
      </c>
      <c r="B123" s="68">
        <v>0.38867099999999999</v>
      </c>
      <c r="C123" s="68">
        <v>49.249000000000002</v>
      </c>
      <c r="D123" s="68">
        <v>2</v>
      </c>
      <c r="E123" s="68" t="s">
        <v>530</v>
      </c>
    </row>
    <row r="124" spans="1:5">
      <c r="A124" s="68">
        <v>0.31217499999999998</v>
      </c>
      <c r="B124" s="68">
        <v>0.39025300000000002</v>
      </c>
      <c r="C124" s="68">
        <v>49.664700000000003</v>
      </c>
      <c r="D124" s="68">
        <v>2</v>
      </c>
      <c r="E124" s="68" t="s">
        <v>531</v>
      </c>
    </row>
    <row r="125" spans="1:5">
      <c r="A125" s="68">
        <v>0.31107099999999999</v>
      </c>
      <c r="B125" s="68">
        <v>0.39168399999999998</v>
      </c>
      <c r="C125" s="68">
        <v>50.084600000000002</v>
      </c>
      <c r="D125" s="68">
        <v>2</v>
      </c>
      <c r="E125" s="68" t="s">
        <v>532</v>
      </c>
    </row>
    <row r="126" spans="1:5">
      <c r="A126" s="68">
        <v>0.310164</v>
      </c>
      <c r="B126" s="68">
        <v>0.39312399999999997</v>
      </c>
      <c r="C126" s="68">
        <v>50.483400000000003</v>
      </c>
      <c r="D126" s="68">
        <v>2</v>
      </c>
      <c r="E126" s="68" t="s">
        <v>533</v>
      </c>
    </row>
    <row r="127" spans="1:5">
      <c r="A127" s="68">
        <v>0.30933699999999997</v>
      </c>
      <c r="B127" s="68">
        <v>0.39389400000000002</v>
      </c>
      <c r="C127" s="68">
        <v>50.898899999999998</v>
      </c>
      <c r="D127" s="68">
        <v>2</v>
      </c>
      <c r="E127" s="68" t="s">
        <v>534</v>
      </c>
    </row>
    <row r="128" spans="1:5">
      <c r="A128" s="68">
        <v>0.30863099999999999</v>
      </c>
      <c r="B128" s="68">
        <v>0.394175</v>
      </c>
      <c r="C128" s="68">
        <v>51.302700000000002</v>
      </c>
      <c r="D128" s="68">
        <v>2</v>
      </c>
      <c r="E128" s="68" t="s">
        <v>535</v>
      </c>
    </row>
    <row r="129" spans="1:5">
      <c r="A129" s="68">
        <v>0.30823299999999998</v>
      </c>
      <c r="B129" s="68">
        <v>0.39395599999999997</v>
      </c>
      <c r="C129" s="68">
        <v>51.711399999999998</v>
      </c>
      <c r="D129" s="68">
        <v>2</v>
      </c>
      <c r="E129" s="68" t="s">
        <v>536</v>
      </c>
    </row>
    <row r="130" spans="1:5">
      <c r="A130" s="68">
        <v>0.307361</v>
      </c>
      <c r="B130" s="68">
        <v>0.39390700000000001</v>
      </c>
      <c r="C130" s="68">
        <v>52.110700000000001</v>
      </c>
      <c r="D130" s="68">
        <v>2</v>
      </c>
      <c r="E130" s="68" t="s">
        <v>537</v>
      </c>
    </row>
    <row r="131" spans="1:5">
      <c r="A131" s="68">
        <v>0.30632500000000001</v>
      </c>
      <c r="B131" s="68">
        <v>0.39399699999999999</v>
      </c>
      <c r="C131" s="68">
        <v>52.511000000000003</v>
      </c>
      <c r="D131" s="68">
        <v>2</v>
      </c>
      <c r="E131" s="68" t="s">
        <v>538</v>
      </c>
    </row>
    <row r="132" spans="1:5">
      <c r="A132" s="68">
        <v>0.30515500000000001</v>
      </c>
      <c r="B132" s="68">
        <v>0.394403</v>
      </c>
      <c r="C132" s="68">
        <v>52.925800000000002</v>
      </c>
      <c r="D132" s="68">
        <v>2</v>
      </c>
      <c r="E132" s="68" t="s">
        <v>539</v>
      </c>
    </row>
    <row r="133" spans="1:5">
      <c r="A133" s="68">
        <v>0.30444100000000002</v>
      </c>
      <c r="B133" s="68">
        <v>0.39405200000000001</v>
      </c>
      <c r="C133" s="68">
        <v>53.334299999999999</v>
      </c>
      <c r="D133" s="68">
        <v>2</v>
      </c>
      <c r="E133" s="68" t="s">
        <v>540</v>
      </c>
    </row>
    <row r="134" spans="1:5">
      <c r="A134" s="68">
        <v>0.30420999999999998</v>
      </c>
      <c r="B134" s="68">
        <v>0.393007</v>
      </c>
      <c r="C134" s="68">
        <v>53.735799999999998</v>
      </c>
      <c r="D134" s="68">
        <v>2</v>
      </c>
      <c r="E134" s="68" t="s">
        <v>541</v>
      </c>
    </row>
    <row r="135" spans="1:5">
      <c r="A135" s="68">
        <v>0.30395699999999998</v>
      </c>
      <c r="B135" s="68">
        <v>0.39205200000000001</v>
      </c>
      <c r="C135" s="68">
        <v>54.144100000000002</v>
      </c>
      <c r="D135" s="68">
        <v>2</v>
      </c>
      <c r="E135" s="68" t="s">
        <v>542</v>
      </c>
    </row>
    <row r="136" spans="1:5">
      <c r="A136" s="68">
        <v>0.30355799999999999</v>
      </c>
      <c r="B136" s="68">
        <v>0.39171699999999998</v>
      </c>
      <c r="C136" s="68">
        <v>54.546999999999997</v>
      </c>
      <c r="D136" s="68">
        <v>2</v>
      </c>
      <c r="E136" s="68" t="s">
        <v>543</v>
      </c>
    </row>
    <row r="137" spans="1:5">
      <c r="A137" s="68">
        <v>0.30365500000000001</v>
      </c>
      <c r="B137" s="68">
        <v>0.39124199999999998</v>
      </c>
      <c r="C137" s="68">
        <v>54.945099999999996</v>
      </c>
      <c r="D137" s="68">
        <v>2</v>
      </c>
      <c r="E137" s="68" t="s">
        <v>544</v>
      </c>
    </row>
    <row r="138" spans="1:5">
      <c r="A138" s="68">
        <v>0.30435400000000001</v>
      </c>
      <c r="B138" s="68">
        <v>0.39047199999999999</v>
      </c>
      <c r="C138" s="68">
        <v>55.366500000000002</v>
      </c>
      <c r="D138" s="68">
        <v>2</v>
      </c>
      <c r="E138" s="68" t="s">
        <v>545</v>
      </c>
    </row>
    <row r="139" spans="1:5">
      <c r="A139" s="68">
        <v>0.30482500000000001</v>
      </c>
      <c r="B139" s="68">
        <v>0.389515</v>
      </c>
      <c r="C139" s="68">
        <v>55.766599999999997</v>
      </c>
      <c r="D139" s="68">
        <v>2</v>
      </c>
      <c r="E139" s="68" t="s">
        <v>546</v>
      </c>
    </row>
    <row r="140" spans="1:5">
      <c r="A140" s="68">
        <v>0.30548199999999998</v>
      </c>
      <c r="B140" s="68">
        <v>0.38769799999999999</v>
      </c>
      <c r="C140" s="68">
        <v>56.170099999999998</v>
      </c>
      <c r="D140" s="68">
        <v>2</v>
      </c>
      <c r="E140" s="68" t="s">
        <v>547</v>
      </c>
    </row>
    <row r="141" spans="1:5">
      <c r="A141" s="68">
        <v>0.306697</v>
      </c>
      <c r="B141" s="68">
        <v>0.38502399999999998</v>
      </c>
      <c r="C141" s="68">
        <v>56.569699999999997</v>
      </c>
      <c r="D141" s="68">
        <v>2</v>
      </c>
      <c r="E141" s="68" t="s">
        <v>548</v>
      </c>
    </row>
    <row r="142" spans="1:5">
      <c r="A142" s="68">
        <v>0.308006</v>
      </c>
      <c r="B142" s="68">
        <v>0.38192599999999999</v>
      </c>
      <c r="C142" s="68">
        <v>56.970199999999998</v>
      </c>
      <c r="D142" s="68">
        <v>2</v>
      </c>
      <c r="E142" s="68" t="s">
        <v>549</v>
      </c>
    </row>
    <row r="143" spans="1:5">
      <c r="A143" s="68">
        <v>0.30882500000000002</v>
      </c>
      <c r="B143" s="68">
        <v>0.37897799999999998</v>
      </c>
      <c r="C143" s="68">
        <v>57.397199999999998</v>
      </c>
      <c r="D143" s="68">
        <v>2</v>
      </c>
      <c r="E143" s="68" t="s">
        <v>550</v>
      </c>
    </row>
    <row r="144" spans="1:5">
      <c r="A144" s="68">
        <v>0.310118</v>
      </c>
      <c r="B144" s="68">
        <v>0.37648500000000001</v>
      </c>
      <c r="C144" s="68">
        <v>57.802100000000003</v>
      </c>
      <c r="D144" s="68">
        <v>2</v>
      </c>
      <c r="E144" s="68" t="s">
        <v>551</v>
      </c>
    </row>
    <row r="145" spans="1:5">
      <c r="A145" s="68">
        <v>0.31126799999999999</v>
      </c>
      <c r="B145" s="68">
        <v>0.37628499999999998</v>
      </c>
      <c r="C145" s="68">
        <v>58.187100000000001</v>
      </c>
      <c r="D145" s="68">
        <v>2</v>
      </c>
      <c r="E145" s="68" t="s">
        <v>552</v>
      </c>
    </row>
    <row r="146" spans="1:5">
      <c r="A146" s="68">
        <v>0.31185800000000002</v>
      </c>
      <c r="B146" s="68">
        <v>0.37658700000000001</v>
      </c>
      <c r="C146" s="68">
        <v>58.598700000000001</v>
      </c>
      <c r="D146" s="68">
        <v>2</v>
      </c>
      <c r="E146" s="68" t="s">
        <v>553</v>
      </c>
    </row>
    <row r="147" spans="1:5">
      <c r="A147" s="68">
        <v>0.31235000000000002</v>
      </c>
      <c r="B147" s="68">
        <v>0.37614999999999998</v>
      </c>
      <c r="C147" s="68">
        <v>58.996899999999997</v>
      </c>
      <c r="D147" s="68">
        <v>2</v>
      </c>
      <c r="E147" s="68" t="s">
        <v>554</v>
      </c>
    </row>
    <row r="148" spans="1:5">
      <c r="A148" s="68">
        <v>0.31217200000000001</v>
      </c>
      <c r="B148" s="68">
        <v>0.377635</v>
      </c>
      <c r="C148" s="68">
        <v>59.408700000000003</v>
      </c>
      <c r="D148" s="68">
        <v>2</v>
      </c>
      <c r="E148" s="68" t="s">
        <v>555</v>
      </c>
    </row>
    <row r="149" spans="1:5">
      <c r="A149" s="68">
        <v>0.309894</v>
      </c>
      <c r="B149" s="68">
        <v>0.38191000000000003</v>
      </c>
      <c r="C149" s="68">
        <v>59.823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557</v>
      </c>
      <c r="B1" s="66" t="s">
        <v>558</v>
      </c>
      <c r="C1" s="66" t="s">
        <v>560</v>
      </c>
      <c r="D1" s="66" t="s">
        <v>561</v>
      </c>
      <c r="E1" s="66" t="s">
        <v>562</v>
      </c>
      <c r="F1" s="66" t="s">
        <v>348</v>
      </c>
      <c r="G1" s="66" t="s">
        <v>349</v>
      </c>
      <c r="H1" s="66" t="s">
        <v>563</v>
      </c>
      <c r="I1" s="66" t="s">
        <v>564</v>
      </c>
      <c r="J1" s="66" t="s">
        <v>565</v>
      </c>
      <c r="K1" s="66" t="s">
        <v>566</v>
      </c>
      <c r="L1" s="66" t="s">
        <v>567</v>
      </c>
      <c r="M1" s="66" t="s">
        <v>568</v>
      </c>
      <c r="N1" s="66"/>
    </row>
    <row r="2" spans="1:14">
      <c r="A2" s="75">
        <v>43612.651238425926</v>
      </c>
      <c r="B2" s="66" t="s">
        <v>559</v>
      </c>
      <c r="C2" s="66"/>
      <c r="D2" s="66"/>
      <c r="E2" s="66">
        <v>4.9234099999999996</v>
      </c>
      <c r="F2" s="66">
        <v>1.48072</v>
      </c>
      <c r="G2" s="66">
        <v>0.62257899999999999</v>
      </c>
      <c r="H2" s="66">
        <v>0</v>
      </c>
      <c r="I2" s="66">
        <v>103843</v>
      </c>
      <c r="J2" s="66">
        <v>80</v>
      </c>
      <c r="K2" s="66">
        <v>80</v>
      </c>
      <c r="L2" s="66">
        <v>0</v>
      </c>
      <c r="M2" s="66" t="s">
        <v>569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2019-05-21T09:17:45Z</cp:lastPrinted>
  <dcterms:created xsi:type="dcterms:W3CDTF">2010-10-29T12:53:05Z</dcterms:created>
  <dcterms:modified xsi:type="dcterms:W3CDTF">2019-05-27T07:38:39Z</dcterms:modified>
</cp:coreProperties>
</file>