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情绪分析技术\临床测试MED\汇文中学\"/>
    </mc:Choice>
  </mc:AlternateContent>
  <xr:revisionPtr revIDLastSave="0" documentId="13_ncr:1_{39477AAB-C15C-414F-86B0-9E298C1F4130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9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Measurement!$B$1:$K$34</definedName>
    <definedName name="row_n">info!$E$2:$E$2000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8" i="1" l="1"/>
  <c r="E28" i="1"/>
  <c r="U4" i="1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Z17" i="23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B1" i="16"/>
  <c r="C1" i="16" s="1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2" i="1" l="1"/>
  <c r="B2" i="23"/>
  <c r="C4" i="17"/>
  <c r="B4" i="17" s="1"/>
  <c r="A5" i="17"/>
  <c r="B3" i="17"/>
  <c r="E5" i="11"/>
  <c r="L2" i="11"/>
  <c r="H5" i="1"/>
  <c r="M21" i="1"/>
  <c r="H6" i="1"/>
  <c r="N7" i="1"/>
  <c r="D9" i="1" s="1"/>
  <c r="O7" i="1"/>
  <c r="P7" i="1"/>
  <c r="F9" i="1" s="1"/>
  <c r="Q7" i="1"/>
  <c r="R7" i="1"/>
  <c r="C9" i="1" s="1"/>
  <c r="S7" i="1"/>
  <c r="T7" i="1"/>
  <c r="E9" i="1" s="1"/>
  <c r="N8" i="1"/>
  <c r="I9" i="1" s="1"/>
  <c r="O8" i="1"/>
  <c r="P8" i="1"/>
  <c r="K9" i="1" s="1"/>
  <c r="Q8" i="1"/>
  <c r="R8" i="1"/>
  <c r="H9" i="1" s="1"/>
  <c r="S8" i="1"/>
  <c r="T8" i="1"/>
  <c r="J9" i="1" s="1"/>
  <c r="N9" i="1"/>
  <c r="D10" i="1" s="1"/>
  <c r="O9" i="1"/>
  <c r="P9" i="1"/>
  <c r="F10" i="1" s="1"/>
  <c r="Q9" i="1"/>
  <c r="R9" i="1"/>
  <c r="C10" i="1" s="1"/>
  <c r="S9" i="1"/>
  <c r="T9" i="1"/>
  <c r="E10" i="1" s="1"/>
  <c r="N10" i="1"/>
  <c r="I10" i="1" s="1"/>
  <c r="O10" i="1"/>
  <c r="P10" i="1"/>
  <c r="K10" i="1" s="1"/>
  <c r="Q10" i="1"/>
  <c r="R10" i="1"/>
  <c r="H10" i="1" s="1"/>
  <c r="S10" i="1"/>
  <c r="T10" i="1"/>
  <c r="J10" i="1" s="1"/>
  <c r="N11" i="1"/>
  <c r="D11" i="1" s="1"/>
  <c r="O11" i="1"/>
  <c r="P11" i="1"/>
  <c r="F11" i="1" s="1"/>
  <c r="Q11" i="1"/>
  <c r="R11" i="1"/>
  <c r="C11" i="1" s="1"/>
  <c r="S11" i="1"/>
  <c r="T11" i="1"/>
  <c r="E11" i="1" s="1"/>
  <c r="N12" i="1"/>
  <c r="I11" i="1" s="1"/>
  <c r="O12" i="1"/>
  <c r="P12" i="1"/>
  <c r="K11" i="1" s="1"/>
  <c r="Q12" i="1"/>
  <c r="R12" i="1"/>
  <c r="H11" i="1" s="1"/>
  <c r="S12" i="1"/>
  <c r="T12" i="1"/>
  <c r="J11" i="1" s="1"/>
  <c r="N13" i="1"/>
  <c r="D12" i="1" s="1"/>
  <c r="O13" i="1"/>
  <c r="P13" i="1"/>
  <c r="F12" i="1" s="1"/>
  <c r="Q13" i="1"/>
  <c r="R13" i="1"/>
  <c r="C12" i="1" s="1"/>
  <c r="S13" i="1"/>
  <c r="T13" i="1"/>
  <c r="E12" i="1" s="1"/>
  <c r="N14" i="1"/>
  <c r="I12" i="1" s="1"/>
  <c r="O14" i="1"/>
  <c r="P14" i="1"/>
  <c r="K12" i="1" s="1"/>
  <c r="Q14" i="1"/>
  <c r="R14" i="1"/>
  <c r="H12" i="1" s="1"/>
  <c r="S14" i="1"/>
  <c r="T14" i="1"/>
  <c r="J12" i="1" s="1"/>
  <c r="N15" i="1"/>
  <c r="D13" i="1" s="1"/>
  <c r="O15" i="1"/>
  <c r="P15" i="1"/>
  <c r="F13" i="1" s="1"/>
  <c r="Q15" i="1"/>
  <c r="R15" i="1"/>
  <c r="C13" i="1" s="1"/>
  <c r="S15" i="1"/>
  <c r="T15" i="1"/>
  <c r="E13" i="1" s="1"/>
  <c r="N16" i="1"/>
  <c r="I13" i="1" s="1"/>
  <c r="O16" i="1"/>
  <c r="P16" i="1"/>
  <c r="K13" i="1" s="1"/>
  <c r="Q16" i="1"/>
  <c r="R16" i="1"/>
  <c r="H13" i="1" s="1"/>
  <c r="S16" i="1"/>
  <c r="T16" i="1"/>
  <c r="J13" i="1" s="1"/>
  <c r="E27" i="1"/>
  <c r="J27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 s="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G628" i="11"/>
  <c r="H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 s="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 s="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G828" i="11"/>
  <c r="H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H935" i="11" s="1"/>
  <c r="G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H1079" i="11" s="1"/>
  <c r="G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H1128" i="11" s="1"/>
  <c r="G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H1140" i="11" s="1"/>
  <c r="G1140" i="11"/>
  <c r="F1141" i="11"/>
  <c r="H1141" i="11" s="1"/>
  <c r="G1141" i="11"/>
  <c r="F1142" i="11"/>
  <c r="H1142" i="11" s="1"/>
  <c r="G1142" i="11"/>
  <c r="F1143" i="11"/>
  <c r="H1143" i="11" s="1"/>
  <c r="G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H1148" i="11" s="1"/>
  <c r="G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G1259" i="11"/>
  <c r="H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G1300" i="11"/>
  <c r="H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H1320" i="11" s="1"/>
  <c r="G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H1339" i="11" s="1"/>
  <c r="G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 s="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H1470" i="11" s="1"/>
  <c r="G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H1542" i="11" s="1"/>
  <c r="G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H1598" i="11" s="1"/>
  <c r="G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H1622" i="11" s="1"/>
  <c r="G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G1710" i="11"/>
  <c r="H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H1750" i="11" s="1"/>
  <c r="G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H1806" i="11" s="1"/>
  <c r="G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H1822" i="11" s="1"/>
  <c r="G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H1882" i="11" s="1"/>
  <c r="G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 s="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G1954" i="11"/>
  <c r="H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H1974" i="11" s="1"/>
  <c r="G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 l="1"/>
  <c r="B5" i="11"/>
  <c r="B2" i="11"/>
  <c r="L2" i="18"/>
  <c r="L2" i="19"/>
  <c r="L2" i="9"/>
  <c r="C24" i="1" s="1"/>
  <c r="L3" i="19"/>
  <c r="L3" i="18"/>
  <c r="B3" i="11"/>
  <c r="P19" i="1"/>
  <c r="G14" i="1"/>
  <c r="G14" i="23"/>
  <c r="B14" i="1"/>
  <c r="B14" i="23"/>
  <c r="C5" i="17"/>
  <c r="B5" i="17" s="1"/>
  <c r="A6" i="17"/>
  <c r="P17" i="1"/>
  <c r="P18" i="1"/>
  <c r="E6" i="11"/>
  <c r="B6" i="11"/>
  <c r="A7" i="11"/>
  <c r="N18" i="1"/>
  <c r="N19" i="1"/>
  <c r="L3" i="11"/>
  <c r="N17" i="1"/>
  <c r="U3" i="11" l="1"/>
  <c r="U5" i="11" s="1"/>
  <c r="X3" i="11"/>
  <c r="X5" i="11" s="1"/>
  <c r="V3" i="11"/>
  <c r="W3" i="11"/>
  <c r="W5" i="11" s="1"/>
  <c r="E24" i="23"/>
  <c r="C24" i="23"/>
  <c r="B23" i="1"/>
  <c r="B23" i="23"/>
  <c r="Q18" i="1"/>
  <c r="Q19" i="1"/>
  <c r="Q17" i="1"/>
  <c r="A7" i="17"/>
  <c r="C6" i="17"/>
  <c r="B6" i="17" s="1"/>
  <c r="L7" i="11"/>
  <c r="M7" i="11" s="1"/>
  <c r="L17" i="11"/>
  <c r="E7" i="11"/>
  <c r="O17" i="1"/>
  <c r="B7" i="11"/>
  <c r="A8" i="11"/>
  <c r="L8" i="11"/>
  <c r="M8" i="11" s="1"/>
  <c r="L6" i="11"/>
  <c r="M6" i="11" s="1"/>
  <c r="L5" i="11"/>
  <c r="M5" i="11" s="1"/>
  <c r="O18" i="1"/>
  <c r="O19" i="1"/>
  <c r="V5" i="11" l="1"/>
  <c r="N20" i="1"/>
  <c r="G23" i="1"/>
  <c r="G23" i="23"/>
  <c r="I24" i="23"/>
  <c r="K24" i="23"/>
  <c r="A8" i="17"/>
  <c r="C7" i="17"/>
  <c r="B7" i="17" s="1"/>
  <c r="I24" i="1"/>
  <c r="E8" i="11"/>
  <c r="A9" i="11"/>
  <c r="B8" i="11"/>
  <c r="K24" i="1"/>
  <c r="M17" i="1" l="1"/>
  <c r="M17" i="23"/>
  <c r="V17" i="23" s="1"/>
  <c r="AE17" i="23" s="1"/>
  <c r="A9" i="17"/>
  <c r="C8" i="17"/>
  <c r="B8" i="17" s="1"/>
  <c r="E9" i="11"/>
  <c r="A10" i="11"/>
  <c r="B9" i="11"/>
  <c r="M18" i="1" l="1"/>
  <c r="M18" i="23"/>
  <c r="V18" i="23" s="1"/>
  <c r="AE18" i="23" s="1"/>
  <c r="A10" i="17"/>
  <c r="C9" i="17"/>
  <c r="B9" i="17" s="1"/>
  <c r="E10" i="11"/>
  <c r="A11" i="11"/>
  <c r="B10" i="11"/>
  <c r="M19" i="1" l="1"/>
  <c r="M19" i="23"/>
  <c r="V19" i="23" s="1"/>
  <c r="AE19" i="23" s="1"/>
  <c r="A11" i="17"/>
  <c r="C10" i="17"/>
  <c r="B10" i="17" s="1"/>
  <c r="E11" i="11"/>
  <c r="A12" i="11"/>
  <c r="B11" i="11"/>
  <c r="B24" i="1" l="1"/>
  <c r="B24" i="23"/>
  <c r="A12" i="17"/>
  <c r="C11" i="17"/>
  <c r="B11" i="17" s="1"/>
  <c r="E12" i="11"/>
  <c r="A13" i="11"/>
  <c r="B12" i="11"/>
  <c r="D24" i="1" l="1"/>
  <c r="D24" i="23"/>
  <c r="A13" i="17"/>
  <c r="C12" i="17"/>
  <c r="B12" i="17" s="1"/>
  <c r="E13" i="11"/>
  <c r="A14" i="11"/>
  <c r="B13" i="11"/>
  <c r="G24" i="1" l="1"/>
  <c r="G24" i="23"/>
  <c r="A14" i="17"/>
  <c r="C13" i="17"/>
  <c r="B13" i="17" s="1"/>
  <c r="E14" i="11"/>
  <c r="B14" i="11"/>
  <c r="A15" i="11"/>
  <c r="J24" i="1" l="1"/>
  <c r="J24" i="23"/>
  <c r="A15" i="17"/>
  <c r="C14" i="17"/>
  <c r="B14" i="17" s="1"/>
  <c r="E15" i="11"/>
  <c r="B15" i="11"/>
  <c r="A16" i="11"/>
  <c r="M7" i="1" l="1"/>
  <c r="B9" i="1" s="1"/>
  <c r="M7" i="23"/>
  <c r="A16" i="17"/>
  <c r="C15" i="17"/>
  <c r="B15" i="17" s="1"/>
  <c r="E16" i="11"/>
  <c r="B16" i="11"/>
  <c r="A17" i="11"/>
  <c r="M8" i="1" l="1"/>
  <c r="G9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9" i="1"/>
  <c r="B10" i="1" s="1"/>
  <c r="M9" i="23"/>
  <c r="A18" i="17"/>
  <c r="C17" i="17"/>
  <c r="B17" i="17" s="1"/>
  <c r="E18" i="11"/>
  <c r="B18" i="11"/>
  <c r="A19" i="11"/>
  <c r="B10" i="23" l="1"/>
  <c r="V9" i="23"/>
  <c r="AE9" i="23" s="1"/>
  <c r="M10" i="1"/>
  <c r="G10" i="1" s="1"/>
  <c r="M10" i="23"/>
  <c r="A19" i="17"/>
  <c r="C18" i="17"/>
  <c r="B18" i="17" s="1"/>
  <c r="E19" i="11"/>
  <c r="B19" i="11"/>
  <c r="A20" i="11"/>
  <c r="G10" i="23" l="1"/>
  <c r="V10" i="23"/>
  <c r="AE10" i="23" s="1"/>
  <c r="M11" i="1"/>
  <c r="B11" i="1" s="1"/>
  <c r="M11" i="23"/>
  <c r="A20" i="17"/>
  <c r="C19" i="17"/>
  <c r="B19" i="17" s="1"/>
  <c r="E20" i="11"/>
  <c r="A21" i="11"/>
  <c r="B20" i="11"/>
  <c r="B11" i="23" l="1"/>
  <c r="V11" i="23"/>
  <c r="AE11" i="23" s="1"/>
  <c r="M12" i="1"/>
  <c r="G11" i="1" s="1"/>
  <c r="M12" i="23"/>
  <c r="A21" i="17"/>
  <c r="C20" i="17"/>
  <c r="B20" i="17" s="1"/>
  <c r="E21" i="11"/>
  <c r="A22" i="11"/>
  <c r="B21" i="11"/>
  <c r="M13" i="1" l="1"/>
  <c r="B12" i="1" s="1"/>
  <c r="M13" i="23"/>
  <c r="G11" i="23"/>
  <c r="V12" i="23"/>
  <c r="AE12" i="23" s="1"/>
  <c r="A22" i="17"/>
  <c r="C21" i="17"/>
  <c r="B21" i="17" s="1"/>
  <c r="E22" i="11"/>
  <c r="B22" i="11"/>
  <c r="A23" i="11"/>
  <c r="M14" i="1" l="1"/>
  <c r="G12" i="1" s="1"/>
  <c r="M14" i="23"/>
  <c r="V13" i="23"/>
  <c r="AE13" i="23" s="1"/>
  <c r="B12" i="23"/>
  <c r="A23" i="17"/>
  <c r="C22" i="17"/>
  <c r="B22" i="17" s="1"/>
  <c r="E23" i="11"/>
  <c r="B23" i="11"/>
  <c r="A24" i="11"/>
  <c r="M15" i="1" l="1"/>
  <c r="B13" i="1" s="1"/>
  <c r="M15" i="23"/>
  <c r="G12" i="23"/>
  <c r="V14" i="23"/>
  <c r="AE14" i="23" s="1"/>
  <c r="A24" i="17"/>
  <c r="C23" i="17"/>
  <c r="B23" i="17" s="1"/>
  <c r="E24" i="11"/>
  <c r="B24" i="11"/>
  <c r="A25" i="11"/>
  <c r="M16" i="1" l="1"/>
  <c r="G13" i="1" s="1"/>
  <c r="M16" i="23"/>
  <c r="V15" i="23"/>
  <c r="AE15" i="23" s="1"/>
  <c r="B13" i="23"/>
  <c r="A25" i="17"/>
  <c r="C24" i="17"/>
  <c r="B24" i="17" s="1"/>
  <c r="E25" i="11"/>
  <c r="A26" i="11"/>
  <c r="B25" i="11"/>
  <c r="B4" i="1" l="1"/>
  <c r="B4" i="23"/>
  <c r="G13" i="23"/>
  <c r="V16" i="23"/>
  <c r="AE16" i="23" s="1"/>
  <c r="A26" i="17"/>
  <c r="C25" i="17"/>
  <c r="B25" i="17" s="1"/>
  <c r="E26" i="11"/>
  <c r="B26" i="11"/>
  <c r="A27" i="11"/>
  <c r="B5" i="1" l="1"/>
  <c r="B5" i="23"/>
  <c r="A27" i="17"/>
  <c r="C26" i="17"/>
  <c r="B26" i="17" s="1"/>
  <c r="E27" i="11"/>
  <c r="B27" i="11"/>
  <c r="A28" i="11"/>
  <c r="B6" i="1" l="1"/>
  <c r="B6" i="23"/>
  <c r="A28" i="17"/>
  <c r="C27" i="17"/>
  <c r="B27" i="17" s="1"/>
  <c r="E28" i="11"/>
  <c r="A29" i="11"/>
  <c r="B28" i="11"/>
  <c r="G4" i="1" l="1"/>
  <c r="G4" i="23"/>
  <c r="A29" i="17"/>
  <c r="C28" i="17"/>
  <c r="B28" i="17" s="1"/>
  <c r="E29" i="11"/>
  <c r="A30" i="11"/>
  <c r="B29" i="11"/>
  <c r="G5" i="1" l="1"/>
  <c r="G5" i="23"/>
  <c r="A30" i="17"/>
  <c r="C29" i="17"/>
  <c r="B29" i="17" s="1"/>
  <c r="E30" i="11"/>
  <c r="B30" i="11"/>
  <c r="A31" i="11"/>
  <c r="G6" i="1" l="1"/>
  <c r="G6" i="23"/>
  <c r="C30" i="17"/>
  <c r="B30" i="17" s="1"/>
  <c r="A31" i="17"/>
  <c r="E31" i="11"/>
  <c r="B31" i="11"/>
  <c r="A32" i="11"/>
  <c r="B7" i="1" l="1"/>
  <c r="B7" i="23"/>
  <c r="C31" i="17"/>
  <c r="B31" i="17" s="1"/>
  <c r="A32" i="17"/>
  <c r="E32" i="11"/>
  <c r="B32" i="11"/>
  <c r="A33" i="11"/>
  <c r="B26" i="1" l="1"/>
  <c r="B26" i="23"/>
  <c r="C32" i="17"/>
  <c r="B32" i="17" s="1"/>
  <c r="A33" i="17"/>
  <c r="E33" i="11"/>
  <c r="A34" i="11"/>
  <c r="B33" i="11"/>
  <c r="B27" i="1" l="1"/>
  <c r="B27" i="23"/>
  <c r="C33" i="17"/>
  <c r="B33" i="17" s="1"/>
  <c r="A34" i="17"/>
  <c r="E34" i="11"/>
  <c r="A35" i="11"/>
  <c r="B34" i="11"/>
  <c r="G27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1" s="1"/>
  <c r="G8" i="1" s="1"/>
  <c r="A39" i="17"/>
  <c r="B32" i="1"/>
  <c r="B31" i="23"/>
  <c r="E39" i="11"/>
  <c r="B39" i="11"/>
  <c r="A40" i="11"/>
  <c r="B8" i="23" l="1"/>
  <c r="G8" i="23" s="1"/>
  <c r="A40" i="17"/>
  <c r="C39" i="17"/>
  <c r="B39" i="17" s="1"/>
  <c r="E40" i="11"/>
  <c r="B40" i="11"/>
  <c r="A41" i="11"/>
  <c r="C8" i="23" l="1"/>
  <c r="H8" i="23" s="1"/>
  <c r="C8" i="1"/>
  <c r="H8" i="1" s="1"/>
  <c r="A41" i="17"/>
  <c r="C40" i="17"/>
  <c r="B40" i="17" s="1"/>
  <c r="E41" i="11"/>
  <c r="A42" i="11"/>
  <c r="B41" i="11"/>
  <c r="D8" i="1" l="1"/>
  <c r="I8" i="1" s="1"/>
  <c r="D8" i="23"/>
  <c r="I8" i="23" s="1"/>
  <c r="A42" i="17"/>
  <c r="C41" i="17"/>
  <c r="B41" i="17" s="1"/>
  <c r="E42" i="11"/>
  <c r="A43" i="11"/>
  <c r="B42" i="11"/>
  <c r="E8" i="1" l="1"/>
  <c r="J8" i="1" s="1"/>
  <c r="E8" i="23"/>
  <c r="J8" i="23" s="1"/>
  <c r="A43" i="17"/>
  <c r="C42" i="17"/>
  <c r="B42" i="17" s="1"/>
  <c r="E43" i="11"/>
  <c r="B43" i="11"/>
  <c r="A44" i="11"/>
  <c r="F8" i="1" l="1"/>
  <c r="K8" i="1" s="1"/>
  <c r="F8" i="23"/>
  <c r="K8" i="23" s="1"/>
  <c r="A44" i="17"/>
  <c r="C43" i="17"/>
  <c r="B43" i="17" s="1"/>
  <c r="E44" i="11"/>
  <c r="A45" i="11"/>
  <c r="B44" i="11"/>
  <c r="N6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6" i="1"/>
  <c r="A46" i="17"/>
  <c r="C45" i="17"/>
  <c r="B45" i="17" s="1"/>
  <c r="E46" i="11"/>
  <c r="B46" i="11"/>
  <c r="A47" i="11"/>
  <c r="P6" i="23" l="1"/>
  <c r="Y6" i="23" s="1"/>
  <c r="AH6" i="23" s="1"/>
  <c r="P6" i="1"/>
  <c r="A47" i="17"/>
  <c r="C46" i="17"/>
  <c r="B46" i="17" s="1"/>
  <c r="E47" i="11"/>
  <c r="B47" i="11"/>
  <c r="A48" i="11"/>
  <c r="A48" i="17" l="1"/>
  <c r="C47" i="17"/>
  <c r="B47" i="17" s="1"/>
  <c r="Q6" i="1"/>
  <c r="Q6" i="23"/>
  <c r="Z6" i="23" s="1"/>
  <c r="AI6" i="23" s="1"/>
  <c r="E48" i="11"/>
  <c r="B48" i="11"/>
  <c r="A49" i="11"/>
  <c r="R6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0" i="1" s="1"/>
  <c r="S6" i="1"/>
  <c r="S6" i="23"/>
  <c r="AB6" i="23" s="1"/>
  <c r="AK6" i="23" s="1"/>
  <c r="E50" i="11"/>
  <c r="A51" i="11"/>
  <c r="B50" i="11"/>
  <c r="T6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4" i="1" l="1"/>
</calcChain>
</file>

<file path=xl/sharedStrings.xml><?xml version="1.0" encoding="utf-8"?>
<sst xmlns="http://schemas.openxmlformats.org/spreadsheetml/2006/main" count="628" uniqueCount="490">
  <si>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</si>
  <si>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</si>
  <si>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</si>
  <si>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</si>
  <si>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</si>
  <si>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</si>
  <si>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</si>
  <si>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</si>
  <si>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</si>
  <si>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</si>
  <si>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</si>
  <si>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</si>
  <si>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</si>
  <si>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</si>
  <si>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</si>
  <si>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</si>
  <si>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</si>
  <si>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</si>
  <si>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</si>
  <si>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</si>
  <si>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</si>
  <si>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</si>
  <si>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</si>
  <si>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</si>
  <si>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</si>
  <si>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</si>
  <si>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</si>
  <si>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</si>
  <si>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</si>
  <si>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</si>
  <si>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</si>
  <si>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</si>
  <si>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</si>
  <si>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</si>
  <si>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</si>
  <si>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</si>
  <si>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</si>
  <si>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</si>
  <si>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</si>
  <si>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</si>
  <si>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</si>
  <si>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</si>
  <si>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</si>
  <si>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</si>
  <si>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</si>
  <si>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</si>
  <si>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</si>
  <si>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</si>
  <si>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</si>
  <si>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</si>
  <si>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</si>
  <si>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</si>
  <si>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</si>
  <si>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</si>
  <si>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</si>
  <si>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</si>
  <si>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</si>
  <si>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</si>
  <si>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</si>
  <si>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</si>
  <si>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</si>
  <si>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</si>
  <si>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</si>
  <si>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</si>
  <si>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</si>
  <si>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</si>
  <si>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</si>
  <si>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</si>
  <si>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</si>
  <si>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</si>
  <si>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</si>
  <si>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</si>
  <si>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</si>
  <si>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</si>
  <si>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</si>
  <si>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</si>
  <si>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</si>
  <si>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</si>
  <si>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</si>
  <si>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</si>
  <si>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</si>
  <si>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</si>
  <si>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</si>
  <si>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</si>
  <si>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</si>
  <si>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</si>
  <si>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</si>
  <si>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</si>
  <si>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</si>
  <si>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</si>
  <si>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</si>
  <si>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</si>
  <si>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</si>
  <si>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</si>
  <si>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</si>
  <si>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</si>
  <si>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</si>
  <si>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</si>
  <si>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</si>
  <si>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</si>
  <si>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</si>
  <si>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</si>
  <si>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</si>
  <si>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</si>
  <si>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</si>
  <si>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</si>
  <si>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</si>
  <si>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</si>
  <si>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</si>
  <si>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</si>
  <si>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</si>
  <si>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</si>
  <si>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</si>
  <si>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</si>
  <si>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</si>
  <si>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</si>
  <si>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</si>
  <si>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</si>
  <si>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</si>
  <si>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</si>
  <si>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</si>
  <si>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</si>
  <si>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</si>
  <si>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</si>
  <si>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</si>
  <si>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</si>
  <si>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</si>
  <si>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</si>
  <si>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</si>
  <si>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</si>
  <si>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</si>
  <si>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</si>
  <si>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</si>
  <si>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</si>
  <si>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</si>
  <si>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</si>
  <si>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</si>
  <si>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</si>
  <si>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</si>
  <si>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</si>
  <si>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</si>
  <si>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</si>
  <si>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</si>
  <si>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</si>
  <si>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</si>
  <si>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</si>
  <si>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</si>
  <si>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</si>
  <si>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</si>
  <si>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</si>
  <si>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</si>
  <si>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</si>
  <si>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</si>
  <si>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</si>
  <si>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</si>
  <si>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</si>
  <si>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</si>
  <si>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</si>
  <si>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</si>
  <si>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</si>
  <si>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</si>
  <si>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</si>
  <si>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</si>
  <si>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</si>
  <si>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</si>
  <si>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</si>
  <si>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</si>
  <si>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</si>
  <si>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</si>
  <si>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</si>
  <si>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</si>
  <si>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</si>
  <si>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</si>
  <si>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</si>
  <si>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</si>
  <si>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</si>
  <si>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</si>
  <si>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</si>
  <si>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</si>
  <si>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</si>
  <si>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</si>
  <si>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</si>
  <si>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</si>
  <si>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</si>
  <si>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</si>
  <si>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</si>
  <si>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</si>
  <si>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</si>
  <si>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</si>
  <si>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</si>
  <si>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</si>
  <si>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</si>
  <si>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</si>
  <si>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</si>
  <si>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</si>
  <si>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</si>
  <si>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</si>
  <si>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</si>
  <si>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</si>
  <si>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</si>
  <si>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</si>
  <si>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</si>
  <si>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</si>
  <si>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</si>
  <si>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</si>
  <si>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</si>
  <si>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</si>
  <si>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</si>
  <si>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</si>
  <si>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</si>
  <si>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</si>
  <si>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</si>
  <si>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</si>
  <si>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</si>
  <si>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</si>
  <si>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</si>
  <si>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</si>
  <si>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</si>
  <si>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</si>
  <si>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</si>
  <si>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</si>
  <si>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</si>
  <si>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</si>
  <si>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</si>
  <si>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</si>
  <si>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</si>
  <si>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</si>
  <si>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</si>
  <si>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</si>
  <si>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</si>
  <si>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</si>
  <si>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</si>
  <si>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</si>
  <si>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</si>
  <si>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</si>
  <si>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</si>
  <si>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</si>
  <si>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</si>
  <si>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</si>
  <si>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</si>
  <si>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</si>
  <si>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</si>
  <si>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</si>
  <si>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</si>
  <si>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</si>
  <si>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</si>
  <si>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</si>
  <si>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</si>
  <si>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</si>
  <si>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</si>
  <si>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</si>
  <si>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</si>
  <si>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</si>
  <si>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</si>
  <si>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</si>
  <si>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</si>
  <si>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</si>
  <si>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</si>
  <si>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</si>
  <si>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</si>
  <si>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</si>
  <si>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</si>
  <si>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</si>
  <si>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</si>
  <si>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</si>
  <si>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</si>
  <si>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</si>
  <si>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</si>
  <si>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</si>
  <si>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</si>
  <si>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</si>
  <si>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</si>
  <si>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</si>
  <si>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</si>
  <si>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</si>
  <si>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</si>
  <si>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</si>
  <si>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</si>
  <si>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</si>
  <si>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</si>
  <si>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</si>
  <si>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</si>
  <si>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</si>
  <si>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</si>
  <si>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</si>
  <si>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</si>
  <si>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</si>
  <si>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</si>
  <si>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</si>
  <si>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</si>
  <si>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</si>
  <si>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</si>
  <si>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</si>
  <si>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</si>
  <si>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</si>
  <si>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</si>
  <si>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</si>
  <si>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</si>
  <si>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</si>
  <si>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</si>
  <si>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</si>
  <si>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</si>
  <si>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</si>
  <si>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</si>
  <si>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</si>
  <si>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</si>
  <si>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</si>
  <si>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</si>
  <si>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</si>
  <si>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</si>
  <si>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</si>
  <si>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</si>
  <si>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</si>
  <si>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</si>
  <si>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</si>
  <si>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</si>
  <si>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</si>
  <si>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</si>
  <si>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</si>
  <si>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</si>
  <si>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</si>
  <si>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</si>
  <si>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</si>
  <si>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</si>
  <si>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</si>
  <si>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</si>
  <si>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</si>
  <si>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</si>
  <si>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</si>
  <si>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</si>
  <si>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</si>
  <si>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</si>
  <si>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</si>
  <si>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</si>
  <si>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</si>
  <si>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</si>
  <si>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</si>
  <si>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</si>
  <si>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</si>
  <si>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</si>
  <si>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</si>
  <si>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</si>
  <si>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</si>
  <si>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</si>
  <si>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</si>
  <si>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</si>
  <si>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</si>
  <si>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</si>
  <si>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</si>
  <si>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</si>
  <si>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</si>
  <si>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</si>
  <si>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</si>
  <si>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</si>
  <si>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</si>
  <si>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</si>
  <si>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</si>
  <si>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</si>
  <si>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</si>
  <si>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</si>
  <si>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</si>
  <si>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</si>
  <si>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</si>
  <si>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</si>
  <si>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</si>
  <si>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</si>
  <si>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</si>
  <si>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</si>
  <si>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</si>
  <si>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</si>
  <si>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</si>
  <si>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</si>
  <si>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</si>
  <si>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</si>
  <si>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</si>
  <si>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</si>
  <si>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</si>
  <si>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</si>
  <si>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</si>
  <si>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</si>
  <si>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</si>
  <si>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</si>
  <si>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</si>
  <si>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</si>
  <si>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</si>
  <si>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</si>
  <si>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</si>
  <si>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</si>
  <si>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</si>
  <si>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</si>
  <si>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</si>
  <si>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</si>
  <si>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</si>
  <si>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</si>
  <si>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</si>
  <si>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</si>
  <si>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</si>
  <si>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</si>
  <si>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</si>
  <si>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</si>
  <si>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</si>
  <si>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[0.355812]</t>
  </si>
  <si>
    <t>1 [0.761957]</t>
  </si>
  <si>
    <t>1 [1.167055]</t>
  </si>
  <si>
    <t>1 [1.578298]</t>
  </si>
  <si>
    <t>1 [1.982435]</t>
  </si>
  <si>
    <t>1 [2.385968]</t>
  </si>
  <si>
    <t>1 [2.793954]</t>
  </si>
  <si>
    <t>1 [3.196042]</t>
  </si>
  <si>
    <t>1 [3.610081]</t>
  </si>
  <si>
    <t>1 [4.008935]</t>
  </si>
  <si>
    <t>1 [4.419885]</t>
  </si>
  <si>
    <t>1 [4.824989]</t>
  </si>
  <si>
    <t>1 [5.224781]</t>
  </si>
  <si>
    <t>1 [5.630209]</t>
  </si>
  <si>
    <t>1 [6.034557]</t>
  </si>
  <si>
    <t>1 [6.439106]</t>
  </si>
  <si>
    <t>1 [6.857202]</t>
  </si>
  <si>
    <t>1 [7.253234]</t>
  </si>
  <si>
    <t>1 [7.657999]</t>
  </si>
  <si>
    <t>1 [8.063283]</t>
  </si>
  <si>
    <t>1 [8.477083]</t>
  </si>
  <si>
    <t>1 [8.877112]</t>
  </si>
  <si>
    <t>1 [9.282224]</t>
  </si>
  <si>
    <t>1 [9.689055]</t>
  </si>
  <si>
    <t>1 [10.090070]</t>
  </si>
  <si>
    <t>1 [10.499775]</t>
  </si>
  <si>
    <t>1 [10.900328]</t>
  </si>
  <si>
    <t>1 [11.317256]</t>
  </si>
  <si>
    <t>1 [11.713924]</t>
  </si>
  <si>
    <t>1 [12.122206]</t>
  </si>
  <si>
    <t>1 [12.525478]</t>
  </si>
  <si>
    <t>1 [12.942483]</t>
  </si>
  <si>
    <t>1 [13.338282]</t>
  </si>
  <si>
    <t>1 [13.744042]</t>
  </si>
  <si>
    <t>1 [14.150753]</t>
  </si>
  <si>
    <t>1 [14.554365]</t>
  </si>
  <si>
    <t>1 [14.958324]</t>
  </si>
  <si>
    <t>2 [15.443316]</t>
  </si>
  <si>
    <t>2 [15.835396]</t>
  </si>
  <si>
    <t>2 [16.222258]</t>
  </si>
  <si>
    <t>2 [16.625629]</t>
  </si>
  <si>
    <t>2 [17.032445]</t>
  </si>
  <si>
    <t>2 [17.440533]</t>
  </si>
  <si>
    <t>2 [17.844238]</t>
  </si>
  <si>
    <t>2 [18.255908]</t>
  </si>
  <si>
    <t>2 [18.665265]</t>
  </si>
  <si>
    <t>2 [19.058662]</t>
  </si>
  <si>
    <t>2 [19.470232]</t>
  </si>
  <si>
    <t>2 [19.886361]</t>
  </si>
  <si>
    <t>2 [20.280838]</t>
  </si>
  <si>
    <t>2 [20.682674]</t>
  </si>
  <si>
    <t>2 [21.089029]</t>
  </si>
  <si>
    <t>2 [21.498021]</t>
  </si>
  <si>
    <t>2 [21.903341]</t>
  </si>
  <si>
    <t>2 [22.309639]</t>
  </si>
  <si>
    <t>2 [22.717148]</t>
  </si>
  <si>
    <t>2 [23.116775]</t>
  </si>
  <si>
    <t>2 [23.526561]</t>
  </si>
  <si>
    <t>2 [23.931848]</t>
  </si>
  <si>
    <t>2 [24.337686]</t>
  </si>
  <si>
    <t>2 [24.741237]</t>
  </si>
  <si>
    <t>2 [25.153963]</t>
  </si>
  <si>
    <t>2 [25.558165]</t>
  </si>
  <si>
    <t>2 [25.972397]</t>
  </si>
  <si>
    <t>2 [26.374802]</t>
  </si>
  <si>
    <t>2 [26.773946]</t>
  </si>
  <si>
    <t>2 [27.187059]</t>
  </si>
  <si>
    <t>2 [27.583883]</t>
  </si>
  <si>
    <t>2 [27.989048]</t>
  </si>
  <si>
    <t>2 [28.391029]</t>
  </si>
  <si>
    <t>2 [28.797068]</t>
  </si>
  <si>
    <t>2 [29.207762]</t>
  </si>
  <si>
    <t>2 [29.623108]</t>
  </si>
  <si>
    <t>2 [30.022006]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</si>
  <si>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</si>
  <si>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</si>
  <si>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</si>
  <si>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</si>
  <si>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</si>
  <si>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</si>
  <si>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</si>
  <si>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</si>
  <si>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</si>
  <si>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</si>
  <si>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</si>
  <si>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</si>
  <si>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</si>
  <si>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反应灵敏度</t>
    <phoneticPr fontId="1" type="noConversion"/>
  </si>
  <si>
    <t>反应程度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</si>
</sst>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2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宋体"/>
      <family val="3"/>
      <charset val="134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2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8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0" fillId="0" borderId="0" xfId="0" applyNumberFormat="1">
      <alignment vertical="center"/>
    </xf>
    <xf numFmtId="11" fontId="0" fillId="0" borderId="0" xfId="0" quotePrefix="1" applyNumberFormat="1">
      <alignment vertical="center"/>
    </xf>
    <xf numFmtId="0" fontId="0" fillId="0" borderId="0" xfId="0" applyNumberFormat="1" applyBorder="1">
      <alignment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3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10" fillId="0" borderId="32" xfId="0" applyFont="1" applyBorder="1" applyAlignment="1">
      <alignment vertical="center"/>
    </xf>
    <xf numFmtId="0" fontId="5" fillId="0" borderId="36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16" fillId="0" borderId="7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10" xfId="0" applyFont="1" applyBorder="1" applyAlignment="1">
      <alignment vertical="center" wrapText="1"/>
    </xf>
    <xf numFmtId="0" fontId="16" fillId="0" borderId="8" xfId="0" applyFont="1" applyBorder="1" applyAlignment="1">
      <alignment vertical="center" wrapText="1"/>
    </xf>
    <xf numFmtId="0" fontId="16" fillId="0" borderId="9" xfId="0" applyFont="1" applyBorder="1" applyAlignment="1">
      <alignment vertical="center" wrapText="1"/>
    </xf>
    <xf numFmtId="0" fontId="16" fillId="0" borderId="28" xfId="0" applyFont="1" applyBorder="1" applyAlignment="1">
      <alignment vertical="center" wrapText="1"/>
    </xf>
    <xf numFmtId="0" fontId="0" fillId="0" borderId="25" xfId="0" applyBorder="1" applyAlignment="1">
      <alignment horizontal="center" vertical="center"/>
    </xf>
    <xf numFmtId="176" fontId="31" fillId="3" borderId="45" xfId="1" applyFont="1" applyFill="1" applyBorder="1" applyAlignment="1">
      <alignment horizontal="center" vertical="center" wrapText="1"/>
    </xf>
    <xf numFmtId="0" fontId="3" fillId="0" borderId="45" xfId="0" applyFont="1" applyBorder="1" applyAlignment="1">
      <alignment horizontal="center" vertical="center"/>
    </xf>
    <xf numFmtId="176" fontId="18" fillId="3" borderId="45" xfId="1" applyFont="1" applyFill="1" applyBorder="1" applyAlignment="1">
      <alignment horizontal="center" vertical="center" wrapText="1"/>
    </xf>
  </cellXfs>
  <cellStyles count="3">
    <cellStyle name="常规" xfId="0" builtinId="0"/>
    <cellStyle name="千位分隔[0]" xfId="1" builtinId="6"/>
    <cellStyle name="표준 2" xfId="2" xr:uid="{00000000-0005-0000-0000-000002000000}"/>
  </cellStyles>
  <dxfs count="0"/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49E-2"/>
                  <c:y val="-7.4766355140187049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Measurement!$N$7:$N$16</c:f>
              <c:numCache>
                <c:formatCode>0.00</c:formatCode>
                <c:ptCount val="10"/>
                <c:pt idx="0">
                  <c:v>39.613399999999999</c:v>
                </c:pt>
                <c:pt idx="1">
                  <c:v>31.475300000000001</c:v>
                </c:pt>
                <c:pt idx="2">
                  <c:v>30.9588</c:v>
                </c:pt>
                <c:pt idx="3">
                  <c:v>32.452399999999997</c:v>
                </c:pt>
                <c:pt idx="4">
                  <c:v>43.943399999999997</c:v>
                </c:pt>
                <c:pt idx="5">
                  <c:v>66.266400000000004</c:v>
                </c:pt>
                <c:pt idx="6">
                  <c:v>17.222899999999999</c:v>
                </c:pt>
                <c:pt idx="7">
                  <c:v>54.762599999999999</c:v>
                </c:pt>
                <c:pt idx="8">
                  <c:v>17.728400000000001</c:v>
                </c:pt>
                <c:pt idx="9">
                  <c:v>26.7408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14784"/>
        <c:axId val="165416320"/>
      </c:radarChart>
      <c:catAx>
        <c:axId val="1654147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65416320"/>
        <c:crosses val="autoZero"/>
        <c:auto val="0"/>
        <c:lblAlgn val="ctr"/>
        <c:lblOffset val="100"/>
        <c:noMultiLvlLbl val="0"/>
      </c:catAx>
      <c:valAx>
        <c:axId val="16541632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165414784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276E-2"/>
          <c:y val="8.1659167604049565E-2"/>
          <c:w val="0.89906848600446687"/>
          <c:h val="0.64620547431571118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35F7-4AD4-9870-89C9BF4FE14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35F7-4AD4-9870-89C9BF4FE14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35F7-4AD4-9870-89C9BF4FE1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Measurement!$O$17:$O$19</c:f>
              <c:numCache>
                <c:formatCode>0.0%</c:formatCode>
                <c:ptCount val="3"/>
                <c:pt idx="0">
                  <c:v>0.44916224888667999</c:v>
                </c:pt>
                <c:pt idx="1">
                  <c:v>0.3315797803732235</c:v>
                </c:pt>
                <c:pt idx="2">
                  <c:v>0.21925797074009648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86E-2"/>
          <c:y val="0.78944553805774254"/>
          <c:w val="0.91304347826086962"/>
          <c:h val="0.20682274090738656"/>
        </c:manualLayout>
      </c:layout>
      <c:overlay val="0"/>
      <c:txPr>
        <a:bodyPr/>
        <a:lstStyle/>
        <a:p>
          <a:pPr>
            <a:defRPr lang="en-US"/>
          </a:pPr>
          <a:endParaRPr lang="zh-CN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26E-2"/>
          <c:w val="0.95277777777777772"/>
          <c:h val="0.807631233595803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1.918156862745098E-2</c:v>
                </c:pt>
                <c:pt idx="2">
                  <c:v>3.8363137254901959E-2</c:v>
                </c:pt>
                <c:pt idx="3">
                  <c:v>5.7544705882352942E-2</c:v>
                </c:pt>
                <c:pt idx="4">
                  <c:v>7.6726274509803918E-2</c:v>
                </c:pt>
                <c:pt idx="5">
                  <c:v>9.5907843137254908E-2</c:v>
                </c:pt>
                <c:pt idx="6">
                  <c:v>0.11508941176470588</c:v>
                </c:pt>
                <c:pt idx="7">
                  <c:v>0.13427098039215687</c:v>
                </c:pt>
                <c:pt idx="8">
                  <c:v>0.15345254901960784</c:v>
                </c:pt>
                <c:pt idx="9">
                  <c:v>0.17263411764705883</c:v>
                </c:pt>
                <c:pt idx="10">
                  <c:v>0.19181568627450982</c:v>
                </c:pt>
                <c:pt idx="11">
                  <c:v>0.21099725490196078</c:v>
                </c:pt>
                <c:pt idx="12">
                  <c:v>0.23017882352941177</c:v>
                </c:pt>
                <c:pt idx="13">
                  <c:v>0.24936039215686276</c:v>
                </c:pt>
                <c:pt idx="14">
                  <c:v>0.26854196078431375</c:v>
                </c:pt>
                <c:pt idx="15">
                  <c:v>0.28772352941176471</c:v>
                </c:pt>
                <c:pt idx="16">
                  <c:v>0.30690509803921567</c:v>
                </c:pt>
                <c:pt idx="17">
                  <c:v>0.32608666666666669</c:v>
                </c:pt>
                <c:pt idx="18">
                  <c:v>0.34526823529411765</c:v>
                </c:pt>
                <c:pt idx="19">
                  <c:v>0.36444980392156862</c:v>
                </c:pt>
                <c:pt idx="20">
                  <c:v>0.38363137254901963</c:v>
                </c:pt>
                <c:pt idx="21">
                  <c:v>0.4028129411764706</c:v>
                </c:pt>
                <c:pt idx="22">
                  <c:v>0.42199450980392156</c:v>
                </c:pt>
                <c:pt idx="23">
                  <c:v>0.44117607843137258</c:v>
                </c:pt>
                <c:pt idx="24">
                  <c:v>0.46035764705882354</c:v>
                </c:pt>
                <c:pt idx="25">
                  <c:v>0.4795392156862745</c:v>
                </c:pt>
                <c:pt idx="26">
                  <c:v>0.49872078431372552</c:v>
                </c:pt>
                <c:pt idx="27">
                  <c:v>0.51790235294117648</c:v>
                </c:pt>
                <c:pt idx="28">
                  <c:v>0.5370839215686275</c:v>
                </c:pt>
                <c:pt idx="29">
                  <c:v>0.5562654901960784</c:v>
                </c:pt>
                <c:pt idx="30">
                  <c:v>0.57544705882352942</c:v>
                </c:pt>
                <c:pt idx="31">
                  <c:v>0.59462862745098044</c:v>
                </c:pt>
                <c:pt idx="32">
                  <c:v>0.61381019607843135</c:v>
                </c:pt>
                <c:pt idx="33">
                  <c:v>0.63299176470588248</c:v>
                </c:pt>
                <c:pt idx="34">
                  <c:v>0.65217333333333338</c:v>
                </c:pt>
                <c:pt idx="35">
                  <c:v>0.6713549019607844</c:v>
                </c:pt>
                <c:pt idx="36">
                  <c:v>0.69053647058823531</c:v>
                </c:pt>
                <c:pt idx="37">
                  <c:v>0.70971803921568632</c:v>
                </c:pt>
                <c:pt idx="38">
                  <c:v>0.72889960784313723</c:v>
                </c:pt>
                <c:pt idx="39">
                  <c:v>0.74808117647058836</c:v>
                </c:pt>
                <c:pt idx="40">
                  <c:v>0.76726274509803927</c:v>
                </c:pt>
                <c:pt idx="41">
                  <c:v>0.78644431372549028</c:v>
                </c:pt>
                <c:pt idx="42">
                  <c:v>0.80562588235294119</c:v>
                </c:pt>
                <c:pt idx="43">
                  <c:v>0.82480745098039221</c:v>
                </c:pt>
                <c:pt idx="44">
                  <c:v>0.84398901960784312</c:v>
                </c:pt>
                <c:pt idx="45">
                  <c:v>0.86317058823529424</c:v>
                </c:pt>
                <c:pt idx="46">
                  <c:v>0.88235215686274515</c:v>
                </c:pt>
                <c:pt idx="47">
                  <c:v>0.90153372549019617</c:v>
                </c:pt>
                <c:pt idx="48">
                  <c:v>0.92071529411764708</c:v>
                </c:pt>
                <c:pt idx="49">
                  <c:v>0.93989686274509809</c:v>
                </c:pt>
                <c:pt idx="50">
                  <c:v>0.959078431372549</c:v>
                </c:pt>
                <c:pt idx="51">
                  <c:v>0.97826000000000013</c:v>
                </c:pt>
                <c:pt idx="52">
                  <c:v>0.99744156862745104</c:v>
                </c:pt>
                <c:pt idx="53">
                  <c:v>1.0166231372549022</c:v>
                </c:pt>
                <c:pt idx="54">
                  <c:v>1.035804705882353</c:v>
                </c:pt>
                <c:pt idx="55">
                  <c:v>1.054986274509804</c:v>
                </c:pt>
                <c:pt idx="56">
                  <c:v>1.074167843137255</c:v>
                </c:pt>
                <c:pt idx="57">
                  <c:v>1.093349411764706</c:v>
                </c:pt>
                <c:pt idx="58">
                  <c:v>1.1125309803921568</c:v>
                </c:pt>
                <c:pt idx="59">
                  <c:v>1.131712549019608</c:v>
                </c:pt>
                <c:pt idx="60">
                  <c:v>1.1508941176470588</c:v>
                </c:pt>
                <c:pt idx="61">
                  <c:v>1.1700756862745099</c:v>
                </c:pt>
                <c:pt idx="62">
                  <c:v>1.1892572549019609</c:v>
                </c:pt>
                <c:pt idx="63">
                  <c:v>1.2084388235294119</c:v>
                </c:pt>
                <c:pt idx="64">
                  <c:v>1.2276203921568627</c:v>
                </c:pt>
                <c:pt idx="65">
                  <c:v>1.2468019607843137</c:v>
                </c:pt>
                <c:pt idx="66">
                  <c:v>1.265983529411765</c:v>
                </c:pt>
                <c:pt idx="67">
                  <c:v>1.2851650980392157</c:v>
                </c:pt>
                <c:pt idx="68">
                  <c:v>1.3043466666666668</c:v>
                </c:pt>
                <c:pt idx="69">
                  <c:v>1.3235282352941176</c:v>
                </c:pt>
                <c:pt idx="70">
                  <c:v>1.3427098039215688</c:v>
                </c:pt>
                <c:pt idx="71">
                  <c:v>1.3618913725490198</c:v>
                </c:pt>
                <c:pt idx="72">
                  <c:v>1.3810729411764706</c:v>
                </c:pt>
                <c:pt idx="73">
                  <c:v>1.4002545098039216</c:v>
                </c:pt>
                <c:pt idx="74">
                  <c:v>1.4194360784313726</c:v>
                </c:pt>
                <c:pt idx="75">
                  <c:v>1.4386176470588237</c:v>
                </c:pt>
                <c:pt idx="76">
                  <c:v>1.4577992156862745</c:v>
                </c:pt>
                <c:pt idx="77">
                  <c:v>1.4769807843137255</c:v>
                </c:pt>
                <c:pt idx="78">
                  <c:v>1.4961623529411767</c:v>
                </c:pt>
                <c:pt idx="79">
                  <c:v>1.5153439215686275</c:v>
                </c:pt>
                <c:pt idx="80">
                  <c:v>1.5345254901960785</c:v>
                </c:pt>
                <c:pt idx="81">
                  <c:v>1.5537070588235293</c:v>
                </c:pt>
                <c:pt idx="82">
                  <c:v>1.5728886274509806</c:v>
                </c:pt>
                <c:pt idx="83">
                  <c:v>1.5920701960784316</c:v>
                </c:pt>
                <c:pt idx="84">
                  <c:v>1.6112517647058824</c:v>
                </c:pt>
                <c:pt idx="85">
                  <c:v>1.6304333333333334</c:v>
                </c:pt>
                <c:pt idx="86">
                  <c:v>1.6496149019607844</c:v>
                </c:pt>
                <c:pt idx="87">
                  <c:v>1.6687964705882354</c:v>
                </c:pt>
                <c:pt idx="88">
                  <c:v>1.6879780392156862</c:v>
                </c:pt>
                <c:pt idx="89">
                  <c:v>1.7071596078431373</c:v>
                </c:pt>
                <c:pt idx="90">
                  <c:v>1.7263411764705885</c:v>
                </c:pt>
                <c:pt idx="91">
                  <c:v>1.7455227450980393</c:v>
                </c:pt>
                <c:pt idx="92">
                  <c:v>1.7647043137254903</c:v>
                </c:pt>
                <c:pt idx="93">
                  <c:v>1.7838858823529411</c:v>
                </c:pt>
                <c:pt idx="94">
                  <c:v>1.8030674509803923</c:v>
                </c:pt>
                <c:pt idx="95">
                  <c:v>1.8222490196078434</c:v>
                </c:pt>
                <c:pt idx="96">
                  <c:v>1.8414305882352942</c:v>
                </c:pt>
                <c:pt idx="97">
                  <c:v>1.8606121568627452</c:v>
                </c:pt>
                <c:pt idx="98">
                  <c:v>1.8797937254901962</c:v>
                </c:pt>
                <c:pt idx="99">
                  <c:v>1.8989752941176472</c:v>
                </c:pt>
                <c:pt idx="100">
                  <c:v>1.918156862745098</c:v>
                </c:pt>
                <c:pt idx="101">
                  <c:v>1.937338431372549</c:v>
                </c:pt>
                <c:pt idx="102">
                  <c:v>1.9565200000000003</c:v>
                </c:pt>
                <c:pt idx="103">
                  <c:v>1.9757015686274511</c:v>
                </c:pt>
                <c:pt idx="104">
                  <c:v>1.9948831372549021</c:v>
                </c:pt>
                <c:pt idx="105">
                  <c:v>2.0140647058823529</c:v>
                </c:pt>
                <c:pt idx="106">
                  <c:v>2.0332462745098043</c:v>
                </c:pt>
                <c:pt idx="107">
                  <c:v>2.0524278431372549</c:v>
                </c:pt>
                <c:pt idx="108">
                  <c:v>2.0716094117647059</c:v>
                </c:pt>
                <c:pt idx="109">
                  <c:v>2.0907909803921569</c:v>
                </c:pt>
                <c:pt idx="110">
                  <c:v>2.109972549019608</c:v>
                </c:pt>
                <c:pt idx="111">
                  <c:v>2.129154117647059</c:v>
                </c:pt>
                <c:pt idx="112">
                  <c:v>2.14833568627451</c:v>
                </c:pt>
                <c:pt idx="113">
                  <c:v>2.1675172549019606</c:v>
                </c:pt>
                <c:pt idx="114">
                  <c:v>2.186698823529412</c:v>
                </c:pt>
                <c:pt idx="115">
                  <c:v>2.205880392156863</c:v>
                </c:pt>
                <c:pt idx="116">
                  <c:v>2.2250619607843136</c:v>
                </c:pt>
                <c:pt idx="117">
                  <c:v>2.2442435294117646</c:v>
                </c:pt>
                <c:pt idx="118">
                  <c:v>2.2634250980392161</c:v>
                </c:pt>
                <c:pt idx="119">
                  <c:v>2.2826066666666667</c:v>
                </c:pt>
                <c:pt idx="120">
                  <c:v>2.3017882352941177</c:v>
                </c:pt>
                <c:pt idx="121">
                  <c:v>2.3209698039215687</c:v>
                </c:pt>
                <c:pt idx="122">
                  <c:v>2.3401513725490197</c:v>
                </c:pt>
                <c:pt idx="123">
                  <c:v>2.3593329411764707</c:v>
                </c:pt>
                <c:pt idx="124">
                  <c:v>2.3785145098039218</c:v>
                </c:pt>
                <c:pt idx="125">
                  <c:v>2.3976960784313723</c:v>
                </c:pt>
                <c:pt idx="126">
                  <c:v>2.4168776470588238</c:v>
                </c:pt>
                <c:pt idx="127">
                  <c:v>2.4360592156862748</c:v>
                </c:pt>
                <c:pt idx="128">
                  <c:v>2.4552407843137254</c:v>
                </c:pt>
                <c:pt idx="129">
                  <c:v>2.4744223529411764</c:v>
                </c:pt>
                <c:pt idx="130">
                  <c:v>2.4936039215686274</c:v>
                </c:pt>
                <c:pt idx="131">
                  <c:v>2.5127854901960784</c:v>
                </c:pt>
                <c:pt idx="132">
                  <c:v>2.5319670588235299</c:v>
                </c:pt>
                <c:pt idx="133">
                  <c:v>2.5511486274509805</c:v>
                </c:pt>
                <c:pt idx="134">
                  <c:v>2.5703301960784315</c:v>
                </c:pt>
                <c:pt idx="135">
                  <c:v>2.5895117647058825</c:v>
                </c:pt>
                <c:pt idx="136">
                  <c:v>2.6086933333333335</c:v>
                </c:pt>
                <c:pt idx="137">
                  <c:v>2.6278749019607841</c:v>
                </c:pt>
                <c:pt idx="138">
                  <c:v>2.6470564705882351</c:v>
                </c:pt>
                <c:pt idx="139">
                  <c:v>2.6662380392156861</c:v>
                </c:pt>
                <c:pt idx="140">
                  <c:v>2.6854196078431376</c:v>
                </c:pt>
                <c:pt idx="141">
                  <c:v>2.7046011764705886</c:v>
                </c:pt>
                <c:pt idx="142">
                  <c:v>2.7237827450980396</c:v>
                </c:pt>
                <c:pt idx="143">
                  <c:v>2.7429643137254902</c:v>
                </c:pt>
                <c:pt idx="144">
                  <c:v>2.7621458823529412</c:v>
                </c:pt>
                <c:pt idx="145">
                  <c:v>2.7813274509803922</c:v>
                </c:pt>
                <c:pt idx="146">
                  <c:v>2.8005090196078433</c:v>
                </c:pt>
                <c:pt idx="147">
                  <c:v>2.8196905882352938</c:v>
                </c:pt>
                <c:pt idx="148">
                  <c:v>2.8388721568627453</c:v>
                </c:pt>
                <c:pt idx="149">
                  <c:v>2.8580537254901963</c:v>
                </c:pt>
                <c:pt idx="150">
                  <c:v>2.8772352941176473</c:v>
                </c:pt>
                <c:pt idx="151">
                  <c:v>2.8964168627450984</c:v>
                </c:pt>
                <c:pt idx="152">
                  <c:v>2.9155984313725489</c:v>
                </c:pt>
                <c:pt idx="153">
                  <c:v>2.9347799999999999</c:v>
                </c:pt>
                <c:pt idx="154">
                  <c:v>2.953961568627451</c:v>
                </c:pt>
                <c:pt idx="155">
                  <c:v>2.973143137254902</c:v>
                </c:pt>
                <c:pt idx="156">
                  <c:v>2.9923247058823534</c:v>
                </c:pt>
                <c:pt idx="157">
                  <c:v>3.011506274509804</c:v>
                </c:pt>
                <c:pt idx="158">
                  <c:v>3.030687843137255</c:v>
                </c:pt>
                <c:pt idx="159">
                  <c:v>3.0498694117647061</c:v>
                </c:pt>
                <c:pt idx="160">
                  <c:v>3.0690509803921571</c:v>
                </c:pt>
                <c:pt idx="161">
                  <c:v>3.0882325490196076</c:v>
                </c:pt>
                <c:pt idx="162">
                  <c:v>3.1074141176470587</c:v>
                </c:pt>
                <c:pt idx="163">
                  <c:v>3.1265956862745097</c:v>
                </c:pt>
                <c:pt idx="164">
                  <c:v>3.1457772549019611</c:v>
                </c:pt>
                <c:pt idx="165">
                  <c:v>3.1649588235294122</c:v>
                </c:pt>
                <c:pt idx="166">
                  <c:v>3.1841403921568632</c:v>
                </c:pt>
                <c:pt idx="167">
                  <c:v>3.2033219607843137</c:v>
                </c:pt>
                <c:pt idx="168">
                  <c:v>3.2225035294117648</c:v>
                </c:pt>
                <c:pt idx="169">
                  <c:v>3.2416850980392158</c:v>
                </c:pt>
                <c:pt idx="170">
                  <c:v>3.2608666666666668</c:v>
                </c:pt>
                <c:pt idx="171">
                  <c:v>3.2800482352941174</c:v>
                </c:pt>
                <c:pt idx="172">
                  <c:v>3.2992298039215688</c:v>
                </c:pt>
                <c:pt idx="173">
                  <c:v>3.3184113725490199</c:v>
                </c:pt>
                <c:pt idx="174">
                  <c:v>3.3375929411764709</c:v>
                </c:pt>
                <c:pt idx="175">
                  <c:v>3.3567745098039219</c:v>
                </c:pt>
                <c:pt idx="176">
                  <c:v>3.3759560784313725</c:v>
                </c:pt>
                <c:pt idx="177">
                  <c:v>3.3951376470588235</c:v>
                </c:pt>
                <c:pt idx="178">
                  <c:v>3.4143192156862745</c:v>
                </c:pt>
                <c:pt idx="179">
                  <c:v>3.4335007843137255</c:v>
                </c:pt>
                <c:pt idx="180">
                  <c:v>3.452682352941177</c:v>
                </c:pt>
                <c:pt idx="181">
                  <c:v>3.4718639215686276</c:v>
                </c:pt>
                <c:pt idx="182">
                  <c:v>3.4910454901960786</c:v>
                </c:pt>
                <c:pt idx="183">
                  <c:v>3.5102270588235296</c:v>
                </c:pt>
                <c:pt idx="184">
                  <c:v>3.5294086274509806</c:v>
                </c:pt>
                <c:pt idx="185">
                  <c:v>3.5485901960784316</c:v>
                </c:pt>
                <c:pt idx="186">
                  <c:v>3.5677717647058822</c:v>
                </c:pt>
                <c:pt idx="187">
                  <c:v>3.5869533333333332</c:v>
                </c:pt>
                <c:pt idx="188">
                  <c:v>3.6061349019607847</c:v>
                </c:pt>
                <c:pt idx="189">
                  <c:v>3.6253164705882357</c:v>
                </c:pt>
                <c:pt idx="190">
                  <c:v>3.6444980392156867</c:v>
                </c:pt>
                <c:pt idx="191">
                  <c:v>3.6636796078431373</c:v>
                </c:pt>
                <c:pt idx="192">
                  <c:v>3.6828611764705883</c:v>
                </c:pt>
                <c:pt idx="193">
                  <c:v>3.7020427450980393</c:v>
                </c:pt>
                <c:pt idx="194">
                  <c:v>3.7212243137254903</c:v>
                </c:pt>
                <c:pt idx="195">
                  <c:v>3.7404058823529409</c:v>
                </c:pt>
                <c:pt idx="196">
                  <c:v>3.7595874509803924</c:v>
                </c:pt>
                <c:pt idx="197">
                  <c:v>3.7787690196078434</c:v>
                </c:pt>
                <c:pt idx="198">
                  <c:v>3.7979505882352944</c:v>
                </c:pt>
                <c:pt idx="199">
                  <c:v>3.8171321568627454</c:v>
                </c:pt>
                <c:pt idx="200">
                  <c:v>3.836313725490196</c:v>
                </c:pt>
                <c:pt idx="201">
                  <c:v>3.855495294117647</c:v>
                </c:pt>
                <c:pt idx="202">
                  <c:v>3.874676862745098</c:v>
                </c:pt>
                <c:pt idx="203">
                  <c:v>3.8938584313725491</c:v>
                </c:pt>
                <c:pt idx="204">
                  <c:v>3.9130400000000005</c:v>
                </c:pt>
                <c:pt idx="205">
                  <c:v>3.9322215686274511</c:v>
                </c:pt>
                <c:pt idx="206">
                  <c:v>3.9514031372549021</c:v>
                </c:pt>
                <c:pt idx="207">
                  <c:v>3.9705847058823531</c:v>
                </c:pt>
                <c:pt idx="208">
                  <c:v>3.9897662745098041</c:v>
                </c:pt>
                <c:pt idx="209">
                  <c:v>4.0089478431372552</c:v>
                </c:pt>
                <c:pt idx="210">
                  <c:v>4.0281294117647057</c:v>
                </c:pt>
                <c:pt idx="211">
                  <c:v>4.0473109803921572</c:v>
                </c:pt>
                <c:pt idx="212">
                  <c:v>4.0664925490196087</c:v>
                </c:pt>
                <c:pt idx="213">
                  <c:v>4.0856741176470592</c:v>
                </c:pt>
                <c:pt idx="214">
                  <c:v>4.1048556862745098</c:v>
                </c:pt>
                <c:pt idx="215">
                  <c:v>4.1240372549019613</c:v>
                </c:pt>
                <c:pt idx="216">
                  <c:v>4.1432188235294118</c:v>
                </c:pt>
                <c:pt idx="217">
                  <c:v>4.1624003921568624</c:v>
                </c:pt>
                <c:pt idx="218">
                  <c:v>4.1815819607843139</c:v>
                </c:pt>
                <c:pt idx="219">
                  <c:v>4.2007635294117645</c:v>
                </c:pt>
                <c:pt idx="220">
                  <c:v>4.2199450980392159</c:v>
                </c:pt>
                <c:pt idx="221">
                  <c:v>4.2391266666666674</c:v>
                </c:pt>
                <c:pt idx="222">
                  <c:v>4.2583082352941179</c:v>
                </c:pt>
                <c:pt idx="223">
                  <c:v>4.2774898039215685</c:v>
                </c:pt>
                <c:pt idx="224">
                  <c:v>4.29667137254902</c:v>
                </c:pt>
                <c:pt idx="225">
                  <c:v>4.3158529411764706</c:v>
                </c:pt>
                <c:pt idx="226">
                  <c:v>4.3350345098039211</c:v>
                </c:pt>
                <c:pt idx="227">
                  <c:v>4.3542160784313726</c:v>
                </c:pt>
                <c:pt idx="228">
                  <c:v>4.3733976470588241</c:v>
                </c:pt>
                <c:pt idx="229">
                  <c:v>4.3925792156862746</c:v>
                </c:pt>
                <c:pt idx="230">
                  <c:v>4.4117607843137261</c:v>
                </c:pt>
                <c:pt idx="231">
                  <c:v>4.4309423529411767</c:v>
                </c:pt>
                <c:pt idx="232">
                  <c:v>4.4501239215686272</c:v>
                </c:pt>
                <c:pt idx="233">
                  <c:v>4.4693054901960787</c:v>
                </c:pt>
                <c:pt idx="234">
                  <c:v>4.4884870588235293</c:v>
                </c:pt>
                <c:pt idx="235">
                  <c:v>4.5076686274509807</c:v>
                </c:pt>
                <c:pt idx="236">
                  <c:v>4.5268501960784322</c:v>
                </c:pt>
                <c:pt idx="237">
                  <c:v>4.5460317647058828</c:v>
                </c:pt>
                <c:pt idx="238">
                  <c:v>4.5652133333333333</c:v>
                </c:pt>
                <c:pt idx="239">
                  <c:v>4.5843949019607848</c:v>
                </c:pt>
                <c:pt idx="240">
                  <c:v>4.6035764705882354</c:v>
                </c:pt>
                <c:pt idx="241">
                  <c:v>4.622758039215686</c:v>
                </c:pt>
                <c:pt idx="242">
                  <c:v>4.6419396078431374</c:v>
                </c:pt>
                <c:pt idx="243">
                  <c:v>4.661121176470588</c:v>
                </c:pt>
                <c:pt idx="244">
                  <c:v>4.6803027450980395</c:v>
                </c:pt>
                <c:pt idx="245">
                  <c:v>4.6994843137254909</c:v>
                </c:pt>
                <c:pt idx="246">
                  <c:v>4.7186658823529415</c:v>
                </c:pt>
                <c:pt idx="247">
                  <c:v>4.7378474509803921</c:v>
                </c:pt>
                <c:pt idx="248">
                  <c:v>4.7570290196078435</c:v>
                </c:pt>
                <c:pt idx="249">
                  <c:v>4.7762105882352941</c:v>
                </c:pt>
                <c:pt idx="250">
                  <c:v>4.7953921568627447</c:v>
                </c:pt>
                <c:pt idx="251">
                  <c:v>4.8145737254901961</c:v>
                </c:pt>
                <c:pt idx="252">
                  <c:v>4.8337552941176476</c:v>
                </c:pt>
                <c:pt idx="253">
                  <c:v>4.8529368627450982</c:v>
                </c:pt>
                <c:pt idx="254">
                  <c:v>4.8721184313725496</c:v>
                </c:pt>
                <c:pt idx="255">
                  <c:v>4.8913000000000002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4322</c:v>
                </c:pt>
                <c:pt idx="7">
                  <c:v>0</c:v>
                </c:pt>
                <c:pt idx="8">
                  <c:v>10476</c:v>
                </c:pt>
                <c:pt idx="9">
                  <c:v>0</c:v>
                </c:pt>
                <c:pt idx="10">
                  <c:v>0</c:v>
                </c:pt>
                <c:pt idx="11">
                  <c:v>15505</c:v>
                </c:pt>
                <c:pt idx="12">
                  <c:v>0</c:v>
                </c:pt>
                <c:pt idx="13">
                  <c:v>18019</c:v>
                </c:pt>
                <c:pt idx="14">
                  <c:v>0</c:v>
                </c:pt>
                <c:pt idx="15">
                  <c:v>0</c:v>
                </c:pt>
                <c:pt idx="16">
                  <c:v>24448</c:v>
                </c:pt>
                <c:pt idx="17">
                  <c:v>0</c:v>
                </c:pt>
                <c:pt idx="18">
                  <c:v>0</c:v>
                </c:pt>
                <c:pt idx="19">
                  <c:v>32695</c:v>
                </c:pt>
                <c:pt idx="20">
                  <c:v>0</c:v>
                </c:pt>
                <c:pt idx="21">
                  <c:v>36507</c:v>
                </c:pt>
                <c:pt idx="22">
                  <c:v>0</c:v>
                </c:pt>
                <c:pt idx="23">
                  <c:v>0</c:v>
                </c:pt>
                <c:pt idx="24">
                  <c:v>36438</c:v>
                </c:pt>
                <c:pt idx="25">
                  <c:v>0</c:v>
                </c:pt>
                <c:pt idx="26">
                  <c:v>45866</c:v>
                </c:pt>
                <c:pt idx="27">
                  <c:v>0</c:v>
                </c:pt>
                <c:pt idx="28">
                  <c:v>0</c:v>
                </c:pt>
                <c:pt idx="29">
                  <c:v>53738</c:v>
                </c:pt>
                <c:pt idx="30">
                  <c:v>0</c:v>
                </c:pt>
                <c:pt idx="31">
                  <c:v>53551</c:v>
                </c:pt>
                <c:pt idx="32">
                  <c:v>0</c:v>
                </c:pt>
                <c:pt idx="33">
                  <c:v>0</c:v>
                </c:pt>
                <c:pt idx="34">
                  <c:v>57255</c:v>
                </c:pt>
                <c:pt idx="35">
                  <c:v>0</c:v>
                </c:pt>
                <c:pt idx="36">
                  <c:v>0</c:v>
                </c:pt>
                <c:pt idx="37">
                  <c:v>59866</c:v>
                </c:pt>
                <c:pt idx="38">
                  <c:v>0</c:v>
                </c:pt>
                <c:pt idx="39">
                  <c:v>62645</c:v>
                </c:pt>
                <c:pt idx="40">
                  <c:v>0</c:v>
                </c:pt>
                <c:pt idx="41">
                  <c:v>0</c:v>
                </c:pt>
                <c:pt idx="42">
                  <c:v>62970</c:v>
                </c:pt>
                <c:pt idx="43">
                  <c:v>0</c:v>
                </c:pt>
                <c:pt idx="44">
                  <c:v>61944</c:v>
                </c:pt>
                <c:pt idx="45">
                  <c:v>0</c:v>
                </c:pt>
                <c:pt idx="46">
                  <c:v>0</c:v>
                </c:pt>
                <c:pt idx="47">
                  <c:v>67412</c:v>
                </c:pt>
                <c:pt idx="48">
                  <c:v>0</c:v>
                </c:pt>
                <c:pt idx="49">
                  <c:v>64861</c:v>
                </c:pt>
                <c:pt idx="50">
                  <c:v>0</c:v>
                </c:pt>
                <c:pt idx="51">
                  <c:v>0</c:v>
                </c:pt>
                <c:pt idx="52">
                  <c:v>71661</c:v>
                </c:pt>
                <c:pt idx="53">
                  <c:v>0</c:v>
                </c:pt>
                <c:pt idx="54">
                  <c:v>0</c:v>
                </c:pt>
                <c:pt idx="55">
                  <c:v>70746</c:v>
                </c:pt>
                <c:pt idx="56">
                  <c:v>0</c:v>
                </c:pt>
                <c:pt idx="57">
                  <c:v>67118</c:v>
                </c:pt>
                <c:pt idx="58">
                  <c:v>0</c:v>
                </c:pt>
                <c:pt idx="59">
                  <c:v>0</c:v>
                </c:pt>
                <c:pt idx="60">
                  <c:v>71452</c:v>
                </c:pt>
                <c:pt idx="61">
                  <c:v>0</c:v>
                </c:pt>
                <c:pt idx="62">
                  <c:v>70186</c:v>
                </c:pt>
                <c:pt idx="63">
                  <c:v>0</c:v>
                </c:pt>
                <c:pt idx="64">
                  <c:v>0</c:v>
                </c:pt>
                <c:pt idx="65">
                  <c:v>59214</c:v>
                </c:pt>
                <c:pt idx="66">
                  <c:v>0</c:v>
                </c:pt>
                <c:pt idx="67">
                  <c:v>55317</c:v>
                </c:pt>
                <c:pt idx="68">
                  <c:v>0</c:v>
                </c:pt>
                <c:pt idx="69">
                  <c:v>0</c:v>
                </c:pt>
                <c:pt idx="70">
                  <c:v>49111</c:v>
                </c:pt>
                <c:pt idx="71">
                  <c:v>0</c:v>
                </c:pt>
                <c:pt idx="72">
                  <c:v>0</c:v>
                </c:pt>
                <c:pt idx="73">
                  <c:v>49400</c:v>
                </c:pt>
                <c:pt idx="74">
                  <c:v>0</c:v>
                </c:pt>
                <c:pt idx="75">
                  <c:v>44842</c:v>
                </c:pt>
                <c:pt idx="76">
                  <c:v>0</c:v>
                </c:pt>
                <c:pt idx="77">
                  <c:v>0</c:v>
                </c:pt>
                <c:pt idx="78">
                  <c:v>38706</c:v>
                </c:pt>
                <c:pt idx="79">
                  <c:v>0</c:v>
                </c:pt>
                <c:pt idx="80">
                  <c:v>35730</c:v>
                </c:pt>
                <c:pt idx="81">
                  <c:v>0</c:v>
                </c:pt>
                <c:pt idx="82">
                  <c:v>0</c:v>
                </c:pt>
                <c:pt idx="83">
                  <c:v>34275</c:v>
                </c:pt>
                <c:pt idx="84">
                  <c:v>0</c:v>
                </c:pt>
                <c:pt idx="85">
                  <c:v>0</c:v>
                </c:pt>
                <c:pt idx="86">
                  <c:v>33103</c:v>
                </c:pt>
                <c:pt idx="87">
                  <c:v>0</c:v>
                </c:pt>
                <c:pt idx="88">
                  <c:v>30177</c:v>
                </c:pt>
                <c:pt idx="89">
                  <c:v>0</c:v>
                </c:pt>
                <c:pt idx="90">
                  <c:v>0</c:v>
                </c:pt>
                <c:pt idx="91">
                  <c:v>27967</c:v>
                </c:pt>
                <c:pt idx="92">
                  <c:v>0</c:v>
                </c:pt>
                <c:pt idx="93">
                  <c:v>28462</c:v>
                </c:pt>
                <c:pt idx="94">
                  <c:v>0</c:v>
                </c:pt>
                <c:pt idx="95">
                  <c:v>0</c:v>
                </c:pt>
                <c:pt idx="96">
                  <c:v>28239</c:v>
                </c:pt>
                <c:pt idx="97">
                  <c:v>0</c:v>
                </c:pt>
                <c:pt idx="98">
                  <c:v>28043</c:v>
                </c:pt>
                <c:pt idx="99">
                  <c:v>0</c:v>
                </c:pt>
                <c:pt idx="100">
                  <c:v>0</c:v>
                </c:pt>
                <c:pt idx="101">
                  <c:v>25170</c:v>
                </c:pt>
                <c:pt idx="102">
                  <c:v>0</c:v>
                </c:pt>
                <c:pt idx="103">
                  <c:v>0</c:v>
                </c:pt>
                <c:pt idx="104">
                  <c:v>24471</c:v>
                </c:pt>
                <c:pt idx="105">
                  <c:v>0</c:v>
                </c:pt>
                <c:pt idx="106">
                  <c:v>21914</c:v>
                </c:pt>
                <c:pt idx="107">
                  <c:v>0</c:v>
                </c:pt>
                <c:pt idx="108">
                  <c:v>0</c:v>
                </c:pt>
                <c:pt idx="109">
                  <c:v>24184</c:v>
                </c:pt>
                <c:pt idx="110">
                  <c:v>0</c:v>
                </c:pt>
                <c:pt idx="111">
                  <c:v>24770</c:v>
                </c:pt>
                <c:pt idx="112">
                  <c:v>0</c:v>
                </c:pt>
                <c:pt idx="113">
                  <c:v>0</c:v>
                </c:pt>
                <c:pt idx="114">
                  <c:v>24949</c:v>
                </c:pt>
                <c:pt idx="115">
                  <c:v>0</c:v>
                </c:pt>
                <c:pt idx="116">
                  <c:v>24822</c:v>
                </c:pt>
                <c:pt idx="117">
                  <c:v>0</c:v>
                </c:pt>
                <c:pt idx="118">
                  <c:v>0</c:v>
                </c:pt>
                <c:pt idx="119">
                  <c:v>29912</c:v>
                </c:pt>
                <c:pt idx="120">
                  <c:v>0</c:v>
                </c:pt>
                <c:pt idx="121">
                  <c:v>0</c:v>
                </c:pt>
                <c:pt idx="122">
                  <c:v>30445</c:v>
                </c:pt>
                <c:pt idx="123">
                  <c:v>0</c:v>
                </c:pt>
                <c:pt idx="124">
                  <c:v>27730</c:v>
                </c:pt>
                <c:pt idx="125">
                  <c:v>0</c:v>
                </c:pt>
                <c:pt idx="126">
                  <c:v>0</c:v>
                </c:pt>
                <c:pt idx="127">
                  <c:v>25771</c:v>
                </c:pt>
                <c:pt idx="128">
                  <c:v>0</c:v>
                </c:pt>
                <c:pt idx="129">
                  <c:v>29122</c:v>
                </c:pt>
                <c:pt idx="130">
                  <c:v>0</c:v>
                </c:pt>
                <c:pt idx="131">
                  <c:v>0</c:v>
                </c:pt>
                <c:pt idx="132">
                  <c:v>30137</c:v>
                </c:pt>
                <c:pt idx="133">
                  <c:v>0</c:v>
                </c:pt>
                <c:pt idx="134">
                  <c:v>32322</c:v>
                </c:pt>
                <c:pt idx="135">
                  <c:v>0</c:v>
                </c:pt>
                <c:pt idx="136">
                  <c:v>0</c:v>
                </c:pt>
                <c:pt idx="137">
                  <c:v>31141</c:v>
                </c:pt>
                <c:pt idx="138">
                  <c:v>0</c:v>
                </c:pt>
                <c:pt idx="139">
                  <c:v>0</c:v>
                </c:pt>
                <c:pt idx="140">
                  <c:v>28490</c:v>
                </c:pt>
                <c:pt idx="141">
                  <c:v>0</c:v>
                </c:pt>
                <c:pt idx="142">
                  <c:v>26092</c:v>
                </c:pt>
                <c:pt idx="143">
                  <c:v>0</c:v>
                </c:pt>
                <c:pt idx="144">
                  <c:v>0</c:v>
                </c:pt>
                <c:pt idx="145">
                  <c:v>29660</c:v>
                </c:pt>
                <c:pt idx="146">
                  <c:v>0</c:v>
                </c:pt>
                <c:pt idx="147">
                  <c:v>29256</c:v>
                </c:pt>
                <c:pt idx="148">
                  <c:v>0</c:v>
                </c:pt>
                <c:pt idx="149">
                  <c:v>0</c:v>
                </c:pt>
                <c:pt idx="150">
                  <c:v>23820</c:v>
                </c:pt>
                <c:pt idx="151">
                  <c:v>0</c:v>
                </c:pt>
                <c:pt idx="152">
                  <c:v>26604</c:v>
                </c:pt>
                <c:pt idx="153">
                  <c:v>0</c:v>
                </c:pt>
                <c:pt idx="154">
                  <c:v>0</c:v>
                </c:pt>
                <c:pt idx="155">
                  <c:v>22483</c:v>
                </c:pt>
                <c:pt idx="156">
                  <c:v>0</c:v>
                </c:pt>
                <c:pt idx="157">
                  <c:v>0</c:v>
                </c:pt>
                <c:pt idx="158">
                  <c:v>23535</c:v>
                </c:pt>
                <c:pt idx="159">
                  <c:v>0</c:v>
                </c:pt>
                <c:pt idx="160">
                  <c:v>22347</c:v>
                </c:pt>
                <c:pt idx="161">
                  <c:v>0</c:v>
                </c:pt>
                <c:pt idx="162">
                  <c:v>0</c:v>
                </c:pt>
                <c:pt idx="163">
                  <c:v>23599</c:v>
                </c:pt>
                <c:pt idx="164">
                  <c:v>0</c:v>
                </c:pt>
                <c:pt idx="165">
                  <c:v>18172</c:v>
                </c:pt>
                <c:pt idx="166">
                  <c:v>0</c:v>
                </c:pt>
                <c:pt idx="167">
                  <c:v>0</c:v>
                </c:pt>
                <c:pt idx="168">
                  <c:v>23247</c:v>
                </c:pt>
                <c:pt idx="169">
                  <c:v>0</c:v>
                </c:pt>
                <c:pt idx="170">
                  <c:v>0</c:v>
                </c:pt>
                <c:pt idx="171">
                  <c:v>21319</c:v>
                </c:pt>
                <c:pt idx="172">
                  <c:v>0</c:v>
                </c:pt>
                <c:pt idx="173">
                  <c:v>22443</c:v>
                </c:pt>
                <c:pt idx="174">
                  <c:v>0</c:v>
                </c:pt>
                <c:pt idx="175">
                  <c:v>0</c:v>
                </c:pt>
                <c:pt idx="176">
                  <c:v>23969</c:v>
                </c:pt>
                <c:pt idx="177">
                  <c:v>0</c:v>
                </c:pt>
                <c:pt idx="178">
                  <c:v>22706</c:v>
                </c:pt>
                <c:pt idx="179">
                  <c:v>0</c:v>
                </c:pt>
                <c:pt idx="180">
                  <c:v>0</c:v>
                </c:pt>
                <c:pt idx="181">
                  <c:v>14920</c:v>
                </c:pt>
                <c:pt idx="182">
                  <c:v>0</c:v>
                </c:pt>
                <c:pt idx="183">
                  <c:v>14865</c:v>
                </c:pt>
                <c:pt idx="184">
                  <c:v>0</c:v>
                </c:pt>
                <c:pt idx="185">
                  <c:v>0</c:v>
                </c:pt>
                <c:pt idx="186">
                  <c:v>12875</c:v>
                </c:pt>
                <c:pt idx="187">
                  <c:v>0</c:v>
                </c:pt>
                <c:pt idx="188">
                  <c:v>0</c:v>
                </c:pt>
                <c:pt idx="189">
                  <c:v>11243</c:v>
                </c:pt>
                <c:pt idx="190">
                  <c:v>0</c:v>
                </c:pt>
                <c:pt idx="191">
                  <c:v>5584</c:v>
                </c:pt>
                <c:pt idx="192">
                  <c:v>0</c:v>
                </c:pt>
                <c:pt idx="193">
                  <c:v>0</c:v>
                </c:pt>
                <c:pt idx="194">
                  <c:v>2806</c:v>
                </c:pt>
                <c:pt idx="195">
                  <c:v>0</c:v>
                </c:pt>
                <c:pt idx="196">
                  <c:v>265</c:v>
                </c:pt>
                <c:pt idx="197">
                  <c:v>0</c:v>
                </c:pt>
                <c:pt idx="198">
                  <c:v>0</c:v>
                </c:pt>
                <c:pt idx="199">
                  <c:v>159</c:v>
                </c:pt>
                <c:pt idx="200">
                  <c:v>0</c:v>
                </c:pt>
                <c:pt idx="201">
                  <c:v>719</c:v>
                </c:pt>
                <c:pt idx="202">
                  <c:v>0</c:v>
                </c:pt>
                <c:pt idx="203">
                  <c:v>0</c:v>
                </c:pt>
                <c:pt idx="204">
                  <c:v>323</c:v>
                </c:pt>
                <c:pt idx="205">
                  <c:v>0</c:v>
                </c:pt>
                <c:pt idx="206">
                  <c:v>0</c:v>
                </c:pt>
                <c:pt idx="207">
                  <c:v>405</c:v>
                </c:pt>
                <c:pt idx="208">
                  <c:v>0</c:v>
                </c:pt>
                <c:pt idx="209">
                  <c:v>487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467648"/>
        <c:axId val="165469184"/>
      </c:lineChart>
      <c:catAx>
        <c:axId val="165467648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65469184"/>
        <c:crosses val="autoZero"/>
        <c:auto val="1"/>
        <c:lblAlgn val="ctr"/>
        <c:lblOffset val="100"/>
        <c:tickMarkSkip val="1"/>
        <c:noMultiLvlLbl val="0"/>
      </c:catAx>
      <c:valAx>
        <c:axId val="165469184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1654676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65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  <c:pt idx="38">
                  <c:v>3.8504300000000002</c:v>
                </c:pt>
                <c:pt idx="39">
                  <c:v>3.8693100000000005</c:v>
                </c:pt>
                <c:pt idx="40">
                  <c:v>3.8855200000000001</c:v>
                </c:pt>
                <c:pt idx="41">
                  <c:v>3.89785</c:v>
                </c:pt>
                <c:pt idx="42">
                  <c:v>3.9066700000000001</c:v>
                </c:pt>
                <c:pt idx="43">
                  <c:v>3.9122499999999998</c:v>
                </c:pt>
                <c:pt idx="44">
                  <c:v>3.9161200000000003</c:v>
                </c:pt>
                <c:pt idx="45">
                  <c:v>3.9196</c:v>
                </c:pt>
                <c:pt idx="46">
                  <c:v>3.9225500000000002</c:v>
                </c:pt>
                <c:pt idx="47">
                  <c:v>3.9269700000000003</c:v>
                </c:pt>
                <c:pt idx="48">
                  <c:v>3.92882</c:v>
                </c:pt>
                <c:pt idx="49">
                  <c:v>3.9313500000000001</c:v>
                </c:pt>
                <c:pt idx="50">
                  <c:v>3.9323399999999999</c:v>
                </c:pt>
                <c:pt idx="51">
                  <c:v>3.9317899999999999</c:v>
                </c:pt>
                <c:pt idx="52">
                  <c:v>3.9310400000000003</c:v>
                </c:pt>
                <c:pt idx="53">
                  <c:v>3.9293</c:v>
                </c:pt>
                <c:pt idx="54">
                  <c:v>3.9267400000000001</c:v>
                </c:pt>
                <c:pt idx="55">
                  <c:v>3.9240999999999997</c:v>
                </c:pt>
                <c:pt idx="56">
                  <c:v>3.9236399999999998</c:v>
                </c:pt>
                <c:pt idx="57">
                  <c:v>3.9203799999999998</c:v>
                </c:pt>
                <c:pt idx="58">
                  <c:v>3.9119100000000002</c:v>
                </c:pt>
                <c:pt idx="59">
                  <c:v>3.9044800000000004</c:v>
                </c:pt>
                <c:pt idx="60">
                  <c:v>3.8985300000000001</c:v>
                </c:pt>
                <c:pt idx="61">
                  <c:v>3.8927800000000001</c:v>
                </c:pt>
                <c:pt idx="62">
                  <c:v>3.8854199999999999</c:v>
                </c:pt>
                <c:pt idx="63">
                  <c:v>3.8813300000000002</c:v>
                </c:pt>
                <c:pt idx="64">
                  <c:v>3.8771800000000001</c:v>
                </c:pt>
                <c:pt idx="65">
                  <c:v>3.8730199999999999</c:v>
                </c:pt>
                <c:pt idx="66">
                  <c:v>3.8690099999999998</c:v>
                </c:pt>
                <c:pt idx="67">
                  <c:v>3.8642300000000001</c:v>
                </c:pt>
                <c:pt idx="68">
                  <c:v>3.8610899999999999</c:v>
                </c:pt>
                <c:pt idx="69">
                  <c:v>3.8557200000000003</c:v>
                </c:pt>
                <c:pt idx="70">
                  <c:v>3.8517099999999997</c:v>
                </c:pt>
                <c:pt idx="71">
                  <c:v>3.8582999999999998</c:v>
                </c:pt>
                <c:pt idx="72">
                  <c:v>3.8618700000000001</c:v>
                </c:pt>
                <c:pt idx="73">
                  <c:v>3.88042</c:v>
                </c:pt>
                <c:pt idx="74">
                  <c:v>3.8696700000000002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  <c:pt idx="38">
                  <c:v>7.5571600000000005</c:v>
                </c:pt>
                <c:pt idx="39">
                  <c:v>7.0543999999999993</c:v>
                </c:pt>
                <c:pt idx="40">
                  <c:v>6.5027299999999997</c:v>
                </c:pt>
                <c:pt idx="41">
                  <c:v>5.9633000000000003</c:v>
                </c:pt>
                <c:pt idx="42">
                  <c:v>5.4173100000000005</c:v>
                </c:pt>
                <c:pt idx="43">
                  <c:v>4.90299</c:v>
                </c:pt>
                <c:pt idx="44">
                  <c:v>4.4160500000000003</c:v>
                </c:pt>
                <c:pt idx="45">
                  <c:v>3.9775800000000001</c:v>
                </c:pt>
                <c:pt idx="46">
                  <c:v>3.6091499999999996</c:v>
                </c:pt>
                <c:pt idx="47">
                  <c:v>3.2012199999999997</c:v>
                </c:pt>
                <c:pt idx="48">
                  <c:v>2.8512900000000001</c:v>
                </c:pt>
                <c:pt idx="49">
                  <c:v>2.5026799999999998</c:v>
                </c:pt>
                <c:pt idx="50">
                  <c:v>2.2998699999999999</c:v>
                </c:pt>
                <c:pt idx="51">
                  <c:v>2.17754</c:v>
                </c:pt>
                <c:pt idx="52">
                  <c:v>2.0075699999999999</c:v>
                </c:pt>
                <c:pt idx="53">
                  <c:v>1.8469099999999998</c:v>
                </c:pt>
                <c:pt idx="54">
                  <c:v>1.70242</c:v>
                </c:pt>
                <c:pt idx="55">
                  <c:v>1.51369</c:v>
                </c:pt>
                <c:pt idx="56">
                  <c:v>1.25244</c:v>
                </c:pt>
                <c:pt idx="57">
                  <c:v>1.03989</c:v>
                </c:pt>
                <c:pt idx="58">
                  <c:v>0.94662500000000005</c:v>
                </c:pt>
                <c:pt idx="59">
                  <c:v>0.83165900000000004</c:v>
                </c:pt>
                <c:pt idx="60">
                  <c:v>0.61427299999999996</c:v>
                </c:pt>
                <c:pt idx="61">
                  <c:v>0.42222500000000002</c:v>
                </c:pt>
                <c:pt idx="62">
                  <c:v>0.28712799999999999</c:v>
                </c:pt>
                <c:pt idx="63">
                  <c:v>9.2349200000000006E-2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7.18477E-2</c:v>
                </c:pt>
                <c:pt idx="70">
                  <c:v>0.25383600000000001</c:v>
                </c:pt>
                <c:pt idx="71">
                  <c:v>1.7167399999999999E-2</c:v>
                </c:pt>
                <c:pt idx="72">
                  <c:v>0.12997900000000001</c:v>
                </c:pt>
                <c:pt idx="73">
                  <c:v>0</c:v>
                </c:pt>
                <c:pt idx="74">
                  <c:v>0.39615700000000004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3.8290200000000003</c:v>
                </c:pt>
                <c:pt idx="1">
                  <c:v>3.8504300000000002</c:v>
                </c:pt>
                <c:pt idx="2">
                  <c:v>3.8693100000000005</c:v>
                </c:pt>
                <c:pt idx="3">
                  <c:v>3.8855200000000001</c:v>
                </c:pt>
                <c:pt idx="4">
                  <c:v>3.89785</c:v>
                </c:pt>
                <c:pt idx="5">
                  <c:v>3.9066700000000001</c:v>
                </c:pt>
                <c:pt idx="6">
                  <c:v>3.9122499999999998</c:v>
                </c:pt>
                <c:pt idx="7">
                  <c:v>3.9161200000000003</c:v>
                </c:pt>
                <c:pt idx="8">
                  <c:v>3.9196</c:v>
                </c:pt>
                <c:pt idx="9">
                  <c:v>3.9225500000000002</c:v>
                </c:pt>
                <c:pt idx="10">
                  <c:v>3.9269700000000003</c:v>
                </c:pt>
                <c:pt idx="11">
                  <c:v>3.92882</c:v>
                </c:pt>
                <c:pt idx="12">
                  <c:v>3.9313500000000001</c:v>
                </c:pt>
                <c:pt idx="13">
                  <c:v>3.9323399999999999</c:v>
                </c:pt>
                <c:pt idx="14">
                  <c:v>3.9317899999999999</c:v>
                </c:pt>
                <c:pt idx="15">
                  <c:v>3.9310400000000003</c:v>
                </c:pt>
                <c:pt idx="16">
                  <c:v>3.9293</c:v>
                </c:pt>
                <c:pt idx="17">
                  <c:v>3.9267400000000001</c:v>
                </c:pt>
                <c:pt idx="18">
                  <c:v>3.9240999999999997</c:v>
                </c:pt>
                <c:pt idx="19">
                  <c:v>3.9236399999999998</c:v>
                </c:pt>
                <c:pt idx="20">
                  <c:v>3.9203799999999998</c:v>
                </c:pt>
                <c:pt idx="21">
                  <c:v>3.9119100000000002</c:v>
                </c:pt>
                <c:pt idx="22">
                  <c:v>3.9044800000000004</c:v>
                </c:pt>
                <c:pt idx="23">
                  <c:v>3.8985300000000001</c:v>
                </c:pt>
                <c:pt idx="24">
                  <c:v>3.8927800000000001</c:v>
                </c:pt>
                <c:pt idx="25">
                  <c:v>3.8854199999999999</c:v>
                </c:pt>
                <c:pt idx="26">
                  <c:v>3.8813300000000002</c:v>
                </c:pt>
                <c:pt idx="27">
                  <c:v>3.8771800000000001</c:v>
                </c:pt>
                <c:pt idx="28">
                  <c:v>3.8730199999999999</c:v>
                </c:pt>
                <c:pt idx="29">
                  <c:v>3.8690099999999998</c:v>
                </c:pt>
                <c:pt idx="30">
                  <c:v>3.8642300000000001</c:v>
                </c:pt>
                <c:pt idx="31">
                  <c:v>3.8610899999999999</c:v>
                </c:pt>
                <c:pt idx="32">
                  <c:v>3.8557200000000003</c:v>
                </c:pt>
                <c:pt idx="33">
                  <c:v>3.8517099999999997</c:v>
                </c:pt>
                <c:pt idx="34">
                  <c:v>3.8582999999999998</c:v>
                </c:pt>
                <c:pt idx="35">
                  <c:v>3.8618700000000001</c:v>
                </c:pt>
                <c:pt idx="36">
                  <c:v>3.88042</c:v>
                </c:pt>
                <c:pt idx="37">
                  <c:v>3.8696700000000002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8.0837900000000005</c:v>
                </c:pt>
                <c:pt idx="1">
                  <c:v>7.5571600000000005</c:v>
                </c:pt>
                <c:pt idx="2">
                  <c:v>7.0543999999999993</c:v>
                </c:pt>
                <c:pt idx="3">
                  <c:v>6.5027299999999997</c:v>
                </c:pt>
                <c:pt idx="4">
                  <c:v>5.9633000000000003</c:v>
                </c:pt>
                <c:pt idx="5">
                  <c:v>5.4173100000000005</c:v>
                </c:pt>
                <c:pt idx="6">
                  <c:v>4.90299</c:v>
                </c:pt>
                <c:pt idx="7">
                  <c:v>4.4160500000000003</c:v>
                </c:pt>
                <c:pt idx="8">
                  <c:v>3.9775800000000001</c:v>
                </c:pt>
                <c:pt idx="9">
                  <c:v>3.6091499999999996</c:v>
                </c:pt>
                <c:pt idx="10">
                  <c:v>3.2012199999999997</c:v>
                </c:pt>
                <c:pt idx="11">
                  <c:v>2.8512900000000001</c:v>
                </c:pt>
                <c:pt idx="12">
                  <c:v>2.5026799999999998</c:v>
                </c:pt>
                <c:pt idx="13">
                  <c:v>2.2998699999999999</c:v>
                </c:pt>
                <c:pt idx="14">
                  <c:v>2.17754</c:v>
                </c:pt>
                <c:pt idx="15">
                  <c:v>2.0075699999999999</c:v>
                </c:pt>
                <c:pt idx="16">
                  <c:v>1.8469099999999998</c:v>
                </c:pt>
                <c:pt idx="17">
                  <c:v>1.70242</c:v>
                </c:pt>
                <c:pt idx="18">
                  <c:v>1.51369</c:v>
                </c:pt>
                <c:pt idx="19">
                  <c:v>1.25244</c:v>
                </c:pt>
                <c:pt idx="20">
                  <c:v>1.03989</c:v>
                </c:pt>
                <c:pt idx="21">
                  <c:v>0.94662500000000005</c:v>
                </c:pt>
                <c:pt idx="22">
                  <c:v>0.83165900000000004</c:v>
                </c:pt>
                <c:pt idx="23">
                  <c:v>0.61427299999999996</c:v>
                </c:pt>
                <c:pt idx="24">
                  <c:v>0.42222500000000002</c:v>
                </c:pt>
                <c:pt idx="25">
                  <c:v>0.28712799999999999</c:v>
                </c:pt>
                <c:pt idx="26">
                  <c:v>9.2349200000000006E-2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7.18477E-2</c:v>
                </c:pt>
                <c:pt idx="33">
                  <c:v>0.25383600000000001</c:v>
                </c:pt>
                <c:pt idx="34">
                  <c:v>1.7167399999999999E-2</c:v>
                </c:pt>
                <c:pt idx="35">
                  <c:v>0.12997900000000001</c:v>
                </c:pt>
                <c:pt idx="36">
                  <c:v>0</c:v>
                </c:pt>
                <c:pt idx="37">
                  <c:v>0.39615700000000004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2.8567010810810811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27.902719189189177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93-4DE8-BA8F-1F2677DA45F7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3.8957510810810803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2.2580289000000002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93-4DE8-BA8F-1F2677DA45F7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3.8957510810810803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2.2580289000000002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93-4DE8-BA8F-1F2677DA4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92608"/>
        <c:axId val="183898496"/>
        <c:extLst/>
      </c:scatterChart>
      <c:valAx>
        <c:axId val="183892608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/>
            </a:pPr>
            <a:endParaRPr lang="zh-CN"/>
          </a:p>
        </c:txPr>
        <c:crossAx val="183898496"/>
        <c:crosses val="autoZero"/>
        <c:crossBetween val="midCat"/>
        <c:majorUnit val="2"/>
        <c:minorUnit val="0.2"/>
      </c:valAx>
      <c:valAx>
        <c:axId val="183898496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83892608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4024"/>
          <c:h val="0.664620828646420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578D-4D9F-A998-32662D51B761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78D-4D9F-A998-32662D51B761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78D-4D9F-A998-32662D51B7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Measurement!$Q$17:$Q$19</c:f>
              <c:numCache>
                <c:formatCode>0.0%</c:formatCode>
                <c:ptCount val="3"/>
                <c:pt idx="0">
                  <c:v>0.27347677114332358</c:v>
                </c:pt>
                <c:pt idx="1">
                  <c:v>0.29371413306439226</c:v>
                </c:pt>
                <c:pt idx="2">
                  <c:v>0.43280909579228405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335E-2"/>
          <c:w val="0.8322325889209371"/>
          <c:h val="0.84167468649752186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  <c:pt idx="38">
                  <c:v>15.443300000000001</c:v>
                </c:pt>
                <c:pt idx="39">
                  <c:v>15.8354</c:v>
                </c:pt>
                <c:pt idx="40">
                  <c:v>16.222300000000001</c:v>
                </c:pt>
                <c:pt idx="41">
                  <c:v>16.625599999999999</c:v>
                </c:pt>
                <c:pt idx="42">
                  <c:v>17.032399999999999</c:v>
                </c:pt>
                <c:pt idx="43">
                  <c:v>17.4405</c:v>
                </c:pt>
                <c:pt idx="44">
                  <c:v>17.844200000000001</c:v>
                </c:pt>
                <c:pt idx="45">
                  <c:v>18.2559</c:v>
                </c:pt>
                <c:pt idx="46">
                  <c:v>18.665299999999998</c:v>
                </c:pt>
                <c:pt idx="47">
                  <c:v>19.058700000000002</c:v>
                </c:pt>
                <c:pt idx="48">
                  <c:v>19.470199999999998</c:v>
                </c:pt>
                <c:pt idx="49">
                  <c:v>19.886399999999998</c:v>
                </c:pt>
                <c:pt idx="50">
                  <c:v>20.280799999999999</c:v>
                </c:pt>
                <c:pt idx="51">
                  <c:v>20.682700000000001</c:v>
                </c:pt>
                <c:pt idx="52">
                  <c:v>21.088999999999999</c:v>
                </c:pt>
                <c:pt idx="53">
                  <c:v>21.498000000000001</c:v>
                </c:pt>
                <c:pt idx="54">
                  <c:v>21.903300000000002</c:v>
                </c:pt>
                <c:pt idx="55">
                  <c:v>22.3096</c:v>
                </c:pt>
                <c:pt idx="56">
                  <c:v>22.717099999999999</c:v>
                </c:pt>
                <c:pt idx="57">
                  <c:v>23.116800000000001</c:v>
                </c:pt>
                <c:pt idx="58">
                  <c:v>23.526599999999998</c:v>
                </c:pt>
                <c:pt idx="59">
                  <c:v>23.931799999999999</c:v>
                </c:pt>
                <c:pt idx="60">
                  <c:v>24.337700000000002</c:v>
                </c:pt>
                <c:pt idx="61">
                  <c:v>24.741199999999999</c:v>
                </c:pt>
                <c:pt idx="62">
                  <c:v>25.154</c:v>
                </c:pt>
                <c:pt idx="63">
                  <c:v>25.558199999999999</c:v>
                </c:pt>
                <c:pt idx="64">
                  <c:v>25.9724</c:v>
                </c:pt>
                <c:pt idx="65">
                  <c:v>26.3748</c:v>
                </c:pt>
                <c:pt idx="66">
                  <c:v>26.773900000000001</c:v>
                </c:pt>
                <c:pt idx="67">
                  <c:v>27.187100000000001</c:v>
                </c:pt>
                <c:pt idx="68">
                  <c:v>27.5839</c:v>
                </c:pt>
                <c:pt idx="69">
                  <c:v>27.989000000000001</c:v>
                </c:pt>
                <c:pt idx="70">
                  <c:v>28.390999999999998</c:v>
                </c:pt>
                <c:pt idx="71">
                  <c:v>28.7971</c:v>
                </c:pt>
                <c:pt idx="72">
                  <c:v>29.207799999999999</c:v>
                </c:pt>
                <c:pt idx="73">
                  <c:v>29.623100000000001</c:v>
                </c:pt>
                <c:pt idx="74">
                  <c:v>30.021999999999998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  <c:pt idx="38">
                  <c:v>3.8504300000000002</c:v>
                </c:pt>
                <c:pt idx="39">
                  <c:v>3.8693100000000005</c:v>
                </c:pt>
                <c:pt idx="40">
                  <c:v>3.8855200000000001</c:v>
                </c:pt>
                <c:pt idx="41">
                  <c:v>3.89785</c:v>
                </c:pt>
                <c:pt idx="42">
                  <c:v>3.9066700000000001</c:v>
                </c:pt>
                <c:pt idx="43">
                  <c:v>3.9122499999999998</c:v>
                </c:pt>
                <c:pt idx="44">
                  <c:v>3.9161200000000003</c:v>
                </c:pt>
                <c:pt idx="45">
                  <c:v>3.9196</c:v>
                </c:pt>
                <c:pt idx="46">
                  <c:v>3.9225500000000002</c:v>
                </c:pt>
                <c:pt idx="47">
                  <c:v>3.9269700000000003</c:v>
                </c:pt>
                <c:pt idx="48">
                  <c:v>3.92882</c:v>
                </c:pt>
                <c:pt idx="49">
                  <c:v>3.9313500000000001</c:v>
                </c:pt>
                <c:pt idx="50">
                  <c:v>3.9323399999999999</c:v>
                </c:pt>
                <c:pt idx="51">
                  <c:v>3.9317899999999999</c:v>
                </c:pt>
                <c:pt idx="52">
                  <c:v>3.9310400000000003</c:v>
                </c:pt>
                <c:pt idx="53">
                  <c:v>3.9293</c:v>
                </c:pt>
                <c:pt idx="54">
                  <c:v>3.9267400000000001</c:v>
                </c:pt>
                <c:pt idx="55">
                  <c:v>3.9240999999999997</c:v>
                </c:pt>
                <c:pt idx="56">
                  <c:v>3.9236399999999998</c:v>
                </c:pt>
                <c:pt idx="57">
                  <c:v>3.9203799999999998</c:v>
                </c:pt>
                <c:pt idx="58">
                  <c:v>3.9119100000000002</c:v>
                </c:pt>
                <c:pt idx="59">
                  <c:v>3.9044800000000004</c:v>
                </c:pt>
                <c:pt idx="60">
                  <c:v>3.8985300000000001</c:v>
                </c:pt>
                <c:pt idx="61">
                  <c:v>3.8927800000000001</c:v>
                </c:pt>
                <c:pt idx="62">
                  <c:v>3.8854199999999999</c:v>
                </c:pt>
                <c:pt idx="63">
                  <c:v>3.8813300000000002</c:v>
                </c:pt>
                <c:pt idx="64">
                  <c:v>3.8771800000000001</c:v>
                </c:pt>
                <c:pt idx="65">
                  <c:v>3.8730199999999999</c:v>
                </c:pt>
                <c:pt idx="66">
                  <c:v>3.8690099999999998</c:v>
                </c:pt>
                <c:pt idx="67">
                  <c:v>3.8642300000000001</c:v>
                </c:pt>
                <c:pt idx="68">
                  <c:v>3.8610899999999999</c:v>
                </c:pt>
                <c:pt idx="69">
                  <c:v>3.8557200000000003</c:v>
                </c:pt>
                <c:pt idx="70">
                  <c:v>3.8517099999999997</c:v>
                </c:pt>
                <c:pt idx="71">
                  <c:v>3.8582999999999998</c:v>
                </c:pt>
                <c:pt idx="72">
                  <c:v>3.8618700000000001</c:v>
                </c:pt>
                <c:pt idx="73">
                  <c:v>3.88042</c:v>
                </c:pt>
                <c:pt idx="74">
                  <c:v>3.8696700000000002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14.958299999999999</c:v>
                </c:pt>
                <c:pt idx="1">
                  <c:v>15.443300000000001</c:v>
                </c:pt>
                <c:pt idx="2">
                  <c:v>15.8354</c:v>
                </c:pt>
                <c:pt idx="3">
                  <c:v>16.222300000000001</c:v>
                </c:pt>
                <c:pt idx="4">
                  <c:v>16.625599999999999</c:v>
                </c:pt>
                <c:pt idx="5">
                  <c:v>17.032399999999999</c:v>
                </c:pt>
                <c:pt idx="6">
                  <c:v>17.4405</c:v>
                </c:pt>
                <c:pt idx="7">
                  <c:v>17.844200000000001</c:v>
                </c:pt>
                <c:pt idx="8">
                  <c:v>18.2559</c:v>
                </c:pt>
                <c:pt idx="9">
                  <c:v>18.665299999999998</c:v>
                </c:pt>
                <c:pt idx="10">
                  <c:v>19.058700000000002</c:v>
                </c:pt>
                <c:pt idx="11">
                  <c:v>19.470199999999998</c:v>
                </c:pt>
                <c:pt idx="12">
                  <c:v>19.886399999999998</c:v>
                </c:pt>
                <c:pt idx="13">
                  <c:v>20.280799999999999</c:v>
                </c:pt>
                <c:pt idx="14">
                  <c:v>20.682700000000001</c:v>
                </c:pt>
                <c:pt idx="15">
                  <c:v>21.088999999999999</c:v>
                </c:pt>
                <c:pt idx="16">
                  <c:v>21.498000000000001</c:v>
                </c:pt>
                <c:pt idx="17">
                  <c:v>21.903300000000002</c:v>
                </c:pt>
                <c:pt idx="18">
                  <c:v>22.3096</c:v>
                </c:pt>
                <c:pt idx="19">
                  <c:v>22.717099999999999</c:v>
                </c:pt>
                <c:pt idx="20">
                  <c:v>23.116800000000001</c:v>
                </c:pt>
                <c:pt idx="21">
                  <c:v>23.526599999999998</c:v>
                </c:pt>
                <c:pt idx="22">
                  <c:v>23.931799999999999</c:v>
                </c:pt>
                <c:pt idx="23">
                  <c:v>24.337700000000002</c:v>
                </c:pt>
                <c:pt idx="24">
                  <c:v>24.741199999999999</c:v>
                </c:pt>
                <c:pt idx="25">
                  <c:v>25.154</c:v>
                </c:pt>
                <c:pt idx="26">
                  <c:v>25.558199999999999</c:v>
                </c:pt>
                <c:pt idx="27">
                  <c:v>25.9724</c:v>
                </c:pt>
                <c:pt idx="28">
                  <c:v>26.3748</c:v>
                </c:pt>
                <c:pt idx="29">
                  <c:v>26.773900000000001</c:v>
                </c:pt>
                <c:pt idx="30">
                  <c:v>27.187100000000001</c:v>
                </c:pt>
                <c:pt idx="31">
                  <c:v>27.5839</c:v>
                </c:pt>
                <c:pt idx="32">
                  <c:v>27.989000000000001</c:v>
                </c:pt>
                <c:pt idx="33">
                  <c:v>28.390999999999998</c:v>
                </c:pt>
                <c:pt idx="34">
                  <c:v>28.7971</c:v>
                </c:pt>
                <c:pt idx="35">
                  <c:v>29.207799999999999</c:v>
                </c:pt>
                <c:pt idx="36">
                  <c:v>29.623100000000001</c:v>
                </c:pt>
                <c:pt idx="37">
                  <c:v>30.021999999999998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3.8290200000000003</c:v>
                </c:pt>
                <c:pt idx="1">
                  <c:v>3.8504300000000002</c:v>
                </c:pt>
                <c:pt idx="2">
                  <c:v>3.8693100000000005</c:v>
                </c:pt>
                <c:pt idx="3">
                  <c:v>3.8855200000000001</c:v>
                </c:pt>
                <c:pt idx="4">
                  <c:v>3.89785</c:v>
                </c:pt>
                <c:pt idx="5">
                  <c:v>3.9066700000000001</c:v>
                </c:pt>
                <c:pt idx="6">
                  <c:v>3.9122499999999998</c:v>
                </c:pt>
                <c:pt idx="7">
                  <c:v>3.9161200000000003</c:v>
                </c:pt>
                <c:pt idx="8">
                  <c:v>3.9196</c:v>
                </c:pt>
                <c:pt idx="9">
                  <c:v>3.9225500000000002</c:v>
                </c:pt>
                <c:pt idx="10">
                  <c:v>3.9269700000000003</c:v>
                </c:pt>
                <c:pt idx="11">
                  <c:v>3.92882</c:v>
                </c:pt>
                <c:pt idx="12">
                  <c:v>3.9313500000000001</c:v>
                </c:pt>
                <c:pt idx="13">
                  <c:v>3.9323399999999999</c:v>
                </c:pt>
                <c:pt idx="14">
                  <c:v>3.9317899999999999</c:v>
                </c:pt>
                <c:pt idx="15">
                  <c:v>3.9310400000000003</c:v>
                </c:pt>
                <c:pt idx="16">
                  <c:v>3.9293</c:v>
                </c:pt>
                <c:pt idx="17">
                  <c:v>3.9267400000000001</c:v>
                </c:pt>
                <c:pt idx="18">
                  <c:v>3.9240999999999997</c:v>
                </c:pt>
                <c:pt idx="19">
                  <c:v>3.9236399999999998</c:v>
                </c:pt>
                <c:pt idx="20">
                  <c:v>3.9203799999999998</c:v>
                </c:pt>
                <c:pt idx="21">
                  <c:v>3.9119100000000002</c:v>
                </c:pt>
                <c:pt idx="22">
                  <c:v>3.9044800000000004</c:v>
                </c:pt>
                <c:pt idx="23">
                  <c:v>3.8985300000000001</c:v>
                </c:pt>
                <c:pt idx="24">
                  <c:v>3.8927800000000001</c:v>
                </c:pt>
                <c:pt idx="25">
                  <c:v>3.8854199999999999</c:v>
                </c:pt>
                <c:pt idx="26">
                  <c:v>3.8813300000000002</c:v>
                </c:pt>
                <c:pt idx="27">
                  <c:v>3.8771800000000001</c:v>
                </c:pt>
                <c:pt idx="28">
                  <c:v>3.8730199999999999</c:v>
                </c:pt>
                <c:pt idx="29">
                  <c:v>3.8690099999999998</c:v>
                </c:pt>
                <c:pt idx="30">
                  <c:v>3.8642300000000001</c:v>
                </c:pt>
                <c:pt idx="31">
                  <c:v>3.8610899999999999</c:v>
                </c:pt>
                <c:pt idx="32">
                  <c:v>3.8557200000000003</c:v>
                </c:pt>
                <c:pt idx="33">
                  <c:v>3.8517099999999997</c:v>
                </c:pt>
                <c:pt idx="34">
                  <c:v>3.8582999999999998</c:v>
                </c:pt>
                <c:pt idx="35">
                  <c:v>3.8618700000000001</c:v>
                </c:pt>
                <c:pt idx="36">
                  <c:v>3.88042</c:v>
                </c:pt>
                <c:pt idx="37">
                  <c:v>3.8696700000000002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7.5054999999999996</c:v>
                </c:pt>
                <c:pt idx="1">
                  <c:v>22.516500000000001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2.8567010810810811</c:v>
                </c:pt>
                <c:pt idx="1">
                  <c:v>3.8957510810810803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5-4A4F-8783-B3726464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36640"/>
        <c:axId val="18513856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  <c:pt idx="38">
                  <c:v>15.443300000000001</c:v>
                </c:pt>
                <c:pt idx="39">
                  <c:v>15.8354</c:v>
                </c:pt>
                <c:pt idx="40">
                  <c:v>16.222300000000001</c:v>
                </c:pt>
                <c:pt idx="41">
                  <c:v>16.625599999999999</c:v>
                </c:pt>
                <c:pt idx="42">
                  <c:v>17.032399999999999</c:v>
                </c:pt>
                <c:pt idx="43">
                  <c:v>17.4405</c:v>
                </c:pt>
                <c:pt idx="44">
                  <c:v>17.844200000000001</c:v>
                </c:pt>
                <c:pt idx="45">
                  <c:v>18.2559</c:v>
                </c:pt>
                <c:pt idx="46">
                  <c:v>18.665299999999998</c:v>
                </c:pt>
                <c:pt idx="47">
                  <c:v>19.058700000000002</c:v>
                </c:pt>
                <c:pt idx="48">
                  <c:v>19.470199999999998</c:v>
                </c:pt>
                <c:pt idx="49">
                  <c:v>19.886399999999998</c:v>
                </c:pt>
                <c:pt idx="50">
                  <c:v>20.280799999999999</c:v>
                </c:pt>
                <c:pt idx="51">
                  <c:v>20.682700000000001</c:v>
                </c:pt>
                <c:pt idx="52">
                  <c:v>21.088999999999999</c:v>
                </c:pt>
                <c:pt idx="53">
                  <c:v>21.498000000000001</c:v>
                </c:pt>
                <c:pt idx="54">
                  <c:v>21.903300000000002</c:v>
                </c:pt>
                <c:pt idx="55">
                  <c:v>22.3096</c:v>
                </c:pt>
                <c:pt idx="56">
                  <c:v>22.717099999999999</c:v>
                </c:pt>
                <c:pt idx="57">
                  <c:v>23.116800000000001</c:v>
                </c:pt>
                <c:pt idx="58">
                  <c:v>23.526599999999998</c:v>
                </c:pt>
                <c:pt idx="59">
                  <c:v>23.931799999999999</c:v>
                </c:pt>
                <c:pt idx="60">
                  <c:v>24.337700000000002</c:v>
                </c:pt>
                <c:pt idx="61">
                  <c:v>24.741199999999999</c:v>
                </c:pt>
                <c:pt idx="62">
                  <c:v>25.154</c:v>
                </c:pt>
                <c:pt idx="63">
                  <c:v>25.558199999999999</c:v>
                </c:pt>
                <c:pt idx="64">
                  <c:v>25.9724</c:v>
                </c:pt>
                <c:pt idx="65">
                  <c:v>26.3748</c:v>
                </c:pt>
                <c:pt idx="66">
                  <c:v>26.773900000000001</c:v>
                </c:pt>
                <c:pt idx="67">
                  <c:v>27.187100000000001</c:v>
                </c:pt>
                <c:pt idx="68">
                  <c:v>27.5839</c:v>
                </c:pt>
                <c:pt idx="69">
                  <c:v>27.989000000000001</c:v>
                </c:pt>
                <c:pt idx="70">
                  <c:v>28.390999999999998</c:v>
                </c:pt>
                <c:pt idx="71">
                  <c:v>28.7971</c:v>
                </c:pt>
                <c:pt idx="72">
                  <c:v>29.207799999999999</c:v>
                </c:pt>
                <c:pt idx="73">
                  <c:v>29.623100000000001</c:v>
                </c:pt>
                <c:pt idx="74">
                  <c:v>30.021999999999998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  <c:pt idx="38">
                  <c:v>7.5571600000000005</c:v>
                </c:pt>
                <c:pt idx="39">
                  <c:v>7.0543999999999993</c:v>
                </c:pt>
                <c:pt idx="40">
                  <c:v>6.5027299999999997</c:v>
                </c:pt>
                <c:pt idx="41">
                  <c:v>5.9633000000000003</c:v>
                </c:pt>
                <c:pt idx="42">
                  <c:v>5.4173100000000005</c:v>
                </c:pt>
                <c:pt idx="43">
                  <c:v>4.90299</c:v>
                </c:pt>
                <c:pt idx="44">
                  <c:v>4.4160500000000003</c:v>
                </c:pt>
                <c:pt idx="45">
                  <c:v>3.9775800000000001</c:v>
                </c:pt>
                <c:pt idx="46">
                  <c:v>3.6091499999999996</c:v>
                </c:pt>
                <c:pt idx="47">
                  <c:v>3.2012199999999997</c:v>
                </c:pt>
                <c:pt idx="48">
                  <c:v>2.8512900000000001</c:v>
                </c:pt>
                <c:pt idx="49">
                  <c:v>2.5026799999999998</c:v>
                </c:pt>
                <c:pt idx="50">
                  <c:v>2.2998699999999999</c:v>
                </c:pt>
                <c:pt idx="51">
                  <c:v>2.17754</c:v>
                </c:pt>
                <c:pt idx="52">
                  <c:v>2.0075699999999999</c:v>
                </c:pt>
                <c:pt idx="53">
                  <c:v>1.8469099999999998</c:v>
                </c:pt>
                <c:pt idx="54">
                  <c:v>1.70242</c:v>
                </c:pt>
                <c:pt idx="55">
                  <c:v>1.51369</c:v>
                </c:pt>
                <c:pt idx="56">
                  <c:v>1.25244</c:v>
                </c:pt>
                <c:pt idx="57">
                  <c:v>1.03989</c:v>
                </c:pt>
                <c:pt idx="58">
                  <c:v>0.94662500000000005</c:v>
                </c:pt>
                <c:pt idx="59">
                  <c:v>0.83165900000000004</c:v>
                </c:pt>
                <c:pt idx="60">
                  <c:v>0.61427299999999996</c:v>
                </c:pt>
                <c:pt idx="61">
                  <c:v>0.42222500000000002</c:v>
                </c:pt>
                <c:pt idx="62">
                  <c:v>0.28712799999999999</c:v>
                </c:pt>
                <c:pt idx="63">
                  <c:v>9.2349200000000006E-2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7.18477E-2</c:v>
                </c:pt>
                <c:pt idx="70">
                  <c:v>0.25383600000000001</c:v>
                </c:pt>
                <c:pt idx="71">
                  <c:v>1.7167399999999999E-2</c:v>
                </c:pt>
                <c:pt idx="72">
                  <c:v>0.12997900000000001</c:v>
                </c:pt>
                <c:pt idx="73">
                  <c:v>0</c:v>
                </c:pt>
                <c:pt idx="74">
                  <c:v>0.39615700000000004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14.958299999999999</c:v>
                </c:pt>
                <c:pt idx="1">
                  <c:v>15.443300000000001</c:v>
                </c:pt>
                <c:pt idx="2">
                  <c:v>15.8354</c:v>
                </c:pt>
                <c:pt idx="3">
                  <c:v>16.222300000000001</c:v>
                </c:pt>
                <c:pt idx="4">
                  <c:v>16.625599999999999</c:v>
                </c:pt>
                <c:pt idx="5">
                  <c:v>17.032399999999999</c:v>
                </c:pt>
                <c:pt idx="6">
                  <c:v>17.4405</c:v>
                </c:pt>
                <c:pt idx="7">
                  <c:v>17.844200000000001</c:v>
                </c:pt>
                <c:pt idx="8">
                  <c:v>18.2559</c:v>
                </c:pt>
                <c:pt idx="9">
                  <c:v>18.665299999999998</c:v>
                </c:pt>
                <c:pt idx="10">
                  <c:v>19.058700000000002</c:v>
                </c:pt>
                <c:pt idx="11">
                  <c:v>19.470199999999998</c:v>
                </c:pt>
                <c:pt idx="12">
                  <c:v>19.886399999999998</c:v>
                </c:pt>
                <c:pt idx="13">
                  <c:v>20.280799999999999</c:v>
                </c:pt>
                <c:pt idx="14">
                  <c:v>20.682700000000001</c:v>
                </c:pt>
                <c:pt idx="15">
                  <c:v>21.088999999999999</c:v>
                </c:pt>
                <c:pt idx="16">
                  <c:v>21.498000000000001</c:v>
                </c:pt>
                <c:pt idx="17">
                  <c:v>21.903300000000002</c:v>
                </c:pt>
                <c:pt idx="18">
                  <c:v>22.3096</c:v>
                </c:pt>
                <c:pt idx="19">
                  <c:v>22.717099999999999</c:v>
                </c:pt>
                <c:pt idx="20">
                  <c:v>23.116800000000001</c:v>
                </c:pt>
                <c:pt idx="21">
                  <c:v>23.526599999999998</c:v>
                </c:pt>
                <c:pt idx="22">
                  <c:v>23.931799999999999</c:v>
                </c:pt>
                <c:pt idx="23">
                  <c:v>24.337700000000002</c:v>
                </c:pt>
                <c:pt idx="24">
                  <c:v>24.741199999999999</c:v>
                </c:pt>
                <c:pt idx="25">
                  <c:v>25.154</c:v>
                </c:pt>
                <c:pt idx="26">
                  <c:v>25.558199999999999</c:v>
                </c:pt>
                <c:pt idx="27">
                  <c:v>25.9724</c:v>
                </c:pt>
                <c:pt idx="28">
                  <c:v>26.3748</c:v>
                </c:pt>
                <c:pt idx="29">
                  <c:v>26.773900000000001</c:v>
                </c:pt>
                <c:pt idx="30">
                  <c:v>27.187100000000001</c:v>
                </c:pt>
                <c:pt idx="31">
                  <c:v>27.5839</c:v>
                </c:pt>
                <c:pt idx="32">
                  <c:v>27.989000000000001</c:v>
                </c:pt>
                <c:pt idx="33">
                  <c:v>28.390999999999998</c:v>
                </c:pt>
                <c:pt idx="34">
                  <c:v>28.7971</c:v>
                </c:pt>
                <c:pt idx="35">
                  <c:v>29.207799999999999</c:v>
                </c:pt>
                <c:pt idx="36">
                  <c:v>29.623100000000001</c:v>
                </c:pt>
                <c:pt idx="37">
                  <c:v>30.021999999999998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8.0837900000000005</c:v>
                </c:pt>
                <c:pt idx="1">
                  <c:v>7.5571600000000005</c:v>
                </c:pt>
                <c:pt idx="2">
                  <c:v>7.0543999999999993</c:v>
                </c:pt>
                <c:pt idx="3">
                  <c:v>6.5027299999999997</c:v>
                </c:pt>
                <c:pt idx="4">
                  <c:v>5.9633000000000003</c:v>
                </c:pt>
                <c:pt idx="5">
                  <c:v>5.4173100000000005</c:v>
                </c:pt>
                <c:pt idx="6">
                  <c:v>4.90299</c:v>
                </c:pt>
                <c:pt idx="7">
                  <c:v>4.4160500000000003</c:v>
                </c:pt>
                <c:pt idx="8">
                  <c:v>3.9775800000000001</c:v>
                </c:pt>
                <c:pt idx="9">
                  <c:v>3.6091499999999996</c:v>
                </c:pt>
                <c:pt idx="10">
                  <c:v>3.2012199999999997</c:v>
                </c:pt>
                <c:pt idx="11">
                  <c:v>2.8512900000000001</c:v>
                </c:pt>
                <c:pt idx="12">
                  <c:v>2.5026799999999998</c:v>
                </c:pt>
                <c:pt idx="13">
                  <c:v>2.2998699999999999</c:v>
                </c:pt>
                <c:pt idx="14">
                  <c:v>2.17754</c:v>
                </c:pt>
                <c:pt idx="15">
                  <c:v>2.0075699999999999</c:v>
                </c:pt>
                <c:pt idx="16">
                  <c:v>1.8469099999999998</c:v>
                </c:pt>
                <c:pt idx="17">
                  <c:v>1.70242</c:v>
                </c:pt>
                <c:pt idx="18">
                  <c:v>1.51369</c:v>
                </c:pt>
                <c:pt idx="19">
                  <c:v>1.25244</c:v>
                </c:pt>
                <c:pt idx="20">
                  <c:v>1.03989</c:v>
                </c:pt>
                <c:pt idx="21">
                  <c:v>0.94662500000000005</c:v>
                </c:pt>
                <c:pt idx="22">
                  <c:v>0.83165900000000004</c:v>
                </c:pt>
                <c:pt idx="23">
                  <c:v>0.61427299999999996</c:v>
                </c:pt>
                <c:pt idx="24">
                  <c:v>0.42222500000000002</c:v>
                </c:pt>
                <c:pt idx="25">
                  <c:v>0.28712799999999999</c:v>
                </c:pt>
                <c:pt idx="26">
                  <c:v>9.2349200000000006E-2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7.18477E-2</c:v>
                </c:pt>
                <c:pt idx="33">
                  <c:v>0.25383600000000001</c:v>
                </c:pt>
                <c:pt idx="34">
                  <c:v>1.7167399999999999E-2</c:v>
                </c:pt>
                <c:pt idx="35">
                  <c:v>0.12997900000000001</c:v>
                </c:pt>
                <c:pt idx="36">
                  <c:v>0</c:v>
                </c:pt>
                <c:pt idx="37">
                  <c:v>0.39615700000000004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7.5054999999999996</c:v>
                </c:pt>
                <c:pt idx="1">
                  <c:v>22.516500000000001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27.902719189189177</c:v>
                </c:pt>
                <c:pt idx="1">
                  <c:v>2.2580289000000002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65-4A4F-8783-B3726464C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79008"/>
        <c:axId val="187577472"/>
      </c:scatterChart>
      <c:valAx>
        <c:axId val="18513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138560"/>
        <c:crosses val="autoZero"/>
        <c:crossBetween val="midCat"/>
      </c:valAx>
      <c:valAx>
        <c:axId val="18513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5136640"/>
        <c:crosses val="autoZero"/>
        <c:crossBetween val="midCat"/>
      </c:valAx>
      <c:valAx>
        <c:axId val="1875774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7579008"/>
        <c:crosses val="max"/>
        <c:crossBetween val="midCat"/>
      </c:valAx>
      <c:valAx>
        <c:axId val="187579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757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49E-2"/>
                  <c:y val="-7.4766355140187049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25.2971</c:v>
                </c:pt>
                <c:pt idx="1">
                  <c:v>29.846800000000002</c:v>
                </c:pt>
                <c:pt idx="2">
                  <c:v>30.774100000000001</c:v>
                </c:pt>
                <c:pt idx="3">
                  <c:v>28.2514</c:v>
                </c:pt>
                <c:pt idx="4">
                  <c:v>49.7378</c:v>
                </c:pt>
                <c:pt idx="5">
                  <c:v>65.634100000000004</c:v>
                </c:pt>
                <c:pt idx="6">
                  <c:v>11.6525</c:v>
                </c:pt>
                <c:pt idx="7">
                  <c:v>58.165700000000001</c:v>
                </c:pt>
                <c:pt idx="8">
                  <c:v>18.2544</c:v>
                </c:pt>
                <c:pt idx="9">
                  <c:v>31.530999999999999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50.365299999999998</c:v>
                </c:pt>
                <c:pt idx="1">
                  <c:v>32.991500000000002</c:v>
                </c:pt>
                <c:pt idx="2">
                  <c:v>31.2423</c:v>
                </c:pt>
                <c:pt idx="3">
                  <c:v>38.5169</c:v>
                </c:pt>
                <c:pt idx="4">
                  <c:v>39.2849</c:v>
                </c:pt>
                <c:pt idx="5">
                  <c:v>69.220399999999998</c:v>
                </c:pt>
                <c:pt idx="6">
                  <c:v>19.755500000000001</c:v>
                </c:pt>
                <c:pt idx="7">
                  <c:v>52.624000000000002</c:v>
                </c:pt>
                <c:pt idx="8">
                  <c:v>17.501100000000001</c:v>
                </c:pt>
                <c:pt idx="9">
                  <c:v>20.677900000000001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07296"/>
        <c:axId val="189841408"/>
      </c:radarChart>
      <c:catAx>
        <c:axId val="18760729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89841408"/>
        <c:crosses val="autoZero"/>
        <c:auto val="0"/>
        <c:lblAlgn val="ctr"/>
        <c:lblOffset val="100"/>
        <c:noMultiLvlLbl val="0"/>
      </c:catAx>
      <c:valAx>
        <c:axId val="189841408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187607296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276E-2"/>
          <c:y val="8.1659167604049565E-2"/>
          <c:w val="0.89906848600446687"/>
          <c:h val="0.64620547431571118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5B61-4FE0-95E0-3B16AD33A0A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B61-4FE0-95E0-3B16AD33A0A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B61-4FE0-95E0-3B16AD33A0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0.46421668146039557</c:v>
                </c:pt>
                <c:pt idx="1">
                  <c:v>0.28618884050672516</c:v>
                </c:pt>
                <c:pt idx="2">
                  <c:v>0.2495944780328794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86E-2"/>
          <c:y val="0.77976190476190477"/>
          <c:w val="0.91304347826086962"/>
          <c:h val="0.22023809523809521"/>
        </c:manualLayout>
      </c:layout>
      <c:overlay val="0"/>
      <c:txPr>
        <a:bodyPr/>
        <a:lstStyle/>
        <a:p>
          <a:pPr>
            <a:defRPr lang="en-US"/>
          </a:pPr>
          <a:endParaRPr lang="zh-CN"/>
        </a:p>
      </c:txPr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26E-2"/>
          <c:w val="0.95277777777777772"/>
          <c:h val="0.807631233595803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1.918156862745098E-2</c:v>
                </c:pt>
                <c:pt idx="2">
                  <c:v>3.8363137254901959E-2</c:v>
                </c:pt>
                <c:pt idx="3">
                  <c:v>5.7544705882352942E-2</c:v>
                </c:pt>
                <c:pt idx="4">
                  <c:v>7.6726274509803918E-2</c:v>
                </c:pt>
                <c:pt idx="5">
                  <c:v>9.5907843137254908E-2</c:v>
                </c:pt>
                <c:pt idx="6">
                  <c:v>0.11508941176470588</c:v>
                </c:pt>
                <c:pt idx="7">
                  <c:v>0.13427098039215687</c:v>
                </c:pt>
                <c:pt idx="8">
                  <c:v>0.15345254901960784</c:v>
                </c:pt>
                <c:pt idx="9">
                  <c:v>0.17263411764705883</c:v>
                </c:pt>
                <c:pt idx="10">
                  <c:v>0.19181568627450982</c:v>
                </c:pt>
                <c:pt idx="11">
                  <c:v>0.21099725490196078</c:v>
                </c:pt>
                <c:pt idx="12">
                  <c:v>0.23017882352941177</c:v>
                </c:pt>
                <c:pt idx="13">
                  <c:v>0.24936039215686276</c:v>
                </c:pt>
                <c:pt idx="14">
                  <c:v>0.26854196078431375</c:v>
                </c:pt>
                <c:pt idx="15">
                  <c:v>0.28772352941176471</c:v>
                </c:pt>
                <c:pt idx="16">
                  <c:v>0.30690509803921567</c:v>
                </c:pt>
                <c:pt idx="17">
                  <c:v>0.32608666666666669</c:v>
                </c:pt>
                <c:pt idx="18">
                  <c:v>0.34526823529411765</c:v>
                </c:pt>
                <c:pt idx="19">
                  <c:v>0.36444980392156862</c:v>
                </c:pt>
                <c:pt idx="20">
                  <c:v>0.38363137254901963</c:v>
                </c:pt>
                <c:pt idx="21">
                  <c:v>0.4028129411764706</c:v>
                </c:pt>
                <c:pt idx="22">
                  <c:v>0.42199450980392156</c:v>
                </c:pt>
                <c:pt idx="23">
                  <c:v>0.44117607843137258</c:v>
                </c:pt>
                <c:pt idx="24">
                  <c:v>0.46035764705882354</c:v>
                </c:pt>
                <c:pt idx="25">
                  <c:v>0.4795392156862745</c:v>
                </c:pt>
                <c:pt idx="26">
                  <c:v>0.49872078431372552</c:v>
                </c:pt>
                <c:pt idx="27">
                  <c:v>0.51790235294117648</c:v>
                </c:pt>
                <c:pt idx="28">
                  <c:v>0.5370839215686275</c:v>
                </c:pt>
                <c:pt idx="29">
                  <c:v>0.5562654901960784</c:v>
                </c:pt>
                <c:pt idx="30">
                  <c:v>0.57544705882352942</c:v>
                </c:pt>
                <c:pt idx="31">
                  <c:v>0.59462862745098044</c:v>
                </c:pt>
                <c:pt idx="32">
                  <c:v>0.61381019607843135</c:v>
                </c:pt>
                <c:pt idx="33">
                  <c:v>0.63299176470588248</c:v>
                </c:pt>
                <c:pt idx="34">
                  <c:v>0.65217333333333338</c:v>
                </c:pt>
                <c:pt idx="35">
                  <c:v>0.6713549019607844</c:v>
                </c:pt>
                <c:pt idx="36">
                  <c:v>0.69053647058823531</c:v>
                </c:pt>
                <c:pt idx="37">
                  <c:v>0.70971803921568632</c:v>
                </c:pt>
                <c:pt idx="38">
                  <c:v>0.72889960784313723</c:v>
                </c:pt>
                <c:pt idx="39">
                  <c:v>0.74808117647058836</c:v>
                </c:pt>
                <c:pt idx="40">
                  <c:v>0.76726274509803927</c:v>
                </c:pt>
                <c:pt idx="41">
                  <c:v>0.78644431372549028</c:v>
                </c:pt>
                <c:pt idx="42">
                  <c:v>0.80562588235294119</c:v>
                </c:pt>
                <c:pt idx="43">
                  <c:v>0.82480745098039221</c:v>
                </c:pt>
                <c:pt idx="44">
                  <c:v>0.84398901960784312</c:v>
                </c:pt>
                <c:pt idx="45">
                  <c:v>0.86317058823529424</c:v>
                </c:pt>
                <c:pt idx="46">
                  <c:v>0.88235215686274515</c:v>
                </c:pt>
                <c:pt idx="47">
                  <c:v>0.90153372549019617</c:v>
                </c:pt>
                <c:pt idx="48">
                  <c:v>0.92071529411764708</c:v>
                </c:pt>
                <c:pt idx="49">
                  <c:v>0.93989686274509809</c:v>
                </c:pt>
                <c:pt idx="50">
                  <c:v>0.959078431372549</c:v>
                </c:pt>
                <c:pt idx="51">
                  <c:v>0.97826000000000013</c:v>
                </c:pt>
                <c:pt idx="52">
                  <c:v>0.99744156862745104</c:v>
                </c:pt>
                <c:pt idx="53">
                  <c:v>1.0166231372549022</c:v>
                </c:pt>
                <c:pt idx="54">
                  <c:v>1.035804705882353</c:v>
                </c:pt>
                <c:pt idx="55">
                  <c:v>1.054986274509804</c:v>
                </c:pt>
                <c:pt idx="56">
                  <c:v>1.074167843137255</c:v>
                </c:pt>
                <c:pt idx="57">
                  <c:v>1.093349411764706</c:v>
                </c:pt>
                <c:pt idx="58">
                  <c:v>1.1125309803921568</c:v>
                </c:pt>
                <c:pt idx="59">
                  <c:v>1.131712549019608</c:v>
                </c:pt>
                <c:pt idx="60">
                  <c:v>1.1508941176470588</c:v>
                </c:pt>
                <c:pt idx="61">
                  <c:v>1.1700756862745099</c:v>
                </c:pt>
                <c:pt idx="62">
                  <c:v>1.1892572549019609</c:v>
                </c:pt>
                <c:pt idx="63">
                  <c:v>1.2084388235294119</c:v>
                </c:pt>
                <c:pt idx="64">
                  <c:v>1.2276203921568627</c:v>
                </c:pt>
                <c:pt idx="65">
                  <c:v>1.2468019607843137</c:v>
                </c:pt>
                <c:pt idx="66">
                  <c:v>1.265983529411765</c:v>
                </c:pt>
                <c:pt idx="67">
                  <c:v>1.2851650980392157</c:v>
                </c:pt>
                <c:pt idx="68">
                  <c:v>1.3043466666666668</c:v>
                </c:pt>
                <c:pt idx="69">
                  <c:v>1.3235282352941176</c:v>
                </c:pt>
                <c:pt idx="70">
                  <c:v>1.3427098039215688</c:v>
                </c:pt>
                <c:pt idx="71">
                  <c:v>1.3618913725490198</c:v>
                </c:pt>
                <c:pt idx="72">
                  <c:v>1.3810729411764706</c:v>
                </c:pt>
                <c:pt idx="73">
                  <c:v>1.4002545098039216</c:v>
                </c:pt>
                <c:pt idx="74">
                  <c:v>1.4194360784313726</c:v>
                </c:pt>
                <c:pt idx="75">
                  <c:v>1.4386176470588237</c:v>
                </c:pt>
                <c:pt idx="76">
                  <c:v>1.4577992156862745</c:v>
                </c:pt>
                <c:pt idx="77">
                  <c:v>1.4769807843137255</c:v>
                </c:pt>
                <c:pt idx="78">
                  <c:v>1.4961623529411767</c:v>
                </c:pt>
                <c:pt idx="79">
                  <c:v>1.5153439215686275</c:v>
                </c:pt>
                <c:pt idx="80">
                  <c:v>1.5345254901960785</c:v>
                </c:pt>
                <c:pt idx="81">
                  <c:v>1.5537070588235293</c:v>
                </c:pt>
                <c:pt idx="82">
                  <c:v>1.5728886274509806</c:v>
                </c:pt>
                <c:pt idx="83">
                  <c:v>1.5920701960784316</c:v>
                </c:pt>
                <c:pt idx="84">
                  <c:v>1.6112517647058824</c:v>
                </c:pt>
                <c:pt idx="85">
                  <c:v>1.6304333333333334</c:v>
                </c:pt>
                <c:pt idx="86">
                  <c:v>1.6496149019607844</c:v>
                </c:pt>
                <c:pt idx="87">
                  <c:v>1.6687964705882354</c:v>
                </c:pt>
                <c:pt idx="88">
                  <c:v>1.6879780392156862</c:v>
                </c:pt>
                <c:pt idx="89">
                  <c:v>1.7071596078431373</c:v>
                </c:pt>
                <c:pt idx="90">
                  <c:v>1.7263411764705885</c:v>
                </c:pt>
                <c:pt idx="91">
                  <c:v>1.7455227450980393</c:v>
                </c:pt>
                <c:pt idx="92">
                  <c:v>1.7647043137254903</c:v>
                </c:pt>
                <c:pt idx="93">
                  <c:v>1.7838858823529411</c:v>
                </c:pt>
                <c:pt idx="94">
                  <c:v>1.8030674509803923</c:v>
                </c:pt>
                <c:pt idx="95">
                  <c:v>1.8222490196078434</c:v>
                </c:pt>
                <c:pt idx="96">
                  <c:v>1.8414305882352942</c:v>
                </c:pt>
                <c:pt idx="97">
                  <c:v>1.8606121568627452</c:v>
                </c:pt>
                <c:pt idx="98">
                  <c:v>1.8797937254901962</c:v>
                </c:pt>
                <c:pt idx="99">
                  <c:v>1.8989752941176472</c:v>
                </c:pt>
                <c:pt idx="100">
                  <c:v>1.918156862745098</c:v>
                </c:pt>
                <c:pt idx="101">
                  <c:v>1.937338431372549</c:v>
                </c:pt>
                <c:pt idx="102">
                  <c:v>1.9565200000000003</c:v>
                </c:pt>
                <c:pt idx="103">
                  <c:v>1.9757015686274511</c:v>
                </c:pt>
                <c:pt idx="104">
                  <c:v>1.9948831372549021</c:v>
                </c:pt>
                <c:pt idx="105">
                  <c:v>2.0140647058823529</c:v>
                </c:pt>
                <c:pt idx="106">
                  <c:v>2.0332462745098043</c:v>
                </c:pt>
                <c:pt idx="107">
                  <c:v>2.0524278431372549</c:v>
                </c:pt>
                <c:pt idx="108">
                  <c:v>2.0716094117647059</c:v>
                </c:pt>
                <c:pt idx="109">
                  <c:v>2.0907909803921569</c:v>
                </c:pt>
                <c:pt idx="110">
                  <c:v>2.109972549019608</c:v>
                </c:pt>
                <c:pt idx="111">
                  <c:v>2.129154117647059</c:v>
                </c:pt>
                <c:pt idx="112">
                  <c:v>2.14833568627451</c:v>
                </c:pt>
                <c:pt idx="113">
                  <c:v>2.1675172549019606</c:v>
                </c:pt>
                <c:pt idx="114">
                  <c:v>2.186698823529412</c:v>
                </c:pt>
                <c:pt idx="115">
                  <c:v>2.205880392156863</c:v>
                </c:pt>
                <c:pt idx="116">
                  <c:v>2.2250619607843136</c:v>
                </c:pt>
                <c:pt idx="117">
                  <c:v>2.2442435294117646</c:v>
                </c:pt>
                <c:pt idx="118">
                  <c:v>2.2634250980392161</c:v>
                </c:pt>
                <c:pt idx="119">
                  <c:v>2.2826066666666667</c:v>
                </c:pt>
                <c:pt idx="120">
                  <c:v>2.3017882352941177</c:v>
                </c:pt>
                <c:pt idx="121">
                  <c:v>2.3209698039215687</c:v>
                </c:pt>
                <c:pt idx="122">
                  <c:v>2.3401513725490197</c:v>
                </c:pt>
                <c:pt idx="123">
                  <c:v>2.3593329411764707</c:v>
                </c:pt>
                <c:pt idx="124">
                  <c:v>2.3785145098039218</c:v>
                </c:pt>
                <c:pt idx="125">
                  <c:v>2.3976960784313723</c:v>
                </c:pt>
                <c:pt idx="126">
                  <c:v>2.4168776470588238</c:v>
                </c:pt>
                <c:pt idx="127">
                  <c:v>2.4360592156862748</c:v>
                </c:pt>
                <c:pt idx="128">
                  <c:v>2.4552407843137254</c:v>
                </c:pt>
                <c:pt idx="129">
                  <c:v>2.4744223529411764</c:v>
                </c:pt>
                <c:pt idx="130">
                  <c:v>2.4936039215686274</c:v>
                </c:pt>
                <c:pt idx="131">
                  <c:v>2.5127854901960784</c:v>
                </c:pt>
                <c:pt idx="132">
                  <c:v>2.5319670588235299</c:v>
                </c:pt>
                <c:pt idx="133">
                  <c:v>2.5511486274509805</c:v>
                </c:pt>
                <c:pt idx="134">
                  <c:v>2.5703301960784315</c:v>
                </c:pt>
                <c:pt idx="135">
                  <c:v>2.5895117647058825</c:v>
                </c:pt>
                <c:pt idx="136">
                  <c:v>2.6086933333333335</c:v>
                </c:pt>
                <c:pt idx="137">
                  <c:v>2.6278749019607841</c:v>
                </c:pt>
                <c:pt idx="138">
                  <c:v>2.6470564705882351</c:v>
                </c:pt>
                <c:pt idx="139">
                  <c:v>2.6662380392156861</c:v>
                </c:pt>
                <c:pt idx="140">
                  <c:v>2.6854196078431376</c:v>
                </c:pt>
                <c:pt idx="141">
                  <c:v>2.7046011764705886</c:v>
                </c:pt>
                <c:pt idx="142">
                  <c:v>2.7237827450980396</c:v>
                </c:pt>
                <c:pt idx="143">
                  <c:v>2.7429643137254902</c:v>
                </c:pt>
                <c:pt idx="144">
                  <c:v>2.7621458823529412</c:v>
                </c:pt>
                <c:pt idx="145">
                  <c:v>2.7813274509803922</c:v>
                </c:pt>
                <c:pt idx="146">
                  <c:v>2.8005090196078433</c:v>
                </c:pt>
                <c:pt idx="147">
                  <c:v>2.8196905882352938</c:v>
                </c:pt>
                <c:pt idx="148">
                  <c:v>2.8388721568627453</c:v>
                </c:pt>
                <c:pt idx="149">
                  <c:v>2.8580537254901963</c:v>
                </c:pt>
                <c:pt idx="150">
                  <c:v>2.8772352941176473</c:v>
                </c:pt>
                <c:pt idx="151">
                  <c:v>2.8964168627450984</c:v>
                </c:pt>
                <c:pt idx="152">
                  <c:v>2.9155984313725489</c:v>
                </c:pt>
                <c:pt idx="153">
                  <c:v>2.9347799999999999</c:v>
                </c:pt>
                <c:pt idx="154">
                  <c:v>2.953961568627451</c:v>
                </c:pt>
                <c:pt idx="155">
                  <c:v>2.973143137254902</c:v>
                </c:pt>
                <c:pt idx="156">
                  <c:v>2.9923247058823534</c:v>
                </c:pt>
                <c:pt idx="157">
                  <c:v>3.011506274509804</c:v>
                </c:pt>
                <c:pt idx="158">
                  <c:v>3.030687843137255</c:v>
                </c:pt>
                <c:pt idx="159">
                  <c:v>3.0498694117647061</c:v>
                </c:pt>
                <c:pt idx="160">
                  <c:v>3.0690509803921571</c:v>
                </c:pt>
                <c:pt idx="161">
                  <c:v>3.0882325490196076</c:v>
                </c:pt>
                <c:pt idx="162">
                  <c:v>3.1074141176470587</c:v>
                </c:pt>
                <c:pt idx="163">
                  <c:v>3.1265956862745097</c:v>
                </c:pt>
                <c:pt idx="164">
                  <c:v>3.1457772549019611</c:v>
                </c:pt>
                <c:pt idx="165">
                  <c:v>3.1649588235294122</c:v>
                </c:pt>
                <c:pt idx="166">
                  <c:v>3.1841403921568632</c:v>
                </c:pt>
                <c:pt idx="167">
                  <c:v>3.2033219607843137</c:v>
                </c:pt>
                <c:pt idx="168">
                  <c:v>3.2225035294117648</c:v>
                </c:pt>
                <c:pt idx="169">
                  <c:v>3.2416850980392158</c:v>
                </c:pt>
                <c:pt idx="170">
                  <c:v>3.2608666666666668</c:v>
                </c:pt>
                <c:pt idx="171">
                  <c:v>3.2800482352941174</c:v>
                </c:pt>
                <c:pt idx="172">
                  <c:v>3.2992298039215688</c:v>
                </c:pt>
                <c:pt idx="173">
                  <c:v>3.3184113725490199</c:v>
                </c:pt>
                <c:pt idx="174">
                  <c:v>3.3375929411764709</c:v>
                </c:pt>
                <c:pt idx="175">
                  <c:v>3.3567745098039219</c:v>
                </c:pt>
                <c:pt idx="176">
                  <c:v>3.3759560784313725</c:v>
                </c:pt>
                <c:pt idx="177">
                  <c:v>3.3951376470588235</c:v>
                </c:pt>
                <c:pt idx="178">
                  <c:v>3.4143192156862745</c:v>
                </c:pt>
                <c:pt idx="179">
                  <c:v>3.4335007843137255</c:v>
                </c:pt>
                <c:pt idx="180">
                  <c:v>3.452682352941177</c:v>
                </c:pt>
                <c:pt idx="181">
                  <c:v>3.4718639215686276</c:v>
                </c:pt>
                <c:pt idx="182">
                  <c:v>3.4910454901960786</c:v>
                </c:pt>
                <c:pt idx="183">
                  <c:v>3.5102270588235296</c:v>
                </c:pt>
                <c:pt idx="184">
                  <c:v>3.5294086274509806</c:v>
                </c:pt>
                <c:pt idx="185">
                  <c:v>3.5485901960784316</c:v>
                </c:pt>
                <c:pt idx="186">
                  <c:v>3.5677717647058822</c:v>
                </c:pt>
                <c:pt idx="187">
                  <c:v>3.5869533333333332</c:v>
                </c:pt>
                <c:pt idx="188">
                  <c:v>3.6061349019607847</c:v>
                </c:pt>
                <c:pt idx="189">
                  <c:v>3.6253164705882357</c:v>
                </c:pt>
                <c:pt idx="190">
                  <c:v>3.6444980392156867</c:v>
                </c:pt>
                <c:pt idx="191">
                  <c:v>3.6636796078431373</c:v>
                </c:pt>
                <c:pt idx="192">
                  <c:v>3.6828611764705883</c:v>
                </c:pt>
                <c:pt idx="193">
                  <c:v>3.7020427450980393</c:v>
                </c:pt>
                <c:pt idx="194">
                  <c:v>3.7212243137254903</c:v>
                </c:pt>
                <c:pt idx="195">
                  <c:v>3.7404058823529409</c:v>
                </c:pt>
                <c:pt idx="196">
                  <c:v>3.7595874509803924</c:v>
                </c:pt>
                <c:pt idx="197">
                  <c:v>3.7787690196078434</c:v>
                </c:pt>
                <c:pt idx="198">
                  <c:v>3.7979505882352944</c:v>
                </c:pt>
                <c:pt idx="199">
                  <c:v>3.8171321568627454</c:v>
                </c:pt>
                <c:pt idx="200">
                  <c:v>3.836313725490196</c:v>
                </c:pt>
                <c:pt idx="201">
                  <c:v>3.855495294117647</c:v>
                </c:pt>
                <c:pt idx="202">
                  <c:v>3.874676862745098</c:v>
                </c:pt>
                <c:pt idx="203">
                  <c:v>3.8938584313725491</c:v>
                </c:pt>
                <c:pt idx="204">
                  <c:v>3.9130400000000005</c:v>
                </c:pt>
                <c:pt idx="205">
                  <c:v>3.9322215686274511</c:v>
                </c:pt>
                <c:pt idx="206">
                  <c:v>3.9514031372549021</c:v>
                </c:pt>
                <c:pt idx="207">
                  <c:v>3.9705847058823531</c:v>
                </c:pt>
                <c:pt idx="208">
                  <c:v>3.9897662745098041</c:v>
                </c:pt>
                <c:pt idx="209">
                  <c:v>4.0089478431372552</c:v>
                </c:pt>
                <c:pt idx="210">
                  <c:v>4.0281294117647057</c:v>
                </c:pt>
                <c:pt idx="211">
                  <c:v>4.0473109803921572</c:v>
                </c:pt>
                <c:pt idx="212">
                  <c:v>4.0664925490196087</c:v>
                </c:pt>
                <c:pt idx="213">
                  <c:v>4.0856741176470592</c:v>
                </c:pt>
                <c:pt idx="214">
                  <c:v>4.1048556862745098</c:v>
                </c:pt>
                <c:pt idx="215">
                  <c:v>4.1240372549019613</c:v>
                </c:pt>
                <c:pt idx="216">
                  <c:v>4.1432188235294118</c:v>
                </c:pt>
                <c:pt idx="217">
                  <c:v>4.1624003921568624</c:v>
                </c:pt>
                <c:pt idx="218">
                  <c:v>4.1815819607843139</c:v>
                </c:pt>
                <c:pt idx="219">
                  <c:v>4.2007635294117645</c:v>
                </c:pt>
                <c:pt idx="220">
                  <c:v>4.2199450980392159</c:v>
                </c:pt>
                <c:pt idx="221">
                  <c:v>4.2391266666666674</c:v>
                </c:pt>
                <c:pt idx="222">
                  <c:v>4.2583082352941179</c:v>
                </c:pt>
                <c:pt idx="223">
                  <c:v>4.2774898039215685</c:v>
                </c:pt>
                <c:pt idx="224">
                  <c:v>4.29667137254902</c:v>
                </c:pt>
                <c:pt idx="225">
                  <c:v>4.3158529411764706</c:v>
                </c:pt>
                <c:pt idx="226">
                  <c:v>4.3350345098039211</c:v>
                </c:pt>
                <c:pt idx="227">
                  <c:v>4.3542160784313726</c:v>
                </c:pt>
                <c:pt idx="228">
                  <c:v>4.3733976470588241</c:v>
                </c:pt>
                <c:pt idx="229">
                  <c:v>4.3925792156862746</c:v>
                </c:pt>
                <c:pt idx="230">
                  <c:v>4.4117607843137261</c:v>
                </c:pt>
                <c:pt idx="231">
                  <c:v>4.4309423529411767</c:v>
                </c:pt>
                <c:pt idx="232">
                  <c:v>4.4501239215686272</c:v>
                </c:pt>
                <c:pt idx="233">
                  <c:v>4.4693054901960787</c:v>
                </c:pt>
                <c:pt idx="234">
                  <c:v>4.4884870588235293</c:v>
                </c:pt>
                <c:pt idx="235">
                  <c:v>4.5076686274509807</c:v>
                </c:pt>
                <c:pt idx="236">
                  <c:v>4.5268501960784322</c:v>
                </c:pt>
                <c:pt idx="237">
                  <c:v>4.5460317647058828</c:v>
                </c:pt>
                <c:pt idx="238">
                  <c:v>4.5652133333333333</c:v>
                </c:pt>
                <c:pt idx="239">
                  <c:v>4.5843949019607848</c:v>
                </c:pt>
                <c:pt idx="240">
                  <c:v>4.6035764705882354</c:v>
                </c:pt>
                <c:pt idx="241">
                  <c:v>4.622758039215686</c:v>
                </c:pt>
                <c:pt idx="242">
                  <c:v>4.6419396078431374</c:v>
                </c:pt>
                <c:pt idx="243">
                  <c:v>4.661121176470588</c:v>
                </c:pt>
                <c:pt idx="244">
                  <c:v>4.6803027450980395</c:v>
                </c:pt>
                <c:pt idx="245">
                  <c:v>4.6994843137254909</c:v>
                </c:pt>
                <c:pt idx="246">
                  <c:v>4.7186658823529415</c:v>
                </c:pt>
                <c:pt idx="247">
                  <c:v>4.7378474509803921</c:v>
                </c:pt>
                <c:pt idx="248">
                  <c:v>4.7570290196078435</c:v>
                </c:pt>
                <c:pt idx="249">
                  <c:v>4.7762105882352941</c:v>
                </c:pt>
                <c:pt idx="250">
                  <c:v>4.7953921568627447</c:v>
                </c:pt>
                <c:pt idx="251">
                  <c:v>4.8145737254901961</c:v>
                </c:pt>
                <c:pt idx="252">
                  <c:v>4.8337552941176476</c:v>
                </c:pt>
                <c:pt idx="253">
                  <c:v>4.8529368627450982</c:v>
                </c:pt>
                <c:pt idx="254">
                  <c:v>4.8721184313725496</c:v>
                </c:pt>
                <c:pt idx="255">
                  <c:v>4.8913000000000002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3285</c:v>
                </c:pt>
                <c:pt idx="7">
                  <c:v>0</c:v>
                </c:pt>
                <c:pt idx="8">
                  <c:v>9156</c:v>
                </c:pt>
                <c:pt idx="9">
                  <c:v>0</c:v>
                </c:pt>
                <c:pt idx="10">
                  <c:v>0</c:v>
                </c:pt>
                <c:pt idx="11">
                  <c:v>11500</c:v>
                </c:pt>
                <c:pt idx="12">
                  <c:v>0</c:v>
                </c:pt>
                <c:pt idx="13">
                  <c:v>13615</c:v>
                </c:pt>
                <c:pt idx="14">
                  <c:v>0</c:v>
                </c:pt>
                <c:pt idx="15">
                  <c:v>0</c:v>
                </c:pt>
                <c:pt idx="16">
                  <c:v>19297</c:v>
                </c:pt>
                <c:pt idx="17">
                  <c:v>0</c:v>
                </c:pt>
                <c:pt idx="18">
                  <c:v>0</c:v>
                </c:pt>
                <c:pt idx="19">
                  <c:v>25717</c:v>
                </c:pt>
                <c:pt idx="20">
                  <c:v>0</c:v>
                </c:pt>
                <c:pt idx="21">
                  <c:v>28771</c:v>
                </c:pt>
                <c:pt idx="22">
                  <c:v>0</c:v>
                </c:pt>
                <c:pt idx="23">
                  <c:v>0</c:v>
                </c:pt>
                <c:pt idx="24">
                  <c:v>29918</c:v>
                </c:pt>
                <c:pt idx="25">
                  <c:v>0</c:v>
                </c:pt>
                <c:pt idx="26">
                  <c:v>33063</c:v>
                </c:pt>
                <c:pt idx="27">
                  <c:v>0</c:v>
                </c:pt>
                <c:pt idx="28">
                  <c:v>0</c:v>
                </c:pt>
                <c:pt idx="29">
                  <c:v>36034</c:v>
                </c:pt>
                <c:pt idx="30">
                  <c:v>0</c:v>
                </c:pt>
                <c:pt idx="31">
                  <c:v>38203</c:v>
                </c:pt>
                <c:pt idx="32">
                  <c:v>0</c:v>
                </c:pt>
                <c:pt idx="33">
                  <c:v>0</c:v>
                </c:pt>
                <c:pt idx="34">
                  <c:v>37741</c:v>
                </c:pt>
                <c:pt idx="35">
                  <c:v>0</c:v>
                </c:pt>
                <c:pt idx="36">
                  <c:v>0</c:v>
                </c:pt>
                <c:pt idx="37">
                  <c:v>38910</c:v>
                </c:pt>
                <c:pt idx="38">
                  <c:v>0</c:v>
                </c:pt>
                <c:pt idx="39">
                  <c:v>34385</c:v>
                </c:pt>
                <c:pt idx="40">
                  <c:v>0</c:v>
                </c:pt>
                <c:pt idx="41">
                  <c:v>0</c:v>
                </c:pt>
                <c:pt idx="42">
                  <c:v>36283</c:v>
                </c:pt>
                <c:pt idx="43">
                  <c:v>0</c:v>
                </c:pt>
                <c:pt idx="44">
                  <c:v>31109</c:v>
                </c:pt>
                <c:pt idx="45">
                  <c:v>0</c:v>
                </c:pt>
                <c:pt idx="46">
                  <c:v>0</c:v>
                </c:pt>
                <c:pt idx="47">
                  <c:v>30436</c:v>
                </c:pt>
                <c:pt idx="48">
                  <c:v>0</c:v>
                </c:pt>
                <c:pt idx="49">
                  <c:v>28414</c:v>
                </c:pt>
                <c:pt idx="50">
                  <c:v>0</c:v>
                </c:pt>
                <c:pt idx="51">
                  <c:v>0</c:v>
                </c:pt>
                <c:pt idx="52">
                  <c:v>24687</c:v>
                </c:pt>
                <c:pt idx="53">
                  <c:v>0</c:v>
                </c:pt>
                <c:pt idx="54">
                  <c:v>0</c:v>
                </c:pt>
                <c:pt idx="55">
                  <c:v>24348</c:v>
                </c:pt>
                <c:pt idx="56">
                  <c:v>0</c:v>
                </c:pt>
                <c:pt idx="57">
                  <c:v>19028</c:v>
                </c:pt>
                <c:pt idx="58">
                  <c:v>0</c:v>
                </c:pt>
                <c:pt idx="59">
                  <c:v>0</c:v>
                </c:pt>
                <c:pt idx="60">
                  <c:v>20114</c:v>
                </c:pt>
                <c:pt idx="61">
                  <c:v>0</c:v>
                </c:pt>
                <c:pt idx="62">
                  <c:v>17248</c:v>
                </c:pt>
                <c:pt idx="63">
                  <c:v>0</c:v>
                </c:pt>
                <c:pt idx="64">
                  <c:v>0</c:v>
                </c:pt>
                <c:pt idx="65">
                  <c:v>15377</c:v>
                </c:pt>
                <c:pt idx="66">
                  <c:v>0</c:v>
                </c:pt>
                <c:pt idx="67">
                  <c:v>14401</c:v>
                </c:pt>
                <c:pt idx="68">
                  <c:v>0</c:v>
                </c:pt>
                <c:pt idx="69">
                  <c:v>0</c:v>
                </c:pt>
                <c:pt idx="70">
                  <c:v>13177</c:v>
                </c:pt>
                <c:pt idx="71">
                  <c:v>0</c:v>
                </c:pt>
                <c:pt idx="72">
                  <c:v>0</c:v>
                </c:pt>
                <c:pt idx="73">
                  <c:v>14868</c:v>
                </c:pt>
                <c:pt idx="74">
                  <c:v>0</c:v>
                </c:pt>
                <c:pt idx="75">
                  <c:v>13374</c:v>
                </c:pt>
                <c:pt idx="76">
                  <c:v>0</c:v>
                </c:pt>
                <c:pt idx="77">
                  <c:v>0</c:v>
                </c:pt>
                <c:pt idx="78">
                  <c:v>12602</c:v>
                </c:pt>
                <c:pt idx="79">
                  <c:v>0</c:v>
                </c:pt>
                <c:pt idx="80">
                  <c:v>12508</c:v>
                </c:pt>
                <c:pt idx="81">
                  <c:v>0</c:v>
                </c:pt>
                <c:pt idx="82">
                  <c:v>0</c:v>
                </c:pt>
                <c:pt idx="83">
                  <c:v>12721</c:v>
                </c:pt>
                <c:pt idx="84">
                  <c:v>0</c:v>
                </c:pt>
                <c:pt idx="85">
                  <c:v>0</c:v>
                </c:pt>
                <c:pt idx="86">
                  <c:v>13315</c:v>
                </c:pt>
                <c:pt idx="87">
                  <c:v>0</c:v>
                </c:pt>
                <c:pt idx="88">
                  <c:v>12881</c:v>
                </c:pt>
                <c:pt idx="89">
                  <c:v>0</c:v>
                </c:pt>
                <c:pt idx="90">
                  <c:v>0</c:v>
                </c:pt>
                <c:pt idx="91">
                  <c:v>13097</c:v>
                </c:pt>
                <c:pt idx="92">
                  <c:v>0</c:v>
                </c:pt>
                <c:pt idx="93">
                  <c:v>11849</c:v>
                </c:pt>
                <c:pt idx="94">
                  <c:v>0</c:v>
                </c:pt>
                <c:pt idx="95">
                  <c:v>0</c:v>
                </c:pt>
                <c:pt idx="96">
                  <c:v>11876</c:v>
                </c:pt>
                <c:pt idx="97">
                  <c:v>0</c:v>
                </c:pt>
                <c:pt idx="98">
                  <c:v>11657</c:v>
                </c:pt>
                <c:pt idx="99">
                  <c:v>0</c:v>
                </c:pt>
                <c:pt idx="100">
                  <c:v>0</c:v>
                </c:pt>
                <c:pt idx="101">
                  <c:v>11529</c:v>
                </c:pt>
                <c:pt idx="102">
                  <c:v>0</c:v>
                </c:pt>
                <c:pt idx="103">
                  <c:v>0</c:v>
                </c:pt>
                <c:pt idx="104">
                  <c:v>10263</c:v>
                </c:pt>
                <c:pt idx="105">
                  <c:v>0</c:v>
                </c:pt>
                <c:pt idx="106">
                  <c:v>9699</c:v>
                </c:pt>
                <c:pt idx="107">
                  <c:v>0</c:v>
                </c:pt>
                <c:pt idx="108">
                  <c:v>0</c:v>
                </c:pt>
                <c:pt idx="109">
                  <c:v>9466</c:v>
                </c:pt>
                <c:pt idx="110">
                  <c:v>0</c:v>
                </c:pt>
                <c:pt idx="111">
                  <c:v>8861</c:v>
                </c:pt>
                <c:pt idx="112">
                  <c:v>0</c:v>
                </c:pt>
                <c:pt idx="113">
                  <c:v>0</c:v>
                </c:pt>
                <c:pt idx="114">
                  <c:v>8468</c:v>
                </c:pt>
                <c:pt idx="115">
                  <c:v>0</c:v>
                </c:pt>
                <c:pt idx="116">
                  <c:v>7479</c:v>
                </c:pt>
                <c:pt idx="117">
                  <c:v>0</c:v>
                </c:pt>
                <c:pt idx="118">
                  <c:v>0</c:v>
                </c:pt>
                <c:pt idx="119">
                  <c:v>8101</c:v>
                </c:pt>
                <c:pt idx="120">
                  <c:v>0</c:v>
                </c:pt>
                <c:pt idx="121">
                  <c:v>0</c:v>
                </c:pt>
                <c:pt idx="122">
                  <c:v>6449</c:v>
                </c:pt>
                <c:pt idx="123">
                  <c:v>0</c:v>
                </c:pt>
                <c:pt idx="124">
                  <c:v>7083</c:v>
                </c:pt>
                <c:pt idx="125">
                  <c:v>0</c:v>
                </c:pt>
                <c:pt idx="126">
                  <c:v>0</c:v>
                </c:pt>
                <c:pt idx="127">
                  <c:v>5375</c:v>
                </c:pt>
                <c:pt idx="128">
                  <c:v>0</c:v>
                </c:pt>
                <c:pt idx="129">
                  <c:v>6915</c:v>
                </c:pt>
                <c:pt idx="130">
                  <c:v>0</c:v>
                </c:pt>
                <c:pt idx="131">
                  <c:v>0</c:v>
                </c:pt>
                <c:pt idx="132">
                  <c:v>5117</c:v>
                </c:pt>
                <c:pt idx="133">
                  <c:v>0</c:v>
                </c:pt>
                <c:pt idx="134">
                  <c:v>5021</c:v>
                </c:pt>
                <c:pt idx="135">
                  <c:v>0</c:v>
                </c:pt>
                <c:pt idx="136">
                  <c:v>0</c:v>
                </c:pt>
                <c:pt idx="137">
                  <c:v>5379</c:v>
                </c:pt>
                <c:pt idx="138">
                  <c:v>0</c:v>
                </c:pt>
                <c:pt idx="139">
                  <c:v>0</c:v>
                </c:pt>
                <c:pt idx="140">
                  <c:v>4128</c:v>
                </c:pt>
                <c:pt idx="141">
                  <c:v>0</c:v>
                </c:pt>
                <c:pt idx="142">
                  <c:v>3141</c:v>
                </c:pt>
                <c:pt idx="143">
                  <c:v>0</c:v>
                </c:pt>
                <c:pt idx="144">
                  <c:v>0</c:v>
                </c:pt>
                <c:pt idx="145">
                  <c:v>2614</c:v>
                </c:pt>
                <c:pt idx="146">
                  <c:v>0</c:v>
                </c:pt>
                <c:pt idx="147">
                  <c:v>1988</c:v>
                </c:pt>
                <c:pt idx="148">
                  <c:v>0</c:v>
                </c:pt>
                <c:pt idx="149">
                  <c:v>0</c:v>
                </c:pt>
                <c:pt idx="150">
                  <c:v>900</c:v>
                </c:pt>
                <c:pt idx="151">
                  <c:v>0</c:v>
                </c:pt>
                <c:pt idx="152">
                  <c:v>999</c:v>
                </c:pt>
                <c:pt idx="153">
                  <c:v>0</c:v>
                </c:pt>
                <c:pt idx="154">
                  <c:v>0</c:v>
                </c:pt>
                <c:pt idx="155">
                  <c:v>194</c:v>
                </c:pt>
                <c:pt idx="156">
                  <c:v>0</c:v>
                </c:pt>
                <c:pt idx="157">
                  <c:v>0</c:v>
                </c:pt>
                <c:pt idx="158">
                  <c:v>194</c:v>
                </c:pt>
                <c:pt idx="159">
                  <c:v>0</c:v>
                </c:pt>
                <c:pt idx="160">
                  <c:v>89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1055</c:v>
                </c:pt>
                <c:pt idx="7">
                  <c:v>0</c:v>
                </c:pt>
                <c:pt idx="8">
                  <c:v>1366</c:v>
                </c:pt>
                <c:pt idx="9">
                  <c:v>0</c:v>
                </c:pt>
                <c:pt idx="10">
                  <c:v>0</c:v>
                </c:pt>
                <c:pt idx="11">
                  <c:v>4092</c:v>
                </c:pt>
                <c:pt idx="12">
                  <c:v>0</c:v>
                </c:pt>
                <c:pt idx="13">
                  <c:v>4503</c:v>
                </c:pt>
                <c:pt idx="14">
                  <c:v>0</c:v>
                </c:pt>
                <c:pt idx="15">
                  <c:v>0</c:v>
                </c:pt>
                <c:pt idx="16">
                  <c:v>5306</c:v>
                </c:pt>
                <c:pt idx="17">
                  <c:v>0</c:v>
                </c:pt>
                <c:pt idx="18">
                  <c:v>0</c:v>
                </c:pt>
                <c:pt idx="19">
                  <c:v>7196</c:v>
                </c:pt>
                <c:pt idx="20">
                  <c:v>0</c:v>
                </c:pt>
                <c:pt idx="21">
                  <c:v>8043</c:v>
                </c:pt>
                <c:pt idx="22">
                  <c:v>0</c:v>
                </c:pt>
                <c:pt idx="23">
                  <c:v>0</c:v>
                </c:pt>
                <c:pt idx="24">
                  <c:v>6693</c:v>
                </c:pt>
                <c:pt idx="25">
                  <c:v>0</c:v>
                </c:pt>
                <c:pt idx="26">
                  <c:v>13133</c:v>
                </c:pt>
                <c:pt idx="27">
                  <c:v>0</c:v>
                </c:pt>
                <c:pt idx="28">
                  <c:v>0</c:v>
                </c:pt>
                <c:pt idx="29">
                  <c:v>18289</c:v>
                </c:pt>
                <c:pt idx="30">
                  <c:v>0</c:v>
                </c:pt>
                <c:pt idx="31">
                  <c:v>15918</c:v>
                </c:pt>
                <c:pt idx="32">
                  <c:v>0</c:v>
                </c:pt>
                <c:pt idx="33">
                  <c:v>0</c:v>
                </c:pt>
                <c:pt idx="34">
                  <c:v>20152</c:v>
                </c:pt>
                <c:pt idx="35">
                  <c:v>0</c:v>
                </c:pt>
                <c:pt idx="36">
                  <c:v>0</c:v>
                </c:pt>
                <c:pt idx="37">
                  <c:v>21930</c:v>
                </c:pt>
                <c:pt idx="38">
                  <c:v>0</c:v>
                </c:pt>
                <c:pt idx="39">
                  <c:v>28814</c:v>
                </c:pt>
                <c:pt idx="40">
                  <c:v>0</c:v>
                </c:pt>
                <c:pt idx="41">
                  <c:v>0</c:v>
                </c:pt>
                <c:pt idx="42">
                  <c:v>27713</c:v>
                </c:pt>
                <c:pt idx="43">
                  <c:v>0</c:v>
                </c:pt>
                <c:pt idx="44">
                  <c:v>32165</c:v>
                </c:pt>
                <c:pt idx="45">
                  <c:v>0</c:v>
                </c:pt>
                <c:pt idx="46">
                  <c:v>0</c:v>
                </c:pt>
                <c:pt idx="47">
                  <c:v>38278</c:v>
                </c:pt>
                <c:pt idx="48">
                  <c:v>0</c:v>
                </c:pt>
                <c:pt idx="49">
                  <c:v>37454</c:v>
                </c:pt>
                <c:pt idx="50">
                  <c:v>0</c:v>
                </c:pt>
                <c:pt idx="51">
                  <c:v>0</c:v>
                </c:pt>
                <c:pt idx="52">
                  <c:v>48034</c:v>
                </c:pt>
                <c:pt idx="53">
                  <c:v>0</c:v>
                </c:pt>
                <c:pt idx="54">
                  <c:v>0</c:v>
                </c:pt>
                <c:pt idx="55">
                  <c:v>47289</c:v>
                </c:pt>
                <c:pt idx="56">
                  <c:v>0</c:v>
                </c:pt>
                <c:pt idx="57">
                  <c:v>49156</c:v>
                </c:pt>
                <c:pt idx="58">
                  <c:v>0</c:v>
                </c:pt>
                <c:pt idx="59">
                  <c:v>0</c:v>
                </c:pt>
                <c:pt idx="60">
                  <c:v>52425</c:v>
                </c:pt>
                <c:pt idx="61">
                  <c:v>0</c:v>
                </c:pt>
                <c:pt idx="62">
                  <c:v>53746</c:v>
                </c:pt>
                <c:pt idx="63">
                  <c:v>0</c:v>
                </c:pt>
                <c:pt idx="64">
                  <c:v>0</c:v>
                </c:pt>
                <c:pt idx="65">
                  <c:v>44461</c:v>
                </c:pt>
                <c:pt idx="66">
                  <c:v>0</c:v>
                </c:pt>
                <c:pt idx="67">
                  <c:v>41649</c:v>
                </c:pt>
                <c:pt idx="68">
                  <c:v>0</c:v>
                </c:pt>
                <c:pt idx="69">
                  <c:v>0</c:v>
                </c:pt>
                <c:pt idx="70">
                  <c:v>36517</c:v>
                </c:pt>
                <c:pt idx="71">
                  <c:v>0</c:v>
                </c:pt>
                <c:pt idx="72">
                  <c:v>0</c:v>
                </c:pt>
                <c:pt idx="73">
                  <c:v>35211</c:v>
                </c:pt>
                <c:pt idx="74">
                  <c:v>0</c:v>
                </c:pt>
                <c:pt idx="75">
                  <c:v>31964</c:v>
                </c:pt>
                <c:pt idx="76">
                  <c:v>0</c:v>
                </c:pt>
                <c:pt idx="77">
                  <c:v>0</c:v>
                </c:pt>
                <c:pt idx="78">
                  <c:v>26539</c:v>
                </c:pt>
                <c:pt idx="79">
                  <c:v>0</c:v>
                </c:pt>
                <c:pt idx="80">
                  <c:v>23697</c:v>
                </c:pt>
                <c:pt idx="81">
                  <c:v>0</c:v>
                </c:pt>
                <c:pt idx="82">
                  <c:v>0</c:v>
                </c:pt>
                <c:pt idx="83">
                  <c:v>21889</c:v>
                </c:pt>
                <c:pt idx="84">
                  <c:v>0</c:v>
                </c:pt>
                <c:pt idx="85">
                  <c:v>0</c:v>
                </c:pt>
                <c:pt idx="86">
                  <c:v>20227</c:v>
                </c:pt>
                <c:pt idx="87">
                  <c:v>0</c:v>
                </c:pt>
                <c:pt idx="88">
                  <c:v>17518</c:v>
                </c:pt>
                <c:pt idx="89">
                  <c:v>0</c:v>
                </c:pt>
                <c:pt idx="90">
                  <c:v>0</c:v>
                </c:pt>
                <c:pt idx="91">
                  <c:v>15120</c:v>
                </c:pt>
                <c:pt idx="92">
                  <c:v>0</c:v>
                </c:pt>
                <c:pt idx="93">
                  <c:v>17063</c:v>
                </c:pt>
                <c:pt idx="94">
                  <c:v>0</c:v>
                </c:pt>
                <c:pt idx="95">
                  <c:v>0</c:v>
                </c:pt>
                <c:pt idx="96">
                  <c:v>16744</c:v>
                </c:pt>
                <c:pt idx="97">
                  <c:v>0</c:v>
                </c:pt>
                <c:pt idx="98">
                  <c:v>16759</c:v>
                </c:pt>
                <c:pt idx="99">
                  <c:v>0</c:v>
                </c:pt>
                <c:pt idx="100">
                  <c:v>0</c:v>
                </c:pt>
                <c:pt idx="101">
                  <c:v>14341</c:v>
                </c:pt>
                <c:pt idx="102">
                  <c:v>0</c:v>
                </c:pt>
                <c:pt idx="103">
                  <c:v>0</c:v>
                </c:pt>
                <c:pt idx="104">
                  <c:v>14930</c:v>
                </c:pt>
                <c:pt idx="105">
                  <c:v>0</c:v>
                </c:pt>
                <c:pt idx="106">
                  <c:v>13135</c:v>
                </c:pt>
                <c:pt idx="107">
                  <c:v>0</c:v>
                </c:pt>
                <c:pt idx="108">
                  <c:v>0</c:v>
                </c:pt>
                <c:pt idx="109">
                  <c:v>15497</c:v>
                </c:pt>
                <c:pt idx="110">
                  <c:v>0</c:v>
                </c:pt>
                <c:pt idx="111">
                  <c:v>16581</c:v>
                </c:pt>
                <c:pt idx="112">
                  <c:v>0</c:v>
                </c:pt>
                <c:pt idx="113">
                  <c:v>0</c:v>
                </c:pt>
                <c:pt idx="114">
                  <c:v>17060</c:v>
                </c:pt>
                <c:pt idx="115">
                  <c:v>0</c:v>
                </c:pt>
                <c:pt idx="116">
                  <c:v>18091</c:v>
                </c:pt>
                <c:pt idx="117">
                  <c:v>0</c:v>
                </c:pt>
                <c:pt idx="118">
                  <c:v>0</c:v>
                </c:pt>
                <c:pt idx="119">
                  <c:v>22513</c:v>
                </c:pt>
                <c:pt idx="120">
                  <c:v>0</c:v>
                </c:pt>
                <c:pt idx="121">
                  <c:v>0</c:v>
                </c:pt>
                <c:pt idx="122">
                  <c:v>24424</c:v>
                </c:pt>
                <c:pt idx="123">
                  <c:v>0</c:v>
                </c:pt>
                <c:pt idx="124">
                  <c:v>21428</c:v>
                </c:pt>
                <c:pt idx="125">
                  <c:v>0</c:v>
                </c:pt>
                <c:pt idx="126">
                  <c:v>0</c:v>
                </c:pt>
                <c:pt idx="127">
                  <c:v>21018</c:v>
                </c:pt>
                <c:pt idx="128">
                  <c:v>0</c:v>
                </c:pt>
                <c:pt idx="129">
                  <c:v>22680</c:v>
                </c:pt>
                <c:pt idx="130">
                  <c:v>0</c:v>
                </c:pt>
                <c:pt idx="131">
                  <c:v>0</c:v>
                </c:pt>
                <c:pt idx="132">
                  <c:v>25618</c:v>
                </c:pt>
                <c:pt idx="133">
                  <c:v>0</c:v>
                </c:pt>
                <c:pt idx="134">
                  <c:v>27832</c:v>
                </c:pt>
                <c:pt idx="135">
                  <c:v>0</c:v>
                </c:pt>
                <c:pt idx="136">
                  <c:v>0</c:v>
                </c:pt>
                <c:pt idx="137">
                  <c:v>26293</c:v>
                </c:pt>
                <c:pt idx="138">
                  <c:v>0</c:v>
                </c:pt>
                <c:pt idx="139">
                  <c:v>0</c:v>
                </c:pt>
                <c:pt idx="140">
                  <c:v>25334</c:v>
                </c:pt>
                <c:pt idx="141">
                  <c:v>0</c:v>
                </c:pt>
                <c:pt idx="142">
                  <c:v>23310</c:v>
                </c:pt>
                <c:pt idx="143">
                  <c:v>0</c:v>
                </c:pt>
                <c:pt idx="144">
                  <c:v>0</c:v>
                </c:pt>
                <c:pt idx="145">
                  <c:v>27661</c:v>
                </c:pt>
                <c:pt idx="146">
                  <c:v>0</c:v>
                </c:pt>
                <c:pt idx="147">
                  <c:v>28093</c:v>
                </c:pt>
                <c:pt idx="148">
                  <c:v>0</c:v>
                </c:pt>
                <c:pt idx="149">
                  <c:v>0</c:v>
                </c:pt>
                <c:pt idx="150">
                  <c:v>23431</c:v>
                </c:pt>
                <c:pt idx="151">
                  <c:v>0</c:v>
                </c:pt>
                <c:pt idx="152">
                  <c:v>26119</c:v>
                </c:pt>
                <c:pt idx="153">
                  <c:v>0</c:v>
                </c:pt>
                <c:pt idx="154">
                  <c:v>0</c:v>
                </c:pt>
                <c:pt idx="155">
                  <c:v>22396</c:v>
                </c:pt>
                <c:pt idx="156">
                  <c:v>0</c:v>
                </c:pt>
                <c:pt idx="157">
                  <c:v>0</c:v>
                </c:pt>
                <c:pt idx="158">
                  <c:v>23535</c:v>
                </c:pt>
                <c:pt idx="159">
                  <c:v>0</c:v>
                </c:pt>
                <c:pt idx="160">
                  <c:v>22347</c:v>
                </c:pt>
                <c:pt idx="161">
                  <c:v>0</c:v>
                </c:pt>
                <c:pt idx="162">
                  <c:v>0</c:v>
                </c:pt>
                <c:pt idx="163">
                  <c:v>23599</c:v>
                </c:pt>
                <c:pt idx="164">
                  <c:v>0</c:v>
                </c:pt>
                <c:pt idx="165">
                  <c:v>18172</c:v>
                </c:pt>
                <c:pt idx="166">
                  <c:v>0</c:v>
                </c:pt>
                <c:pt idx="167">
                  <c:v>0</c:v>
                </c:pt>
                <c:pt idx="168">
                  <c:v>23247</c:v>
                </c:pt>
                <c:pt idx="169">
                  <c:v>0</c:v>
                </c:pt>
                <c:pt idx="170">
                  <c:v>0</c:v>
                </c:pt>
                <c:pt idx="171">
                  <c:v>21319</c:v>
                </c:pt>
                <c:pt idx="172">
                  <c:v>0</c:v>
                </c:pt>
                <c:pt idx="173">
                  <c:v>22443</c:v>
                </c:pt>
                <c:pt idx="174">
                  <c:v>0</c:v>
                </c:pt>
                <c:pt idx="175">
                  <c:v>0</c:v>
                </c:pt>
                <c:pt idx="176">
                  <c:v>23969</c:v>
                </c:pt>
                <c:pt idx="177">
                  <c:v>0</c:v>
                </c:pt>
                <c:pt idx="178">
                  <c:v>22706</c:v>
                </c:pt>
                <c:pt idx="179">
                  <c:v>0</c:v>
                </c:pt>
                <c:pt idx="180">
                  <c:v>0</c:v>
                </c:pt>
                <c:pt idx="181">
                  <c:v>14920</c:v>
                </c:pt>
                <c:pt idx="182">
                  <c:v>0</c:v>
                </c:pt>
                <c:pt idx="183">
                  <c:v>14865</c:v>
                </c:pt>
                <c:pt idx="184">
                  <c:v>0</c:v>
                </c:pt>
                <c:pt idx="185">
                  <c:v>0</c:v>
                </c:pt>
                <c:pt idx="186">
                  <c:v>12875</c:v>
                </c:pt>
                <c:pt idx="187">
                  <c:v>0</c:v>
                </c:pt>
                <c:pt idx="188">
                  <c:v>0</c:v>
                </c:pt>
                <c:pt idx="189">
                  <c:v>11243</c:v>
                </c:pt>
                <c:pt idx="190">
                  <c:v>0</c:v>
                </c:pt>
                <c:pt idx="191">
                  <c:v>5584</c:v>
                </c:pt>
                <c:pt idx="192">
                  <c:v>0</c:v>
                </c:pt>
                <c:pt idx="193">
                  <c:v>0</c:v>
                </c:pt>
                <c:pt idx="194">
                  <c:v>2806</c:v>
                </c:pt>
                <c:pt idx="195">
                  <c:v>0</c:v>
                </c:pt>
                <c:pt idx="196">
                  <c:v>265</c:v>
                </c:pt>
                <c:pt idx="197">
                  <c:v>0</c:v>
                </c:pt>
                <c:pt idx="198">
                  <c:v>0</c:v>
                </c:pt>
                <c:pt idx="199">
                  <c:v>159</c:v>
                </c:pt>
                <c:pt idx="200">
                  <c:v>0</c:v>
                </c:pt>
                <c:pt idx="201">
                  <c:v>719</c:v>
                </c:pt>
                <c:pt idx="202">
                  <c:v>0</c:v>
                </c:pt>
                <c:pt idx="203">
                  <c:v>0</c:v>
                </c:pt>
                <c:pt idx="204">
                  <c:v>323</c:v>
                </c:pt>
                <c:pt idx="205">
                  <c:v>0</c:v>
                </c:pt>
                <c:pt idx="206">
                  <c:v>0</c:v>
                </c:pt>
                <c:pt idx="207">
                  <c:v>405</c:v>
                </c:pt>
                <c:pt idx="208">
                  <c:v>0</c:v>
                </c:pt>
                <c:pt idx="209">
                  <c:v>487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746176"/>
        <c:axId val="189752064"/>
      </c:lineChart>
      <c:catAx>
        <c:axId val="18974617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89752064"/>
        <c:crosses val="autoZero"/>
        <c:auto val="1"/>
        <c:lblAlgn val="ctr"/>
        <c:lblOffset val="100"/>
        <c:tickMarkSkip val="1"/>
        <c:noMultiLvlLbl val="0"/>
      </c:catAx>
      <c:valAx>
        <c:axId val="18975206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189746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24E-3"/>
          <c:y val="6.8443168741838464E-3"/>
          <c:w val="0.17706323687031106"/>
          <c:h val="0.23754237616849638"/>
        </c:manualLayout>
      </c:layout>
      <c:overlay val="0"/>
      <c:txPr>
        <a:bodyPr/>
        <a:lstStyle/>
        <a:p>
          <a:pPr>
            <a:defRPr lang="en-US"/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4024"/>
          <c:h val="0.664620828646420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23AE-4AC6-A8C2-1C9E7943DB48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3AE-4AC6-A8C2-1C9E7943DB48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23AE-4AC6-A8C2-1C9E7943DB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0.27930523498363624</c:v>
                </c:pt>
                <c:pt idx="1">
                  <c:v>0.29753154721712521</c:v>
                </c:pt>
                <c:pt idx="2">
                  <c:v>0.42316321779923854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533"/>
          <c:y val="0.30107526881720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276E-2"/>
          <c:y val="8.1659167604049565E-2"/>
          <c:w val="0.89906848600446687"/>
          <c:h val="0.64620547431571118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5DAD-4806-A29A-DC29162966D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5DAD-4806-A29A-DC29162966D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5DAD-4806-A29A-DC29162966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0.44079668816655082</c:v>
                </c:pt>
                <c:pt idx="1">
                  <c:v>0.37312712679732951</c:v>
                </c:pt>
                <c:pt idx="2">
                  <c:v>0.18607618503611961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51"/>
          <c:y val="0.326881720430107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4024"/>
          <c:h val="0.664620828646420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F135-4418-B2A9-ADEBCF90CF64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F135-4418-B2A9-ADEBCF90CF64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F135-4418-B2A9-ADEBCF90CF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5.7559249999999995</c:v>
                </c:pt>
                <c:pt idx="1">
                  <c:v>7.5504949999999997</c:v>
                </c:pt>
                <c:pt idx="2">
                  <c:v>31.948599999999999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335E-2"/>
          <c:w val="0.8322325889209371"/>
          <c:h val="0.84167468649752186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  <c:pt idx="38">
                  <c:v>15.443300000000001</c:v>
                </c:pt>
                <c:pt idx="39">
                  <c:v>15.8354</c:v>
                </c:pt>
                <c:pt idx="40">
                  <c:v>16.222300000000001</c:v>
                </c:pt>
                <c:pt idx="41">
                  <c:v>16.625599999999999</c:v>
                </c:pt>
                <c:pt idx="42">
                  <c:v>17.032399999999999</c:v>
                </c:pt>
                <c:pt idx="43">
                  <c:v>17.4405</c:v>
                </c:pt>
                <c:pt idx="44">
                  <c:v>17.844200000000001</c:v>
                </c:pt>
                <c:pt idx="45">
                  <c:v>18.2559</c:v>
                </c:pt>
                <c:pt idx="46">
                  <c:v>18.665299999999998</c:v>
                </c:pt>
                <c:pt idx="47">
                  <c:v>19.058700000000002</c:v>
                </c:pt>
                <c:pt idx="48">
                  <c:v>19.470199999999998</c:v>
                </c:pt>
                <c:pt idx="49">
                  <c:v>19.886399999999998</c:v>
                </c:pt>
                <c:pt idx="50">
                  <c:v>20.280799999999999</c:v>
                </c:pt>
                <c:pt idx="51">
                  <c:v>20.682700000000001</c:v>
                </c:pt>
                <c:pt idx="52">
                  <c:v>21.088999999999999</c:v>
                </c:pt>
                <c:pt idx="53">
                  <c:v>21.498000000000001</c:v>
                </c:pt>
                <c:pt idx="54">
                  <c:v>21.903300000000002</c:v>
                </c:pt>
                <c:pt idx="55">
                  <c:v>22.3096</c:v>
                </c:pt>
                <c:pt idx="56">
                  <c:v>22.717099999999999</c:v>
                </c:pt>
                <c:pt idx="57">
                  <c:v>23.116800000000001</c:v>
                </c:pt>
                <c:pt idx="58">
                  <c:v>23.526599999999998</c:v>
                </c:pt>
                <c:pt idx="59">
                  <c:v>23.931799999999999</c:v>
                </c:pt>
                <c:pt idx="60">
                  <c:v>24.337700000000002</c:v>
                </c:pt>
                <c:pt idx="61">
                  <c:v>24.741199999999999</c:v>
                </c:pt>
                <c:pt idx="62">
                  <c:v>25.154</c:v>
                </c:pt>
                <c:pt idx="63">
                  <c:v>25.558199999999999</c:v>
                </c:pt>
                <c:pt idx="64">
                  <c:v>25.9724</c:v>
                </c:pt>
                <c:pt idx="65">
                  <c:v>26.3748</c:v>
                </c:pt>
                <c:pt idx="66">
                  <c:v>26.773900000000001</c:v>
                </c:pt>
                <c:pt idx="67">
                  <c:v>27.187100000000001</c:v>
                </c:pt>
                <c:pt idx="68">
                  <c:v>27.5839</c:v>
                </c:pt>
                <c:pt idx="69">
                  <c:v>27.989000000000001</c:v>
                </c:pt>
                <c:pt idx="70">
                  <c:v>28.390999999999998</c:v>
                </c:pt>
                <c:pt idx="71">
                  <c:v>28.7971</c:v>
                </c:pt>
                <c:pt idx="72">
                  <c:v>29.207799999999999</c:v>
                </c:pt>
                <c:pt idx="73">
                  <c:v>29.623100000000001</c:v>
                </c:pt>
                <c:pt idx="74">
                  <c:v>30.021999999999998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75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  <c:pt idx="38">
                  <c:v>3.8504300000000002</c:v>
                </c:pt>
                <c:pt idx="39">
                  <c:v>3.8693100000000005</c:v>
                </c:pt>
                <c:pt idx="40">
                  <c:v>3.8855200000000001</c:v>
                </c:pt>
                <c:pt idx="41">
                  <c:v>3.89785</c:v>
                </c:pt>
                <c:pt idx="42">
                  <c:v>3.9066700000000001</c:v>
                </c:pt>
                <c:pt idx="43">
                  <c:v>3.9122499999999998</c:v>
                </c:pt>
                <c:pt idx="44">
                  <c:v>3.9161200000000003</c:v>
                </c:pt>
                <c:pt idx="45">
                  <c:v>3.9196</c:v>
                </c:pt>
                <c:pt idx="46">
                  <c:v>3.9225500000000002</c:v>
                </c:pt>
                <c:pt idx="47">
                  <c:v>3.9269700000000003</c:v>
                </c:pt>
                <c:pt idx="48">
                  <c:v>3.92882</c:v>
                </c:pt>
                <c:pt idx="49">
                  <c:v>3.9313500000000001</c:v>
                </c:pt>
                <c:pt idx="50">
                  <c:v>3.9323399999999999</c:v>
                </c:pt>
                <c:pt idx="51">
                  <c:v>3.9317899999999999</c:v>
                </c:pt>
                <c:pt idx="52">
                  <c:v>3.9310400000000003</c:v>
                </c:pt>
                <c:pt idx="53">
                  <c:v>3.9293</c:v>
                </c:pt>
                <c:pt idx="54">
                  <c:v>3.9267400000000001</c:v>
                </c:pt>
                <c:pt idx="55">
                  <c:v>3.9240999999999997</c:v>
                </c:pt>
                <c:pt idx="56">
                  <c:v>3.9236399999999998</c:v>
                </c:pt>
                <c:pt idx="57">
                  <c:v>3.9203799999999998</c:v>
                </c:pt>
                <c:pt idx="58">
                  <c:v>3.9119100000000002</c:v>
                </c:pt>
                <c:pt idx="59">
                  <c:v>3.9044800000000004</c:v>
                </c:pt>
                <c:pt idx="60">
                  <c:v>3.8985300000000001</c:v>
                </c:pt>
                <c:pt idx="61">
                  <c:v>3.8927800000000001</c:v>
                </c:pt>
                <c:pt idx="62">
                  <c:v>3.8854199999999999</c:v>
                </c:pt>
                <c:pt idx="63">
                  <c:v>3.8813300000000002</c:v>
                </c:pt>
                <c:pt idx="64">
                  <c:v>3.8771800000000001</c:v>
                </c:pt>
                <c:pt idx="65">
                  <c:v>3.8730199999999999</c:v>
                </c:pt>
                <c:pt idx="66">
                  <c:v>3.8690099999999998</c:v>
                </c:pt>
                <c:pt idx="67">
                  <c:v>3.8642300000000001</c:v>
                </c:pt>
                <c:pt idx="68">
                  <c:v>3.8610899999999999</c:v>
                </c:pt>
                <c:pt idx="69">
                  <c:v>3.8557200000000003</c:v>
                </c:pt>
                <c:pt idx="70">
                  <c:v>3.8517099999999997</c:v>
                </c:pt>
                <c:pt idx="71">
                  <c:v>3.8582999999999998</c:v>
                </c:pt>
                <c:pt idx="72">
                  <c:v>3.8618700000000001</c:v>
                </c:pt>
                <c:pt idx="73">
                  <c:v>3.88042</c:v>
                </c:pt>
                <c:pt idx="74">
                  <c:v>3.8696700000000002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38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14.958299999999999</c:v>
                </c:pt>
                <c:pt idx="1">
                  <c:v>15.443300000000001</c:v>
                </c:pt>
                <c:pt idx="2">
                  <c:v>15.8354</c:v>
                </c:pt>
                <c:pt idx="3">
                  <c:v>16.222300000000001</c:v>
                </c:pt>
                <c:pt idx="4">
                  <c:v>16.625599999999999</c:v>
                </c:pt>
                <c:pt idx="5">
                  <c:v>17.032399999999999</c:v>
                </c:pt>
                <c:pt idx="6">
                  <c:v>17.4405</c:v>
                </c:pt>
                <c:pt idx="7">
                  <c:v>17.844200000000001</c:v>
                </c:pt>
                <c:pt idx="8">
                  <c:v>18.2559</c:v>
                </c:pt>
                <c:pt idx="9">
                  <c:v>18.665299999999998</c:v>
                </c:pt>
                <c:pt idx="10">
                  <c:v>19.058700000000002</c:v>
                </c:pt>
                <c:pt idx="11">
                  <c:v>19.470199999999998</c:v>
                </c:pt>
                <c:pt idx="12">
                  <c:v>19.886399999999998</c:v>
                </c:pt>
                <c:pt idx="13">
                  <c:v>20.280799999999999</c:v>
                </c:pt>
                <c:pt idx="14">
                  <c:v>20.682700000000001</c:v>
                </c:pt>
                <c:pt idx="15">
                  <c:v>21.088999999999999</c:v>
                </c:pt>
                <c:pt idx="16">
                  <c:v>21.498000000000001</c:v>
                </c:pt>
                <c:pt idx="17">
                  <c:v>21.903300000000002</c:v>
                </c:pt>
                <c:pt idx="18">
                  <c:v>22.3096</c:v>
                </c:pt>
                <c:pt idx="19">
                  <c:v>22.717099999999999</c:v>
                </c:pt>
                <c:pt idx="20">
                  <c:v>23.116800000000001</c:v>
                </c:pt>
                <c:pt idx="21">
                  <c:v>23.526599999999998</c:v>
                </c:pt>
                <c:pt idx="22">
                  <c:v>23.931799999999999</c:v>
                </c:pt>
                <c:pt idx="23">
                  <c:v>24.337700000000002</c:v>
                </c:pt>
                <c:pt idx="24">
                  <c:v>24.741199999999999</c:v>
                </c:pt>
                <c:pt idx="25">
                  <c:v>25.154</c:v>
                </c:pt>
                <c:pt idx="26">
                  <c:v>25.558199999999999</c:v>
                </c:pt>
                <c:pt idx="27">
                  <c:v>25.9724</c:v>
                </c:pt>
                <c:pt idx="28">
                  <c:v>26.3748</c:v>
                </c:pt>
                <c:pt idx="29">
                  <c:v>26.773900000000001</c:v>
                </c:pt>
                <c:pt idx="30">
                  <c:v>27.187100000000001</c:v>
                </c:pt>
                <c:pt idx="31">
                  <c:v>27.5839</c:v>
                </c:pt>
                <c:pt idx="32">
                  <c:v>27.989000000000001</c:v>
                </c:pt>
                <c:pt idx="33">
                  <c:v>28.390999999999998</c:v>
                </c:pt>
                <c:pt idx="34">
                  <c:v>28.7971</c:v>
                </c:pt>
                <c:pt idx="35">
                  <c:v>29.207799999999999</c:v>
                </c:pt>
                <c:pt idx="36">
                  <c:v>29.623100000000001</c:v>
                </c:pt>
                <c:pt idx="37">
                  <c:v>30.021999999999998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38"/>
                <c:pt idx="0">
                  <c:v>3.8290200000000003</c:v>
                </c:pt>
                <c:pt idx="1">
                  <c:v>3.8504300000000002</c:v>
                </c:pt>
                <c:pt idx="2">
                  <c:v>3.8693100000000005</c:v>
                </c:pt>
                <c:pt idx="3">
                  <c:v>3.8855200000000001</c:v>
                </c:pt>
                <c:pt idx="4">
                  <c:v>3.89785</c:v>
                </c:pt>
                <c:pt idx="5">
                  <c:v>3.9066700000000001</c:v>
                </c:pt>
                <c:pt idx="6">
                  <c:v>3.9122499999999998</c:v>
                </c:pt>
                <c:pt idx="7">
                  <c:v>3.9161200000000003</c:v>
                </c:pt>
                <c:pt idx="8">
                  <c:v>3.9196</c:v>
                </c:pt>
                <c:pt idx="9">
                  <c:v>3.9225500000000002</c:v>
                </c:pt>
                <c:pt idx="10">
                  <c:v>3.9269700000000003</c:v>
                </c:pt>
                <c:pt idx="11">
                  <c:v>3.92882</c:v>
                </c:pt>
                <c:pt idx="12">
                  <c:v>3.9313500000000001</c:v>
                </c:pt>
                <c:pt idx="13">
                  <c:v>3.9323399999999999</c:v>
                </c:pt>
                <c:pt idx="14">
                  <c:v>3.9317899999999999</c:v>
                </c:pt>
                <c:pt idx="15">
                  <c:v>3.9310400000000003</c:v>
                </c:pt>
                <c:pt idx="16">
                  <c:v>3.9293</c:v>
                </c:pt>
                <c:pt idx="17">
                  <c:v>3.9267400000000001</c:v>
                </c:pt>
                <c:pt idx="18">
                  <c:v>3.9240999999999997</c:v>
                </c:pt>
                <c:pt idx="19">
                  <c:v>3.9236399999999998</c:v>
                </c:pt>
                <c:pt idx="20">
                  <c:v>3.9203799999999998</c:v>
                </c:pt>
                <c:pt idx="21">
                  <c:v>3.9119100000000002</c:v>
                </c:pt>
                <c:pt idx="22">
                  <c:v>3.9044800000000004</c:v>
                </c:pt>
                <c:pt idx="23">
                  <c:v>3.8985300000000001</c:v>
                </c:pt>
                <c:pt idx="24">
                  <c:v>3.8927800000000001</c:v>
                </c:pt>
                <c:pt idx="25">
                  <c:v>3.8854199999999999</c:v>
                </c:pt>
                <c:pt idx="26">
                  <c:v>3.8813300000000002</c:v>
                </c:pt>
                <c:pt idx="27">
                  <c:v>3.8771800000000001</c:v>
                </c:pt>
                <c:pt idx="28">
                  <c:v>3.8730199999999999</c:v>
                </c:pt>
                <c:pt idx="29">
                  <c:v>3.8690099999999998</c:v>
                </c:pt>
                <c:pt idx="30">
                  <c:v>3.8642300000000001</c:v>
                </c:pt>
                <c:pt idx="31">
                  <c:v>3.8610899999999999</c:v>
                </c:pt>
                <c:pt idx="32">
                  <c:v>3.8557200000000003</c:v>
                </c:pt>
                <c:pt idx="33">
                  <c:v>3.8517099999999997</c:v>
                </c:pt>
                <c:pt idx="34">
                  <c:v>3.8582999999999998</c:v>
                </c:pt>
                <c:pt idx="35">
                  <c:v>3.8618700000000001</c:v>
                </c:pt>
                <c:pt idx="36">
                  <c:v>3.88042</c:v>
                </c:pt>
                <c:pt idx="37">
                  <c:v>3.8696700000000002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7.5054999999999996</c:v>
                </c:pt>
                <c:pt idx="1">
                  <c:v>22.516500000000001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2.8567010810810811</c:v>
                </c:pt>
                <c:pt idx="1">
                  <c:v>3.8957510810810803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E-44EE-A99D-934B46255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31616"/>
        <c:axId val="190433536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75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  <c:pt idx="38">
                  <c:v>15.443300000000001</c:v>
                </c:pt>
                <c:pt idx="39">
                  <c:v>15.8354</c:v>
                </c:pt>
                <c:pt idx="40">
                  <c:v>16.222300000000001</c:v>
                </c:pt>
                <c:pt idx="41">
                  <c:v>16.625599999999999</c:v>
                </c:pt>
                <c:pt idx="42">
                  <c:v>17.032399999999999</c:v>
                </c:pt>
                <c:pt idx="43">
                  <c:v>17.4405</c:v>
                </c:pt>
                <c:pt idx="44">
                  <c:v>17.844200000000001</c:v>
                </c:pt>
                <c:pt idx="45">
                  <c:v>18.2559</c:v>
                </c:pt>
                <c:pt idx="46">
                  <c:v>18.665299999999998</c:v>
                </c:pt>
                <c:pt idx="47">
                  <c:v>19.058700000000002</c:v>
                </c:pt>
                <c:pt idx="48">
                  <c:v>19.470199999999998</c:v>
                </c:pt>
                <c:pt idx="49">
                  <c:v>19.886399999999998</c:v>
                </c:pt>
                <c:pt idx="50">
                  <c:v>20.280799999999999</c:v>
                </c:pt>
                <c:pt idx="51">
                  <c:v>20.682700000000001</c:v>
                </c:pt>
                <c:pt idx="52">
                  <c:v>21.088999999999999</c:v>
                </c:pt>
                <c:pt idx="53">
                  <c:v>21.498000000000001</c:v>
                </c:pt>
                <c:pt idx="54">
                  <c:v>21.903300000000002</c:v>
                </c:pt>
                <c:pt idx="55">
                  <c:v>22.3096</c:v>
                </c:pt>
                <c:pt idx="56">
                  <c:v>22.717099999999999</c:v>
                </c:pt>
                <c:pt idx="57">
                  <c:v>23.116800000000001</c:v>
                </c:pt>
                <c:pt idx="58">
                  <c:v>23.526599999999998</c:v>
                </c:pt>
                <c:pt idx="59">
                  <c:v>23.931799999999999</c:v>
                </c:pt>
                <c:pt idx="60">
                  <c:v>24.337700000000002</c:v>
                </c:pt>
                <c:pt idx="61">
                  <c:v>24.741199999999999</c:v>
                </c:pt>
                <c:pt idx="62">
                  <c:v>25.154</c:v>
                </c:pt>
                <c:pt idx="63">
                  <c:v>25.558199999999999</c:v>
                </c:pt>
                <c:pt idx="64">
                  <c:v>25.9724</c:v>
                </c:pt>
                <c:pt idx="65">
                  <c:v>26.3748</c:v>
                </c:pt>
                <c:pt idx="66">
                  <c:v>26.773900000000001</c:v>
                </c:pt>
                <c:pt idx="67">
                  <c:v>27.187100000000001</c:v>
                </c:pt>
                <c:pt idx="68">
                  <c:v>27.5839</c:v>
                </c:pt>
                <c:pt idx="69">
                  <c:v>27.989000000000001</c:v>
                </c:pt>
                <c:pt idx="70">
                  <c:v>28.390999999999998</c:v>
                </c:pt>
                <c:pt idx="71">
                  <c:v>28.7971</c:v>
                </c:pt>
                <c:pt idx="72">
                  <c:v>29.207799999999999</c:v>
                </c:pt>
                <c:pt idx="73">
                  <c:v>29.623100000000001</c:v>
                </c:pt>
                <c:pt idx="74">
                  <c:v>30.021999999999998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  <c:pt idx="38">
                  <c:v>7.5571600000000005</c:v>
                </c:pt>
                <c:pt idx="39">
                  <c:v>7.0543999999999993</c:v>
                </c:pt>
                <c:pt idx="40">
                  <c:v>6.5027299999999997</c:v>
                </c:pt>
                <c:pt idx="41">
                  <c:v>5.9633000000000003</c:v>
                </c:pt>
                <c:pt idx="42">
                  <c:v>5.4173100000000005</c:v>
                </c:pt>
                <c:pt idx="43">
                  <c:v>4.90299</c:v>
                </c:pt>
                <c:pt idx="44">
                  <c:v>4.4160500000000003</c:v>
                </c:pt>
                <c:pt idx="45">
                  <c:v>3.9775800000000001</c:v>
                </c:pt>
                <c:pt idx="46">
                  <c:v>3.6091499999999996</c:v>
                </c:pt>
                <c:pt idx="47">
                  <c:v>3.2012199999999997</c:v>
                </c:pt>
                <c:pt idx="48">
                  <c:v>2.8512900000000001</c:v>
                </c:pt>
                <c:pt idx="49">
                  <c:v>2.5026799999999998</c:v>
                </c:pt>
                <c:pt idx="50">
                  <c:v>2.2998699999999999</c:v>
                </c:pt>
                <c:pt idx="51">
                  <c:v>2.17754</c:v>
                </c:pt>
                <c:pt idx="52">
                  <c:v>2.0075699999999999</c:v>
                </c:pt>
                <c:pt idx="53">
                  <c:v>1.8469099999999998</c:v>
                </c:pt>
                <c:pt idx="54">
                  <c:v>1.70242</c:v>
                </c:pt>
                <c:pt idx="55">
                  <c:v>1.51369</c:v>
                </c:pt>
                <c:pt idx="56">
                  <c:v>1.25244</c:v>
                </c:pt>
                <c:pt idx="57">
                  <c:v>1.03989</c:v>
                </c:pt>
                <c:pt idx="58">
                  <c:v>0.94662500000000005</c:v>
                </c:pt>
                <c:pt idx="59">
                  <c:v>0.83165900000000004</c:v>
                </c:pt>
                <c:pt idx="60">
                  <c:v>0.61427299999999996</c:v>
                </c:pt>
                <c:pt idx="61">
                  <c:v>0.42222500000000002</c:v>
                </c:pt>
                <c:pt idx="62">
                  <c:v>0.28712799999999999</c:v>
                </c:pt>
                <c:pt idx="63">
                  <c:v>9.2349200000000006E-2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7.18477E-2</c:v>
                </c:pt>
                <c:pt idx="70">
                  <c:v>0.25383600000000001</c:v>
                </c:pt>
                <c:pt idx="71">
                  <c:v>1.7167399999999999E-2</c:v>
                </c:pt>
                <c:pt idx="72">
                  <c:v>0.12997900000000001</c:v>
                </c:pt>
                <c:pt idx="73">
                  <c:v>0</c:v>
                </c:pt>
                <c:pt idx="74">
                  <c:v>0.39615700000000004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38"/>
                <c:pt idx="0">
                  <c:v>0</c:v>
                </c:pt>
                <c:pt idx="1">
                  <c:v>0.35581200000000002</c:v>
                </c:pt>
                <c:pt idx="2">
                  <c:v>0.761957</c:v>
                </c:pt>
                <c:pt idx="3">
                  <c:v>1.1670499999999999</c:v>
                </c:pt>
                <c:pt idx="4">
                  <c:v>1.5783</c:v>
                </c:pt>
                <c:pt idx="5">
                  <c:v>1.98244</c:v>
                </c:pt>
                <c:pt idx="6">
                  <c:v>2.3859699999999999</c:v>
                </c:pt>
                <c:pt idx="7">
                  <c:v>2.7939500000000002</c:v>
                </c:pt>
                <c:pt idx="8">
                  <c:v>3.19604</c:v>
                </c:pt>
                <c:pt idx="9">
                  <c:v>3.61008</c:v>
                </c:pt>
                <c:pt idx="10">
                  <c:v>4.0089399999999999</c:v>
                </c:pt>
                <c:pt idx="11">
                  <c:v>4.4198899999999997</c:v>
                </c:pt>
                <c:pt idx="12">
                  <c:v>4.8249899999999997</c:v>
                </c:pt>
                <c:pt idx="13">
                  <c:v>5.22478</c:v>
                </c:pt>
                <c:pt idx="14">
                  <c:v>5.6302099999999999</c:v>
                </c:pt>
                <c:pt idx="15">
                  <c:v>6.0345599999999999</c:v>
                </c:pt>
                <c:pt idx="16">
                  <c:v>6.4391100000000003</c:v>
                </c:pt>
                <c:pt idx="17">
                  <c:v>6.8571999999999997</c:v>
                </c:pt>
                <c:pt idx="18">
                  <c:v>7.2532300000000003</c:v>
                </c:pt>
                <c:pt idx="19">
                  <c:v>7.6580000000000004</c:v>
                </c:pt>
                <c:pt idx="20">
                  <c:v>8.0632800000000007</c:v>
                </c:pt>
                <c:pt idx="21">
                  <c:v>8.4770800000000008</c:v>
                </c:pt>
                <c:pt idx="22">
                  <c:v>8.8771100000000001</c:v>
                </c:pt>
                <c:pt idx="23">
                  <c:v>9.2822200000000006</c:v>
                </c:pt>
                <c:pt idx="24">
                  <c:v>9.6890499999999999</c:v>
                </c:pt>
                <c:pt idx="25">
                  <c:v>10.0901</c:v>
                </c:pt>
                <c:pt idx="26">
                  <c:v>10.4998</c:v>
                </c:pt>
                <c:pt idx="27">
                  <c:v>10.9003</c:v>
                </c:pt>
                <c:pt idx="28">
                  <c:v>11.317299999999999</c:v>
                </c:pt>
                <c:pt idx="29">
                  <c:v>11.713900000000001</c:v>
                </c:pt>
                <c:pt idx="30">
                  <c:v>12.122199999999999</c:v>
                </c:pt>
                <c:pt idx="31">
                  <c:v>12.525499999999999</c:v>
                </c:pt>
                <c:pt idx="32">
                  <c:v>12.942500000000001</c:v>
                </c:pt>
                <c:pt idx="33">
                  <c:v>13.3383</c:v>
                </c:pt>
                <c:pt idx="34">
                  <c:v>13.744</c:v>
                </c:pt>
                <c:pt idx="35">
                  <c:v>14.1508</c:v>
                </c:pt>
                <c:pt idx="36">
                  <c:v>14.554399999999999</c:v>
                </c:pt>
                <c:pt idx="37">
                  <c:v>14.958299999999999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38"/>
                <c:pt idx="0">
                  <c:v>14.958299999999999</c:v>
                </c:pt>
                <c:pt idx="1">
                  <c:v>15.443300000000001</c:v>
                </c:pt>
                <c:pt idx="2">
                  <c:v>15.8354</c:v>
                </c:pt>
                <c:pt idx="3">
                  <c:v>16.222300000000001</c:v>
                </c:pt>
                <c:pt idx="4">
                  <c:v>16.625599999999999</c:v>
                </c:pt>
                <c:pt idx="5">
                  <c:v>17.032399999999999</c:v>
                </c:pt>
                <c:pt idx="6">
                  <c:v>17.4405</c:v>
                </c:pt>
                <c:pt idx="7">
                  <c:v>17.844200000000001</c:v>
                </c:pt>
                <c:pt idx="8">
                  <c:v>18.2559</c:v>
                </c:pt>
                <c:pt idx="9">
                  <c:v>18.665299999999998</c:v>
                </c:pt>
                <c:pt idx="10">
                  <c:v>19.058700000000002</c:v>
                </c:pt>
                <c:pt idx="11">
                  <c:v>19.470199999999998</c:v>
                </c:pt>
                <c:pt idx="12">
                  <c:v>19.886399999999998</c:v>
                </c:pt>
                <c:pt idx="13">
                  <c:v>20.280799999999999</c:v>
                </c:pt>
                <c:pt idx="14">
                  <c:v>20.682700000000001</c:v>
                </c:pt>
                <c:pt idx="15">
                  <c:v>21.088999999999999</c:v>
                </c:pt>
                <c:pt idx="16">
                  <c:v>21.498000000000001</c:v>
                </c:pt>
                <c:pt idx="17">
                  <c:v>21.903300000000002</c:v>
                </c:pt>
                <c:pt idx="18">
                  <c:v>22.3096</c:v>
                </c:pt>
                <c:pt idx="19">
                  <c:v>22.717099999999999</c:v>
                </c:pt>
                <c:pt idx="20">
                  <c:v>23.116800000000001</c:v>
                </c:pt>
                <c:pt idx="21">
                  <c:v>23.526599999999998</c:v>
                </c:pt>
                <c:pt idx="22">
                  <c:v>23.931799999999999</c:v>
                </c:pt>
                <c:pt idx="23">
                  <c:v>24.337700000000002</c:v>
                </c:pt>
                <c:pt idx="24">
                  <c:v>24.741199999999999</c:v>
                </c:pt>
                <c:pt idx="25">
                  <c:v>25.154</c:v>
                </c:pt>
                <c:pt idx="26">
                  <c:v>25.558199999999999</c:v>
                </c:pt>
                <c:pt idx="27">
                  <c:v>25.9724</c:v>
                </c:pt>
                <c:pt idx="28">
                  <c:v>26.3748</c:v>
                </c:pt>
                <c:pt idx="29">
                  <c:v>26.773900000000001</c:v>
                </c:pt>
                <c:pt idx="30">
                  <c:v>27.187100000000001</c:v>
                </c:pt>
                <c:pt idx="31">
                  <c:v>27.5839</c:v>
                </c:pt>
                <c:pt idx="32">
                  <c:v>27.989000000000001</c:v>
                </c:pt>
                <c:pt idx="33">
                  <c:v>28.390999999999998</c:v>
                </c:pt>
                <c:pt idx="34">
                  <c:v>28.7971</c:v>
                </c:pt>
                <c:pt idx="35">
                  <c:v>29.207799999999999</c:v>
                </c:pt>
                <c:pt idx="36">
                  <c:v>29.623100000000001</c:v>
                </c:pt>
                <c:pt idx="37">
                  <c:v>30.021999999999998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8.0837900000000005</c:v>
                </c:pt>
                <c:pt idx="1">
                  <c:v>7.5571600000000005</c:v>
                </c:pt>
                <c:pt idx="2">
                  <c:v>7.0543999999999993</c:v>
                </c:pt>
                <c:pt idx="3">
                  <c:v>6.5027299999999997</c:v>
                </c:pt>
                <c:pt idx="4">
                  <c:v>5.9633000000000003</c:v>
                </c:pt>
                <c:pt idx="5">
                  <c:v>5.4173100000000005</c:v>
                </c:pt>
                <c:pt idx="6">
                  <c:v>4.90299</c:v>
                </c:pt>
                <c:pt idx="7">
                  <c:v>4.4160500000000003</c:v>
                </c:pt>
                <c:pt idx="8">
                  <c:v>3.9775800000000001</c:v>
                </c:pt>
                <c:pt idx="9">
                  <c:v>3.6091499999999996</c:v>
                </c:pt>
                <c:pt idx="10">
                  <c:v>3.2012199999999997</c:v>
                </c:pt>
                <c:pt idx="11">
                  <c:v>2.8512900000000001</c:v>
                </c:pt>
                <c:pt idx="12">
                  <c:v>2.5026799999999998</c:v>
                </c:pt>
                <c:pt idx="13">
                  <c:v>2.2998699999999999</c:v>
                </c:pt>
                <c:pt idx="14">
                  <c:v>2.17754</c:v>
                </c:pt>
                <c:pt idx="15">
                  <c:v>2.0075699999999999</c:v>
                </c:pt>
                <c:pt idx="16">
                  <c:v>1.8469099999999998</c:v>
                </c:pt>
                <c:pt idx="17">
                  <c:v>1.70242</c:v>
                </c:pt>
                <c:pt idx="18">
                  <c:v>1.51369</c:v>
                </c:pt>
                <c:pt idx="19">
                  <c:v>1.25244</c:v>
                </c:pt>
                <c:pt idx="20">
                  <c:v>1.03989</c:v>
                </c:pt>
                <c:pt idx="21">
                  <c:v>0.94662500000000005</c:v>
                </c:pt>
                <c:pt idx="22">
                  <c:v>0.83165900000000004</c:v>
                </c:pt>
                <c:pt idx="23">
                  <c:v>0.61427299999999996</c:v>
                </c:pt>
                <c:pt idx="24">
                  <c:v>0.42222500000000002</c:v>
                </c:pt>
                <c:pt idx="25">
                  <c:v>0.28712799999999999</c:v>
                </c:pt>
                <c:pt idx="26">
                  <c:v>9.2349200000000006E-2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7.18477E-2</c:v>
                </c:pt>
                <c:pt idx="33">
                  <c:v>0.25383600000000001</c:v>
                </c:pt>
                <c:pt idx="34">
                  <c:v>1.7167399999999999E-2</c:v>
                </c:pt>
                <c:pt idx="35">
                  <c:v>0.12997900000000001</c:v>
                </c:pt>
                <c:pt idx="36">
                  <c:v>0</c:v>
                </c:pt>
                <c:pt idx="37">
                  <c:v>0.39615700000000004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7.5054999999999996</c:v>
                </c:pt>
                <c:pt idx="1">
                  <c:v>22.516500000000001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27.902719189189177</c:v>
                </c:pt>
                <c:pt idx="1">
                  <c:v>2.2580289000000002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BE-44EE-A99D-934B46255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45056"/>
        <c:axId val="190443520"/>
      </c:scatterChart>
      <c:valAx>
        <c:axId val="1904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433536"/>
        <c:crosses val="autoZero"/>
        <c:crossBetween val="midCat"/>
      </c:valAx>
      <c:valAx>
        <c:axId val="19043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431616"/>
        <c:crosses val="autoZero"/>
        <c:crossBetween val="midCat"/>
      </c:valAx>
      <c:valAx>
        <c:axId val="1904435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0445056"/>
        <c:crosses val="max"/>
        <c:crossBetween val="midCat"/>
      </c:valAx>
      <c:valAx>
        <c:axId val="19044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044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65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75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  <c:pt idx="38">
                  <c:v>3.8504300000000002</c:v>
                </c:pt>
                <c:pt idx="39">
                  <c:v>3.8693100000000005</c:v>
                </c:pt>
                <c:pt idx="40">
                  <c:v>3.8855200000000001</c:v>
                </c:pt>
                <c:pt idx="41">
                  <c:v>3.89785</c:v>
                </c:pt>
                <c:pt idx="42">
                  <c:v>3.9066700000000001</c:v>
                </c:pt>
                <c:pt idx="43">
                  <c:v>3.9122499999999998</c:v>
                </c:pt>
                <c:pt idx="44">
                  <c:v>3.9161200000000003</c:v>
                </c:pt>
                <c:pt idx="45">
                  <c:v>3.9196</c:v>
                </c:pt>
                <c:pt idx="46">
                  <c:v>3.9225500000000002</c:v>
                </c:pt>
                <c:pt idx="47">
                  <c:v>3.9269700000000003</c:v>
                </c:pt>
                <c:pt idx="48">
                  <c:v>3.92882</c:v>
                </c:pt>
                <c:pt idx="49">
                  <c:v>3.9313500000000001</c:v>
                </c:pt>
                <c:pt idx="50">
                  <c:v>3.9323399999999999</c:v>
                </c:pt>
                <c:pt idx="51">
                  <c:v>3.9317899999999999</c:v>
                </c:pt>
                <c:pt idx="52">
                  <c:v>3.9310400000000003</c:v>
                </c:pt>
                <c:pt idx="53">
                  <c:v>3.9293</c:v>
                </c:pt>
                <c:pt idx="54">
                  <c:v>3.9267400000000001</c:v>
                </c:pt>
                <c:pt idx="55">
                  <c:v>3.9240999999999997</c:v>
                </c:pt>
                <c:pt idx="56">
                  <c:v>3.9236399999999998</c:v>
                </c:pt>
                <c:pt idx="57">
                  <c:v>3.9203799999999998</c:v>
                </c:pt>
                <c:pt idx="58">
                  <c:v>3.9119100000000002</c:v>
                </c:pt>
                <c:pt idx="59">
                  <c:v>3.9044800000000004</c:v>
                </c:pt>
                <c:pt idx="60">
                  <c:v>3.8985300000000001</c:v>
                </c:pt>
                <c:pt idx="61">
                  <c:v>3.8927800000000001</c:v>
                </c:pt>
                <c:pt idx="62">
                  <c:v>3.8854199999999999</c:v>
                </c:pt>
                <c:pt idx="63">
                  <c:v>3.8813300000000002</c:v>
                </c:pt>
                <c:pt idx="64">
                  <c:v>3.8771800000000001</c:v>
                </c:pt>
                <c:pt idx="65">
                  <c:v>3.8730199999999999</c:v>
                </c:pt>
                <c:pt idx="66">
                  <c:v>3.8690099999999998</c:v>
                </c:pt>
                <c:pt idx="67">
                  <c:v>3.8642300000000001</c:v>
                </c:pt>
                <c:pt idx="68">
                  <c:v>3.8610899999999999</c:v>
                </c:pt>
                <c:pt idx="69">
                  <c:v>3.8557200000000003</c:v>
                </c:pt>
                <c:pt idx="70">
                  <c:v>3.8517099999999997</c:v>
                </c:pt>
                <c:pt idx="71">
                  <c:v>3.8582999999999998</c:v>
                </c:pt>
                <c:pt idx="72">
                  <c:v>3.8618700000000001</c:v>
                </c:pt>
                <c:pt idx="73">
                  <c:v>3.88042</c:v>
                </c:pt>
                <c:pt idx="74">
                  <c:v>3.8696700000000002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75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  <c:pt idx="38">
                  <c:v>7.5571600000000005</c:v>
                </c:pt>
                <c:pt idx="39">
                  <c:v>7.0543999999999993</c:v>
                </c:pt>
                <c:pt idx="40">
                  <c:v>6.5027299999999997</c:v>
                </c:pt>
                <c:pt idx="41">
                  <c:v>5.9633000000000003</c:v>
                </c:pt>
                <c:pt idx="42">
                  <c:v>5.4173100000000005</c:v>
                </c:pt>
                <c:pt idx="43">
                  <c:v>4.90299</c:v>
                </c:pt>
                <c:pt idx="44">
                  <c:v>4.4160500000000003</c:v>
                </c:pt>
                <c:pt idx="45">
                  <c:v>3.9775800000000001</c:v>
                </c:pt>
                <c:pt idx="46">
                  <c:v>3.6091499999999996</c:v>
                </c:pt>
                <c:pt idx="47">
                  <c:v>3.2012199999999997</c:v>
                </c:pt>
                <c:pt idx="48">
                  <c:v>2.8512900000000001</c:v>
                </c:pt>
                <c:pt idx="49">
                  <c:v>2.5026799999999998</c:v>
                </c:pt>
                <c:pt idx="50">
                  <c:v>2.2998699999999999</c:v>
                </c:pt>
                <c:pt idx="51">
                  <c:v>2.17754</c:v>
                </c:pt>
                <c:pt idx="52">
                  <c:v>2.0075699999999999</c:v>
                </c:pt>
                <c:pt idx="53">
                  <c:v>1.8469099999999998</c:v>
                </c:pt>
                <c:pt idx="54">
                  <c:v>1.70242</c:v>
                </c:pt>
                <c:pt idx="55">
                  <c:v>1.51369</c:v>
                </c:pt>
                <c:pt idx="56">
                  <c:v>1.25244</c:v>
                </c:pt>
                <c:pt idx="57">
                  <c:v>1.03989</c:v>
                </c:pt>
                <c:pt idx="58">
                  <c:v>0.94662500000000005</c:v>
                </c:pt>
                <c:pt idx="59">
                  <c:v>0.83165900000000004</c:v>
                </c:pt>
                <c:pt idx="60">
                  <c:v>0.61427299999999996</c:v>
                </c:pt>
                <c:pt idx="61">
                  <c:v>0.42222500000000002</c:v>
                </c:pt>
                <c:pt idx="62">
                  <c:v>0.28712799999999999</c:v>
                </c:pt>
                <c:pt idx="63">
                  <c:v>9.2349200000000006E-2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7.18477E-2</c:v>
                </c:pt>
                <c:pt idx="70">
                  <c:v>0.25383600000000001</c:v>
                </c:pt>
                <c:pt idx="71">
                  <c:v>1.7167399999999999E-2</c:v>
                </c:pt>
                <c:pt idx="72">
                  <c:v>0.12997900000000001</c:v>
                </c:pt>
                <c:pt idx="73">
                  <c:v>0</c:v>
                </c:pt>
                <c:pt idx="74">
                  <c:v>0.39615700000000004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38"/>
                <c:pt idx="0">
                  <c:v>1.6844700000000001</c:v>
                </c:pt>
                <c:pt idx="1">
                  <c:v>1.7549699999999999</c:v>
                </c:pt>
                <c:pt idx="2">
                  <c:v>1.8242</c:v>
                </c:pt>
                <c:pt idx="3">
                  <c:v>1.8928800000000001</c:v>
                </c:pt>
                <c:pt idx="4">
                  <c:v>1.9629099999999999</c:v>
                </c:pt>
                <c:pt idx="5">
                  <c:v>2.0312700000000001</c:v>
                </c:pt>
                <c:pt idx="6">
                  <c:v>2.0988100000000003</c:v>
                </c:pt>
                <c:pt idx="7">
                  <c:v>2.16493</c:v>
                </c:pt>
                <c:pt idx="8">
                  <c:v>2.2317999999999998</c:v>
                </c:pt>
                <c:pt idx="9">
                  <c:v>2.2972200000000003</c:v>
                </c:pt>
                <c:pt idx="10">
                  <c:v>2.3630899999999997</c:v>
                </c:pt>
                <c:pt idx="11">
                  <c:v>2.4290799999999999</c:v>
                </c:pt>
                <c:pt idx="12">
                  <c:v>2.4941</c:v>
                </c:pt>
                <c:pt idx="13">
                  <c:v>2.56162</c:v>
                </c:pt>
                <c:pt idx="14">
                  <c:v>2.6104899999999995</c:v>
                </c:pt>
                <c:pt idx="15">
                  <c:v>2.6796700000000002</c:v>
                </c:pt>
                <c:pt idx="16">
                  <c:v>2.7730700000000001</c:v>
                </c:pt>
                <c:pt idx="17">
                  <c:v>2.8469699999999998</c:v>
                </c:pt>
                <c:pt idx="18">
                  <c:v>2.9205999999999999</c:v>
                </c:pt>
                <c:pt idx="19">
                  <c:v>2.9925299999999999</c:v>
                </c:pt>
                <c:pt idx="20">
                  <c:v>3.0608900000000001</c:v>
                </c:pt>
                <c:pt idx="21">
                  <c:v>3.1234699999999997</c:v>
                </c:pt>
                <c:pt idx="22">
                  <c:v>3.1818</c:v>
                </c:pt>
                <c:pt idx="23">
                  <c:v>3.2400200000000003</c:v>
                </c:pt>
                <c:pt idx="24">
                  <c:v>3.2957399999999999</c:v>
                </c:pt>
                <c:pt idx="25">
                  <c:v>3.3506</c:v>
                </c:pt>
                <c:pt idx="26">
                  <c:v>3.4047500000000004</c:v>
                </c:pt>
                <c:pt idx="27">
                  <c:v>3.45566</c:v>
                </c:pt>
                <c:pt idx="28">
                  <c:v>3.5043999999999995</c:v>
                </c:pt>
                <c:pt idx="29">
                  <c:v>3.5499100000000001</c:v>
                </c:pt>
                <c:pt idx="30">
                  <c:v>3.5925800000000003</c:v>
                </c:pt>
                <c:pt idx="31">
                  <c:v>3.63022</c:v>
                </c:pt>
                <c:pt idx="32">
                  <c:v>3.66811</c:v>
                </c:pt>
                <c:pt idx="33">
                  <c:v>3.7070099999999999</c:v>
                </c:pt>
                <c:pt idx="34">
                  <c:v>3.7424600000000003</c:v>
                </c:pt>
                <c:pt idx="35">
                  <c:v>3.7737700000000003</c:v>
                </c:pt>
                <c:pt idx="36">
                  <c:v>3.8018700000000001</c:v>
                </c:pt>
                <c:pt idx="37">
                  <c:v>3.8290200000000003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38"/>
                <c:pt idx="0">
                  <c:v>53.877499999999998</c:v>
                </c:pt>
                <c:pt idx="1">
                  <c:v>52.080300000000001</c:v>
                </c:pt>
                <c:pt idx="2">
                  <c:v>50.359400000000001</c:v>
                </c:pt>
                <c:pt idx="3">
                  <c:v>48.676299999999998</c:v>
                </c:pt>
                <c:pt idx="4">
                  <c:v>46.950599999999994</c:v>
                </c:pt>
                <c:pt idx="5">
                  <c:v>45.294400000000003</c:v>
                </c:pt>
                <c:pt idx="6">
                  <c:v>43.6404</c:v>
                </c:pt>
                <c:pt idx="7">
                  <c:v>42.1723</c:v>
                </c:pt>
                <c:pt idx="8">
                  <c:v>40.735799999999998</c:v>
                </c:pt>
                <c:pt idx="9">
                  <c:v>39.4236</c:v>
                </c:pt>
                <c:pt idx="10">
                  <c:v>38.143000000000001</c:v>
                </c:pt>
                <c:pt idx="11">
                  <c:v>36.822500000000005</c:v>
                </c:pt>
                <c:pt idx="12">
                  <c:v>35.520400000000002</c:v>
                </c:pt>
                <c:pt idx="13">
                  <c:v>34.137699999999995</c:v>
                </c:pt>
                <c:pt idx="14">
                  <c:v>33.3035</c:v>
                </c:pt>
                <c:pt idx="15">
                  <c:v>31.763300000000001</c:v>
                </c:pt>
                <c:pt idx="16">
                  <c:v>29.498799999999996</c:v>
                </c:pt>
                <c:pt idx="17">
                  <c:v>27.7928</c:v>
                </c:pt>
                <c:pt idx="18">
                  <c:v>26.122899999999998</c:v>
                </c:pt>
                <c:pt idx="19">
                  <c:v>24.4727</c:v>
                </c:pt>
                <c:pt idx="20">
                  <c:v>22.959</c:v>
                </c:pt>
                <c:pt idx="21">
                  <c:v>21.676599999999997</c:v>
                </c:pt>
                <c:pt idx="22">
                  <c:v>20.533100000000001</c:v>
                </c:pt>
                <c:pt idx="23">
                  <c:v>19.4131</c:v>
                </c:pt>
                <c:pt idx="24">
                  <c:v>18.290400000000002</c:v>
                </c:pt>
                <c:pt idx="25">
                  <c:v>17.122299999999999</c:v>
                </c:pt>
                <c:pt idx="26">
                  <c:v>15.9543</c:v>
                </c:pt>
                <c:pt idx="27">
                  <c:v>14.9702</c:v>
                </c:pt>
                <c:pt idx="28">
                  <c:v>14.052999999999999</c:v>
                </c:pt>
                <c:pt idx="29">
                  <c:v>13.1714</c:v>
                </c:pt>
                <c:pt idx="30">
                  <c:v>12.4207</c:v>
                </c:pt>
                <c:pt idx="31">
                  <c:v>11.8148</c:v>
                </c:pt>
                <c:pt idx="32">
                  <c:v>11.171100000000001</c:v>
                </c:pt>
                <c:pt idx="33">
                  <c:v>10.4351</c:v>
                </c:pt>
                <c:pt idx="34">
                  <c:v>9.7742899999999988</c:v>
                </c:pt>
                <c:pt idx="35">
                  <c:v>9.2088400000000004</c:v>
                </c:pt>
                <c:pt idx="36">
                  <c:v>8.6441800000000004</c:v>
                </c:pt>
                <c:pt idx="37">
                  <c:v>8.0837900000000005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38"/>
                <c:pt idx="0">
                  <c:v>3.8290200000000003</c:v>
                </c:pt>
                <c:pt idx="1">
                  <c:v>3.8504300000000002</c:v>
                </c:pt>
                <c:pt idx="2">
                  <c:v>3.8693100000000005</c:v>
                </c:pt>
                <c:pt idx="3">
                  <c:v>3.8855200000000001</c:v>
                </c:pt>
                <c:pt idx="4">
                  <c:v>3.89785</c:v>
                </c:pt>
                <c:pt idx="5">
                  <c:v>3.9066700000000001</c:v>
                </c:pt>
                <c:pt idx="6">
                  <c:v>3.9122499999999998</c:v>
                </c:pt>
                <c:pt idx="7">
                  <c:v>3.9161200000000003</c:v>
                </c:pt>
                <c:pt idx="8">
                  <c:v>3.9196</c:v>
                </c:pt>
                <c:pt idx="9">
                  <c:v>3.9225500000000002</c:v>
                </c:pt>
                <c:pt idx="10">
                  <c:v>3.9269700000000003</c:v>
                </c:pt>
                <c:pt idx="11">
                  <c:v>3.92882</c:v>
                </c:pt>
                <c:pt idx="12">
                  <c:v>3.9313500000000001</c:v>
                </c:pt>
                <c:pt idx="13">
                  <c:v>3.9323399999999999</c:v>
                </c:pt>
                <c:pt idx="14">
                  <c:v>3.9317899999999999</c:v>
                </c:pt>
                <c:pt idx="15">
                  <c:v>3.9310400000000003</c:v>
                </c:pt>
                <c:pt idx="16">
                  <c:v>3.9293</c:v>
                </c:pt>
                <c:pt idx="17">
                  <c:v>3.9267400000000001</c:v>
                </c:pt>
                <c:pt idx="18">
                  <c:v>3.9240999999999997</c:v>
                </c:pt>
                <c:pt idx="19">
                  <c:v>3.9236399999999998</c:v>
                </c:pt>
                <c:pt idx="20">
                  <c:v>3.9203799999999998</c:v>
                </c:pt>
                <c:pt idx="21">
                  <c:v>3.9119100000000002</c:v>
                </c:pt>
                <c:pt idx="22">
                  <c:v>3.9044800000000004</c:v>
                </c:pt>
                <c:pt idx="23">
                  <c:v>3.8985300000000001</c:v>
                </c:pt>
                <c:pt idx="24">
                  <c:v>3.8927800000000001</c:v>
                </c:pt>
                <c:pt idx="25">
                  <c:v>3.8854199999999999</c:v>
                </c:pt>
                <c:pt idx="26">
                  <c:v>3.8813300000000002</c:v>
                </c:pt>
                <c:pt idx="27">
                  <c:v>3.8771800000000001</c:v>
                </c:pt>
                <c:pt idx="28">
                  <c:v>3.8730199999999999</c:v>
                </c:pt>
                <c:pt idx="29">
                  <c:v>3.8690099999999998</c:v>
                </c:pt>
                <c:pt idx="30">
                  <c:v>3.8642300000000001</c:v>
                </c:pt>
                <c:pt idx="31">
                  <c:v>3.8610899999999999</c:v>
                </c:pt>
                <c:pt idx="32">
                  <c:v>3.8557200000000003</c:v>
                </c:pt>
                <c:pt idx="33">
                  <c:v>3.8517099999999997</c:v>
                </c:pt>
                <c:pt idx="34">
                  <c:v>3.8582999999999998</c:v>
                </c:pt>
                <c:pt idx="35">
                  <c:v>3.8618700000000001</c:v>
                </c:pt>
                <c:pt idx="36">
                  <c:v>3.88042</c:v>
                </c:pt>
                <c:pt idx="37">
                  <c:v>3.8696700000000002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38"/>
                <c:pt idx="0">
                  <c:v>8.0837900000000005</c:v>
                </c:pt>
                <c:pt idx="1">
                  <c:v>7.5571600000000005</c:v>
                </c:pt>
                <c:pt idx="2">
                  <c:v>7.0543999999999993</c:v>
                </c:pt>
                <c:pt idx="3">
                  <c:v>6.5027299999999997</c:v>
                </c:pt>
                <c:pt idx="4">
                  <c:v>5.9633000000000003</c:v>
                </c:pt>
                <c:pt idx="5">
                  <c:v>5.4173100000000005</c:v>
                </c:pt>
                <c:pt idx="6">
                  <c:v>4.90299</c:v>
                </c:pt>
                <c:pt idx="7">
                  <c:v>4.4160500000000003</c:v>
                </c:pt>
                <c:pt idx="8">
                  <c:v>3.9775800000000001</c:v>
                </c:pt>
                <c:pt idx="9">
                  <c:v>3.6091499999999996</c:v>
                </c:pt>
                <c:pt idx="10">
                  <c:v>3.2012199999999997</c:v>
                </c:pt>
                <c:pt idx="11">
                  <c:v>2.8512900000000001</c:v>
                </c:pt>
                <c:pt idx="12">
                  <c:v>2.5026799999999998</c:v>
                </c:pt>
                <c:pt idx="13">
                  <c:v>2.2998699999999999</c:v>
                </c:pt>
                <c:pt idx="14">
                  <c:v>2.17754</c:v>
                </c:pt>
                <c:pt idx="15">
                  <c:v>2.0075699999999999</c:v>
                </c:pt>
                <c:pt idx="16">
                  <c:v>1.8469099999999998</c:v>
                </c:pt>
                <c:pt idx="17">
                  <c:v>1.70242</c:v>
                </c:pt>
                <c:pt idx="18">
                  <c:v>1.51369</c:v>
                </c:pt>
                <c:pt idx="19">
                  <c:v>1.25244</c:v>
                </c:pt>
                <c:pt idx="20">
                  <c:v>1.03989</c:v>
                </c:pt>
                <c:pt idx="21">
                  <c:v>0.94662500000000005</c:v>
                </c:pt>
                <c:pt idx="22">
                  <c:v>0.83165900000000004</c:v>
                </c:pt>
                <c:pt idx="23">
                  <c:v>0.61427299999999996</c:v>
                </c:pt>
                <c:pt idx="24">
                  <c:v>0.42222500000000002</c:v>
                </c:pt>
                <c:pt idx="25">
                  <c:v>0.28712799999999999</c:v>
                </c:pt>
                <c:pt idx="26">
                  <c:v>9.2349200000000006E-2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7.18477E-2</c:v>
                </c:pt>
                <c:pt idx="33">
                  <c:v>0.25383600000000001</c:v>
                </c:pt>
                <c:pt idx="34">
                  <c:v>1.7167399999999999E-2</c:v>
                </c:pt>
                <c:pt idx="35">
                  <c:v>0.12997900000000001</c:v>
                </c:pt>
                <c:pt idx="36">
                  <c:v>0</c:v>
                </c:pt>
                <c:pt idx="37">
                  <c:v>0.39615700000000004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1.6844700000000001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53.877499999999998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2.8567010810810811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27.902719189189177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36-49B2-9EF0-C61BD53191F8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3.8957510810810803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2.2580289000000002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36-49B2-9EF0-C61BD53191F8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3.8957510810810803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2.2580289000000002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36-49B2-9EF0-C61BD5319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00224"/>
        <c:axId val="190237312"/>
        <c:extLst/>
      </c:scatterChart>
      <c:valAx>
        <c:axId val="190500224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lang="en-US"/>
            </a:pPr>
            <a:endParaRPr lang="zh-CN"/>
          </a:p>
        </c:txPr>
        <c:crossAx val="190237312"/>
        <c:crosses val="autoZero"/>
        <c:crossBetween val="midCat"/>
        <c:majorUnit val="2"/>
        <c:minorUnit val="0.2"/>
      </c:valAx>
      <c:valAx>
        <c:axId val="190237312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190500224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423304" name="차트 8">
          <a:extLst>
            <a:ext uri="{FF2B5EF4-FFF2-40B4-BE49-F238E27FC236}">
              <a16:creationId xmlns:a16="http://schemas.microsoft.com/office/drawing/2014/main" id="{00000000-0008-0000-0000-000008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2423305" name="차트 8">
          <a:extLst>
            <a:ext uri="{FF2B5EF4-FFF2-40B4-BE49-F238E27FC236}">
              <a16:creationId xmlns:a16="http://schemas.microsoft.com/office/drawing/2014/main" id="{00000000-0008-0000-0000-000009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2423306" name="Диаграмма 1">
          <a:extLst>
            <a:ext uri="{FF2B5EF4-FFF2-40B4-BE49-F238E27FC236}">
              <a16:creationId xmlns:a16="http://schemas.microsoft.com/office/drawing/2014/main" id="{00000000-0008-0000-0000-00000A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24</xdr:row>
      <xdr:rowOff>0</xdr:rowOff>
    </xdr:from>
    <xdr:to>
      <xdr:col>10</xdr:col>
      <xdr:colOff>600075</xdr:colOff>
      <xdr:row>24</xdr:row>
      <xdr:rowOff>1971675</xdr:rowOff>
    </xdr:to>
    <xdr:graphicFrame macro="">
      <xdr:nvGraphicFramePr>
        <xdr:cNvPr id="2423307" name="Диаграмма 2">
          <a:extLst>
            <a:ext uri="{FF2B5EF4-FFF2-40B4-BE49-F238E27FC236}">
              <a16:creationId xmlns:a16="http://schemas.microsoft.com/office/drawing/2014/main" id="{00000000-0008-0000-0000-00000B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2423308" name="차트 8">
          <a:extLst>
            <a:ext uri="{FF2B5EF4-FFF2-40B4-BE49-F238E27FC236}">
              <a16:creationId xmlns:a16="http://schemas.microsoft.com/office/drawing/2014/main" id="{00000000-0008-0000-0000-00000CFA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21</xdr:row>
      <xdr:rowOff>0</xdr:rowOff>
    </xdr:from>
    <xdr:to>
      <xdr:col>23</xdr:col>
      <xdr:colOff>214313</xdr:colOff>
      <xdr:row>25</xdr:row>
      <xdr:rowOff>66675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X35"/>
  <sheetViews>
    <sheetView tabSelected="1" workbookViewId="0">
      <selection activeCell="J30" sqref="J30"/>
    </sheetView>
  </sheetViews>
  <sheetFormatPr defaultRowHeight="14.5"/>
  <cols>
    <col min="1" max="1" width="3.08984375" customWidth="1"/>
    <col min="2" max="2" width="9" style="3" customWidth="1"/>
    <col min="3" max="3" width="10.36328125" style="3" bestFit="1" customWidth="1"/>
    <col min="4" max="4" width="9.26953125" style="3" customWidth="1"/>
    <col min="5" max="5" width="10.36328125" style="3" customWidth="1"/>
    <col min="6" max="6" width="6.7265625" style="3" customWidth="1"/>
    <col min="7" max="7" width="8.7265625" style="3" customWidth="1"/>
    <col min="8" max="8" width="9.7265625" customWidth="1"/>
    <col min="9" max="9" width="9.90625" customWidth="1"/>
    <col min="10" max="10" width="8.36328125" customWidth="1"/>
    <col min="11" max="11" width="9.36328125" customWidth="1"/>
    <col min="12" max="12" width="5.36328125" style="1" customWidth="1"/>
    <col min="13" max="13" width="12.6328125" style="1" customWidth="1"/>
    <col min="14" max="15" width="7.90625" customWidth="1"/>
    <col min="16" max="16" width="7" customWidth="1"/>
    <col min="17" max="17" width="5.7265625" style="1" customWidth="1"/>
    <col min="18" max="18" width="6.36328125" customWidth="1"/>
    <col min="19" max="19" width="6.26953125" customWidth="1"/>
    <col min="20" max="20" width="7.6328125" style="1" customWidth="1"/>
    <col min="21" max="21" width="4.90625" customWidth="1"/>
  </cols>
  <sheetData>
    <row r="1" spans="2:21" ht="6" customHeight="1" thickBot="1">
      <c r="C1" s="132"/>
      <c r="D1" s="133"/>
      <c r="E1" s="133"/>
      <c r="F1" s="133"/>
      <c r="G1" s="133"/>
      <c r="H1" s="133"/>
      <c r="I1" s="133"/>
      <c r="J1" s="26"/>
      <c r="K1" s="8"/>
      <c r="L1" s="2"/>
      <c r="M1" s="2"/>
      <c r="N1" s="2"/>
      <c r="O1" s="2"/>
      <c r="P1" s="2"/>
    </row>
    <row r="2" spans="2:21" ht="14">
      <c r="B2" s="155" t="str">
        <f>lang!B2</f>
        <v>心理生理状态分析结果</v>
      </c>
      <c r="C2" s="156"/>
      <c r="D2" s="156"/>
      <c r="E2" s="156"/>
      <c r="F2" s="156"/>
      <c r="G2" s="156"/>
      <c r="H2" s="156"/>
      <c r="I2" s="156"/>
      <c r="J2" s="156"/>
      <c r="K2" s="157"/>
    </row>
    <row r="3" spans="2:21" ht="31.5" customHeight="1" thickBot="1">
      <c r="B3" s="158"/>
      <c r="C3" s="159"/>
      <c r="D3" s="159"/>
      <c r="E3" s="159"/>
      <c r="F3" s="159"/>
      <c r="G3" s="159"/>
      <c r="H3" s="159"/>
      <c r="I3" s="159"/>
      <c r="J3" s="159"/>
      <c r="K3" s="160"/>
    </row>
    <row r="4" spans="2:21" ht="16.5" customHeight="1">
      <c r="B4" s="45" t="str">
        <f>lang!B24</f>
        <v>姓名</v>
      </c>
      <c r="C4" s="174">
        <v>530</v>
      </c>
      <c r="D4" s="175"/>
      <c r="E4" s="175"/>
      <c r="F4" s="176"/>
      <c r="G4" s="48" t="str">
        <f>lang!B27</f>
        <v>编号</v>
      </c>
      <c r="H4" s="169"/>
      <c r="I4" s="170"/>
      <c r="J4" s="170"/>
      <c r="K4" s="172"/>
    </row>
    <row r="5" spans="2:21" ht="17.25" customHeight="1">
      <c r="B5" s="46" t="str">
        <f>lang!B25</f>
        <v>性别</v>
      </c>
      <c r="C5" s="123" t="s">
        <v>487</v>
      </c>
      <c r="D5" s="124"/>
      <c r="E5" s="124"/>
      <c r="F5" s="125"/>
      <c r="G5" s="49" t="str">
        <f>lang!B28</f>
        <v xml:space="preserve"> 日期</v>
      </c>
      <c r="H5" s="108">
        <f>FH_info!A2</f>
        <v>43609.539664351854</v>
      </c>
      <c r="I5" s="109"/>
      <c r="J5" s="109"/>
      <c r="K5" s="110"/>
      <c r="M5" s="12" t="s">
        <v>5</v>
      </c>
      <c r="N5" s="13"/>
      <c r="O5" s="13"/>
      <c r="P5" s="13"/>
      <c r="Q5" s="13"/>
      <c r="R5" s="13"/>
      <c r="S5" s="13"/>
      <c r="T5" s="13"/>
      <c r="U5" s="13"/>
    </row>
    <row r="6" spans="2:21" ht="18.75" customHeight="1" thickBot="1">
      <c r="B6" s="47" t="str">
        <f>lang!B26</f>
        <v>年龄</v>
      </c>
      <c r="C6" s="126">
        <v>16</v>
      </c>
      <c r="D6" s="127"/>
      <c r="E6" s="127"/>
      <c r="F6" s="128"/>
      <c r="G6" s="50" t="str">
        <f>lang!B29</f>
        <v>误差率（%）</v>
      </c>
      <c r="H6" s="111">
        <f>M!B17*1</f>
        <v>20.157699999999998</v>
      </c>
      <c r="I6" s="112"/>
      <c r="J6" s="112"/>
      <c r="K6" s="113"/>
      <c r="M6" s="23"/>
      <c r="N6" s="84" t="str">
        <f>lang!B43</f>
        <v>M</v>
      </c>
      <c r="O6" s="84" t="str">
        <f>lang!B44</f>
        <v>S</v>
      </c>
      <c r="P6" s="84" t="str">
        <f>lang!B45</f>
        <v>Vi (S/M)</v>
      </c>
      <c r="Q6" s="84" t="str">
        <f>lang!B46</f>
        <v>bMin</v>
      </c>
      <c r="R6" s="84" t="str">
        <f>lang!B47</f>
        <v>cMin</v>
      </c>
      <c r="S6" s="84" t="str">
        <f>lang!B48</f>
        <v>bMax</v>
      </c>
      <c r="T6" s="84" t="str">
        <f>lang!B49</f>
        <v>cMax</v>
      </c>
      <c r="U6" s="20"/>
    </row>
    <row r="7" spans="2:21" ht="15.75" customHeight="1" thickBot="1">
      <c r="B7" s="104" t="str">
        <f>lang!B30</f>
        <v>10项参数结果</v>
      </c>
      <c r="C7" s="105"/>
      <c r="D7" s="106"/>
      <c r="E7" s="106"/>
      <c r="F7" s="106"/>
      <c r="G7" s="106"/>
      <c r="H7" s="106"/>
      <c r="I7" s="106"/>
      <c r="J7" s="106"/>
      <c r="K7" s="107"/>
      <c r="M7" s="27" t="str">
        <f>lang!B14</f>
        <v>攻击性</v>
      </c>
      <c r="N7" s="58">
        <f>M!B5*1</f>
        <v>39.613399999999999</v>
      </c>
      <c r="O7" s="58">
        <f>M!C5*1</f>
        <v>14.028700000000001</v>
      </c>
      <c r="P7" s="58">
        <f>M!D5*1</f>
        <v>35.414099999999998</v>
      </c>
      <c r="Q7" s="58">
        <f>M!E5*1</f>
        <v>20</v>
      </c>
      <c r="R7" s="58">
        <f>M!F5*1</f>
        <v>8.1970899999999993</v>
      </c>
      <c r="S7" s="58">
        <f>M!G5*1</f>
        <v>50</v>
      </c>
      <c r="T7" s="58">
        <f>M!H5*1</f>
        <v>66.231099999999998</v>
      </c>
      <c r="U7" s="14"/>
    </row>
    <row r="8" spans="2:21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2" t="str">
        <f>B8</f>
        <v>Parameter</v>
      </c>
      <c r="H8" s="82" t="str">
        <f t="shared" ref="H8:K8" si="0">C8</f>
        <v>Min</v>
      </c>
      <c r="I8" s="82" t="str">
        <f t="shared" si="0"/>
        <v>Avg</v>
      </c>
      <c r="J8" s="82" t="str">
        <f t="shared" si="0"/>
        <v>Max</v>
      </c>
      <c r="K8" s="83" t="str">
        <f t="shared" si="0"/>
        <v>Vi</v>
      </c>
      <c r="M8" s="27" t="str">
        <f>lang!B15</f>
        <v>压力</v>
      </c>
      <c r="N8" s="58">
        <f>M!B6*1</f>
        <v>31.475300000000001</v>
      </c>
      <c r="O8" s="58">
        <f>M!C6*1</f>
        <v>2.2967399999999998</v>
      </c>
      <c r="P8" s="58">
        <f>M!D6*1</f>
        <v>7.2969799999999996</v>
      </c>
      <c r="Q8" s="58">
        <f>M!E6*1</f>
        <v>20</v>
      </c>
      <c r="R8" s="58">
        <f>M!F6*1</f>
        <v>25.2971</v>
      </c>
      <c r="S8" s="58">
        <f>M!G6*1</f>
        <v>40</v>
      </c>
      <c r="T8" s="58">
        <f>M!H6*1</f>
        <v>34.4099</v>
      </c>
      <c r="U8" s="15"/>
    </row>
    <row r="9" spans="2:21" s="7" customFormat="1" ht="21" customHeight="1">
      <c r="B9" s="75" t="str">
        <f>CONCATENATE(M7,"(20 ~ 50)")</f>
        <v>攻击性(20 ~ 50)</v>
      </c>
      <c r="C9" s="76">
        <f>R7</f>
        <v>8.1970899999999993</v>
      </c>
      <c r="D9" s="77">
        <f>N7</f>
        <v>39.613399999999999</v>
      </c>
      <c r="E9" s="78">
        <f>T7</f>
        <v>66.231099999999998</v>
      </c>
      <c r="F9" s="78">
        <f>P7</f>
        <v>35.414099999999998</v>
      </c>
      <c r="G9" s="79" t="str">
        <f>CONCATENATE(M8,"(20 ~ 40)")</f>
        <v>压力(20 ~ 40)</v>
      </c>
      <c r="H9" s="76">
        <f>R8</f>
        <v>25.2971</v>
      </c>
      <c r="I9" s="80">
        <f>N8</f>
        <v>31.475300000000001</v>
      </c>
      <c r="J9" s="76">
        <f>T8</f>
        <v>34.4099</v>
      </c>
      <c r="K9" s="81">
        <f>P8</f>
        <v>7.2969799999999996</v>
      </c>
      <c r="L9" s="6"/>
      <c r="M9" s="27" t="str">
        <f>lang!B16</f>
        <v>焦虑</v>
      </c>
      <c r="N9" s="58">
        <f>M!B7*1</f>
        <v>30.9588</v>
      </c>
      <c r="O9" s="58">
        <f>M!C7*1</f>
        <v>5.4078999999999997</v>
      </c>
      <c r="P9" s="58">
        <f>M!D7*1</f>
        <v>17.468</v>
      </c>
      <c r="Q9" s="58">
        <f>M!E7*1</f>
        <v>15</v>
      </c>
      <c r="R9" s="58">
        <f>M!F7*1</f>
        <v>22.6096</v>
      </c>
      <c r="S9" s="58">
        <f>M!G7*1</f>
        <v>40</v>
      </c>
      <c r="T9" s="58">
        <f>M!H7*1</f>
        <v>46.8185</v>
      </c>
      <c r="U9" s="14"/>
    </row>
    <row r="10" spans="2:21" s="5" customFormat="1" ht="22.5" customHeight="1">
      <c r="B10" s="70" t="str">
        <f>CONCATENATE(M9,"(15 ~ 40)")</f>
        <v>焦虑(15 ~ 40)</v>
      </c>
      <c r="C10" s="24">
        <f>R9</f>
        <v>22.6096</v>
      </c>
      <c r="D10" s="51">
        <f>N9</f>
        <v>30.9588</v>
      </c>
      <c r="E10" s="53">
        <f>T9</f>
        <v>46.8185</v>
      </c>
      <c r="F10" s="53">
        <f>P9</f>
        <v>17.468</v>
      </c>
      <c r="G10" s="72" t="str">
        <f>CONCATENATE(M10,"(20 ~ 50)")</f>
        <v>可疑(20 ~ 50)</v>
      </c>
      <c r="H10" s="24">
        <f>R10</f>
        <v>24.098299999999998</v>
      </c>
      <c r="I10" s="52">
        <f>N10</f>
        <v>32.452399999999997</v>
      </c>
      <c r="J10" s="24">
        <f>T10</f>
        <v>40.039299999999997</v>
      </c>
      <c r="K10" s="25">
        <f>P10</f>
        <v>15.377700000000001</v>
      </c>
      <c r="L10" s="4"/>
      <c r="M10" s="27" t="str">
        <f>lang!B17</f>
        <v>可疑</v>
      </c>
      <c r="N10" s="58">
        <f>M!B8*1</f>
        <v>32.452399999999997</v>
      </c>
      <c r="O10" s="58">
        <f>M!C8*1</f>
        <v>4.9904400000000004</v>
      </c>
      <c r="P10" s="58">
        <f>M!D8*1</f>
        <v>15.377700000000001</v>
      </c>
      <c r="Q10" s="58">
        <f>M!E8*1</f>
        <v>20</v>
      </c>
      <c r="R10" s="58">
        <f>M!F8*1</f>
        <v>24.098299999999998</v>
      </c>
      <c r="S10" s="58">
        <f>M!G8*1</f>
        <v>50</v>
      </c>
      <c r="T10" s="58">
        <f>M!H8*1</f>
        <v>40.039299999999997</v>
      </c>
      <c r="U10" s="14"/>
    </row>
    <row r="11" spans="2:21" s="5" customFormat="1" ht="21.75" customHeight="1">
      <c r="B11" s="70" t="str">
        <f>CONCATENATE(M11,"(50 ~ 100)")</f>
        <v>平衡(50 ~ 100)</v>
      </c>
      <c r="C11" s="24">
        <f>R11</f>
        <v>30.043299999999999</v>
      </c>
      <c r="D11" s="52">
        <f>N11</f>
        <v>43.943399999999997</v>
      </c>
      <c r="E11" s="24">
        <f>T11</f>
        <v>87.704999999999998</v>
      </c>
      <c r="F11" s="24">
        <f>P11</f>
        <v>26.6645</v>
      </c>
      <c r="G11" s="72" t="str">
        <f>CONCATENATE(M12,"(40 ~ 100)")</f>
        <v>自信(40 ~ 100)</v>
      </c>
      <c r="H11" s="24">
        <f>R12</f>
        <v>55.869100000000003</v>
      </c>
      <c r="I11" s="52">
        <f>N12</f>
        <v>66.266400000000004</v>
      </c>
      <c r="J11" s="24">
        <f>T12</f>
        <v>71.045500000000004</v>
      </c>
      <c r="K11" s="25">
        <f>P12</f>
        <v>4.4253799999999996</v>
      </c>
      <c r="L11" s="4"/>
      <c r="M11" s="27" t="str">
        <f>lang!B18</f>
        <v>平衡</v>
      </c>
      <c r="N11" s="58">
        <f>M!B9*1</f>
        <v>43.943399999999997</v>
      </c>
      <c r="O11" s="58">
        <f>M!C9*1</f>
        <v>11.7173</v>
      </c>
      <c r="P11" s="58">
        <f>M!D9*1</f>
        <v>26.6645</v>
      </c>
      <c r="Q11" s="58">
        <f>M!E9*1</f>
        <v>50</v>
      </c>
      <c r="R11" s="58">
        <f>M!F9*1</f>
        <v>30.043299999999999</v>
      </c>
      <c r="S11" s="58">
        <f>M!G9*1</f>
        <v>100</v>
      </c>
      <c r="T11" s="58">
        <f>M!H9*1</f>
        <v>87.704999999999998</v>
      </c>
      <c r="U11" s="14"/>
    </row>
    <row r="12" spans="2:21" s="5" customFormat="1" ht="24" customHeight="1">
      <c r="B12" s="70" t="str">
        <f>CONCATENATE(M13,"(10 ~ 50)")</f>
        <v>活力(10 ~ 50)</v>
      </c>
      <c r="C12" s="24">
        <f>R13</f>
        <v>4.53904</v>
      </c>
      <c r="D12" s="51">
        <f>N13</f>
        <v>17.222899999999999</v>
      </c>
      <c r="E12" s="53">
        <f>T13</f>
        <v>21.057600000000001</v>
      </c>
      <c r="F12" s="53">
        <f>P13</f>
        <v>29.404399999999999</v>
      </c>
      <c r="G12" s="72" t="str">
        <f>CONCATENATE(M14,"(50 ~ 100)")</f>
        <v>自我调节(50 ~ 100)</v>
      </c>
      <c r="H12" s="24">
        <f>R14</f>
        <v>50.451700000000002</v>
      </c>
      <c r="I12" s="52">
        <f>N14</f>
        <v>54.762599999999999</v>
      </c>
      <c r="J12" s="24">
        <f>T14</f>
        <v>75.275400000000005</v>
      </c>
      <c r="K12" s="25">
        <f>P14</f>
        <v>9.8565199999999997</v>
      </c>
      <c r="L12" s="4"/>
      <c r="M12" s="27" t="str">
        <f>lang!B19</f>
        <v>自信</v>
      </c>
      <c r="N12" s="58">
        <f>M!B10*1</f>
        <v>66.266400000000004</v>
      </c>
      <c r="O12" s="58">
        <f>M!C10*1</f>
        <v>2.9325399999999999</v>
      </c>
      <c r="P12" s="58">
        <f>M!D10*1</f>
        <v>4.4253799999999996</v>
      </c>
      <c r="Q12" s="58">
        <f>M!E10*1</f>
        <v>40</v>
      </c>
      <c r="R12" s="58">
        <f>M!F10*1</f>
        <v>55.869100000000003</v>
      </c>
      <c r="S12" s="58">
        <f>M!G10*1</f>
        <v>100</v>
      </c>
      <c r="T12" s="58">
        <f>M!H10*1</f>
        <v>71.045500000000004</v>
      </c>
      <c r="U12" s="15"/>
    </row>
    <row r="13" spans="2:21" ht="25.5" customHeight="1" thickBot="1">
      <c r="B13" s="71" t="str">
        <f>CONCATENATE(M15,"(10 ~ 25)")</f>
        <v>抑郁(10 ~ 25)</v>
      </c>
      <c r="C13" s="54">
        <f>R15</f>
        <v>11.296900000000001</v>
      </c>
      <c r="D13" s="55">
        <f>N15</f>
        <v>17.728400000000001</v>
      </c>
      <c r="E13" s="56">
        <f>T15</f>
        <v>24.1129</v>
      </c>
      <c r="F13" s="56">
        <f>P15</f>
        <v>15.083600000000001</v>
      </c>
      <c r="G13" s="73" t="str">
        <f>CONCATENATE(M16,"(10 ~ 50)")</f>
        <v>神经质(10 ~ 50)</v>
      </c>
      <c r="H13" s="54">
        <f>R16</f>
        <v>2.1137600000000001</v>
      </c>
      <c r="I13" s="55">
        <f>N16</f>
        <v>26.7408</v>
      </c>
      <c r="J13" s="56">
        <f>T16</f>
        <v>35.759799999999998</v>
      </c>
      <c r="K13" s="57">
        <f>P16</f>
        <v>40.585599999999999</v>
      </c>
      <c r="M13" s="27" t="str">
        <f>lang!B20</f>
        <v>活力</v>
      </c>
      <c r="N13" s="58">
        <f>M!B11*1</f>
        <v>17.222899999999999</v>
      </c>
      <c r="O13" s="58">
        <f>M!C11*1</f>
        <v>5.0642800000000001</v>
      </c>
      <c r="P13" s="58">
        <f>M!D11*1</f>
        <v>29.404399999999999</v>
      </c>
      <c r="Q13" s="58">
        <f>M!E11*1</f>
        <v>10</v>
      </c>
      <c r="R13" s="58">
        <f>M!F11*1</f>
        <v>4.53904</v>
      </c>
      <c r="S13" s="58">
        <f>M!G11*1</f>
        <v>50</v>
      </c>
      <c r="T13" s="58">
        <f>M!H11*1</f>
        <v>21.057600000000001</v>
      </c>
      <c r="U13" s="14"/>
    </row>
    <row r="14" spans="2:21" ht="19.5" customHeight="1" thickBot="1">
      <c r="B14" s="166" t="str">
        <f>lang!B3</f>
        <v>参数表</v>
      </c>
      <c r="C14" s="167"/>
      <c r="D14" s="167"/>
      <c r="E14" s="167"/>
      <c r="F14" s="168"/>
      <c r="G14" s="163" t="str">
        <f>lang!B4</f>
        <v>情感状态分布图</v>
      </c>
      <c r="H14" s="164"/>
      <c r="I14" s="164"/>
      <c r="J14" s="164"/>
      <c r="K14" s="165"/>
      <c r="M14" s="27" t="str">
        <f>lang!B21</f>
        <v>自我调节</v>
      </c>
      <c r="N14" s="58">
        <f>M!B12*1</f>
        <v>54.762599999999999</v>
      </c>
      <c r="O14" s="58">
        <f>M!C12*1</f>
        <v>5.3976899999999999</v>
      </c>
      <c r="P14" s="58">
        <f>M!D12*1</f>
        <v>9.8565199999999997</v>
      </c>
      <c r="Q14" s="58">
        <f>M!E12*1</f>
        <v>50</v>
      </c>
      <c r="R14" s="58">
        <f>M!F12*1</f>
        <v>50.451700000000002</v>
      </c>
      <c r="S14" s="58">
        <f>M!G12*1</f>
        <v>100</v>
      </c>
      <c r="T14" s="58">
        <f>M!H12*1</f>
        <v>75.275400000000005</v>
      </c>
      <c r="U14" s="14"/>
    </row>
    <row r="15" spans="2:21" ht="21" customHeight="1">
      <c r="B15" s="38"/>
      <c r="C15" s="28"/>
      <c r="D15" s="28"/>
      <c r="E15" s="28"/>
      <c r="F15" s="28"/>
      <c r="G15" s="144"/>
      <c r="H15" s="145"/>
      <c r="I15" s="145"/>
      <c r="J15" s="145"/>
      <c r="K15" s="146"/>
      <c r="M15" s="27" t="str">
        <f>lang!B22</f>
        <v>抑郁</v>
      </c>
      <c r="N15" s="58">
        <f>M!B13*1</f>
        <v>17.728400000000001</v>
      </c>
      <c r="O15" s="58">
        <f>M!C13*1</f>
        <v>2.67408</v>
      </c>
      <c r="P15" s="58">
        <f>M!D13*1</f>
        <v>15.083600000000001</v>
      </c>
      <c r="Q15" s="58">
        <f>M!E13*1</f>
        <v>10</v>
      </c>
      <c r="R15" s="58">
        <f>M!F13*1</f>
        <v>11.296900000000001</v>
      </c>
      <c r="S15" s="58">
        <f>M!G13*1</f>
        <v>25</v>
      </c>
      <c r="T15" s="58">
        <f>M!H13*1</f>
        <v>24.1129</v>
      </c>
      <c r="U15" s="14"/>
    </row>
    <row r="16" spans="2:21" ht="21" customHeight="1">
      <c r="B16" s="29"/>
      <c r="C16" s="32"/>
      <c r="D16" s="32"/>
      <c r="E16" s="32"/>
      <c r="F16" s="32"/>
      <c r="G16" s="147"/>
      <c r="H16" s="148"/>
      <c r="I16" s="148"/>
      <c r="J16" s="148"/>
      <c r="K16" s="149"/>
      <c r="M16" s="27" t="str">
        <f>lang!B23</f>
        <v>神经质</v>
      </c>
      <c r="N16" s="58">
        <f>M!B14*1</f>
        <v>26.7408</v>
      </c>
      <c r="O16" s="58">
        <f>M!C14*1</f>
        <v>10.8529</v>
      </c>
      <c r="P16" s="58">
        <f>M!D14*1</f>
        <v>40.585599999999999</v>
      </c>
      <c r="Q16" s="58">
        <f>M!E14*1</f>
        <v>10</v>
      </c>
      <c r="R16" s="58">
        <f>M!F14*1</f>
        <v>2.1137600000000001</v>
      </c>
      <c r="S16" s="58">
        <f>M!G14*1</f>
        <v>50</v>
      </c>
      <c r="T16" s="58">
        <f>M!H14*1</f>
        <v>35.759799999999998</v>
      </c>
      <c r="U16" s="15"/>
    </row>
    <row r="17" spans="2:24" ht="21" customHeight="1">
      <c r="B17" s="29"/>
      <c r="C17" s="32"/>
      <c r="D17" s="32"/>
      <c r="E17" s="32"/>
      <c r="F17" s="32"/>
      <c r="G17" s="147"/>
      <c r="H17" s="148"/>
      <c r="I17" s="148"/>
      <c r="J17" s="148"/>
      <c r="K17" s="149"/>
      <c r="M17" s="21" t="str">
        <f>lang!B7</f>
        <v>Positive</v>
      </c>
      <c r="N17" s="64">
        <f>SUM(N11:N14)/4</f>
        <v>45.548825000000001</v>
      </c>
      <c r="O17" s="22">
        <f>N17/(N17+N18+N19)</f>
        <v>0.44916224888667999</v>
      </c>
      <c r="P17" s="64">
        <f>SUM(P11:P14)/4</f>
        <v>17.587700000000002</v>
      </c>
      <c r="Q17" s="22">
        <f>P17/(P17+P18+P19)</f>
        <v>0.27347677114332358</v>
      </c>
      <c r="R17" s="14"/>
      <c r="S17" s="14"/>
      <c r="T17" s="14"/>
      <c r="U17" s="14"/>
    </row>
    <row r="18" spans="2:24" ht="21" customHeight="1">
      <c r="B18" s="29"/>
      <c r="C18" s="32"/>
      <c r="D18" s="32"/>
      <c r="E18" s="32"/>
      <c r="F18" s="32"/>
      <c r="G18" s="147"/>
      <c r="H18" s="148"/>
      <c r="I18" s="148"/>
      <c r="J18" s="148"/>
      <c r="K18" s="149"/>
      <c r="M18" s="21" t="str">
        <f>lang!B8</f>
        <v>Negative</v>
      </c>
      <c r="N18" s="18">
        <f>SUM(N7:N10)/4</f>
        <v>33.624974999999999</v>
      </c>
      <c r="O18" s="22">
        <f>N18/(N17+N18+N19)</f>
        <v>0.3315797803732235</v>
      </c>
      <c r="P18" s="18">
        <f>SUM(P7:P10)/4</f>
        <v>18.889195000000001</v>
      </c>
      <c r="Q18" s="22">
        <f>P18/(P17+P18+P19)</f>
        <v>0.29371413306439226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47"/>
      <c r="H19" s="148"/>
      <c r="I19" s="148"/>
      <c r="J19" s="148"/>
      <c r="K19" s="149"/>
      <c r="M19" s="21" t="str">
        <f>lang!B9</f>
        <v>Physiological</v>
      </c>
      <c r="N19" s="18">
        <f>(N15+N16)/2</f>
        <v>22.2346</v>
      </c>
      <c r="O19" s="22">
        <f>N19/(N17+N18+N19)</f>
        <v>0.21925797074009648</v>
      </c>
      <c r="P19" s="18">
        <f>(P15+P16)/2</f>
        <v>27.834600000000002</v>
      </c>
      <c r="Q19" s="22">
        <f>P19/(P17+P18+P19)</f>
        <v>0.43280909579228405</v>
      </c>
      <c r="R19" s="14"/>
      <c r="S19" s="14"/>
      <c r="T19" s="14"/>
      <c r="U19" s="21"/>
    </row>
    <row r="20" spans="2:24" ht="21" customHeight="1">
      <c r="B20" s="29"/>
      <c r="C20" s="32"/>
      <c r="D20" s="32"/>
      <c r="E20" s="32"/>
      <c r="F20" s="32"/>
      <c r="G20" s="147"/>
      <c r="H20" s="148"/>
      <c r="I20" s="148"/>
      <c r="J20" s="148"/>
      <c r="K20" s="149"/>
      <c r="M20" s="21" t="str">
        <f>lang!B50</f>
        <v>Sat</v>
      </c>
      <c r="N20" s="87">
        <f ca="1">(info!V3-info!U3)-(info!X3-info!W3)</f>
        <v>-0.36035190289189167</v>
      </c>
      <c r="O20" s="22"/>
      <c r="P20" s="22"/>
      <c r="Q20"/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47"/>
      <c r="H21" s="148"/>
      <c r="I21" s="148"/>
      <c r="J21" s="148"/>
      <c r="K21" s="149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24" ht="21.75" customHeight="1" thickBot="1">
      <c r="B22" s="30"/>
      <c r="C22" s="31"/>
      <c r="D22" s="31"/>
      <c r="E22" s="31"/>
      <c r="F22" s="31"/>
      <c r="G22" s="150"/>
      <c r="H22" s="151"/>
      <c r="I22" s="151"/>
      <c r="J22" s="151"/>
      <c r="K22" s="152"/>
      <c r="M22" s="16"/>
      <c r="O22" s="17"/>
      <c r="Q22"/>
      <c r="T22"/>
      <c r="U22" s="19"/>
    </row>
    <row r="23" spans="2:24" ht="17.25" customHeight="1" thickBot="1">
      <c r="B23" s="129" t="str">
        <f>lang!B5</f>
        <v>频率分布直方图</v>
      </c>
      <c r="C23" s="130"/>
      <c r="D23" s="130"/>
      <c r="E23" s="130"/>
      <c r="F23" s="131"/>
      <c r="G23" s="141" t="str">
        <f>lang!B6</f>
        <v xml:space="preserve">心理变化 - 心理基础代谢 </v>
      </c>
      <c r="H23" s="142"/>
      <c r="I23" s="142"/>
      <c r="J23" s="142"/>
      <c r="K23" s="143"/>
      <c r="M23" s="16"/>
      <c r="O23" s="17"/>
      <c r="Q23"/>
      <c r="T23"/>
      <c r="U23" s="19"/>
    </row>
    <row r="24" spans="2:24" ht="15" customHeight="1" thickBot="1">
      <c r="B24" s="43" t="str">
        <f>lang!B10</f>
        <v>平均频率</v>
      </c>
      <c r="C24" s="40">
        <f ca="1">FH!L2</f>
        <v>1.6044834746698082</v>
      </c>
      <c r="D24" s="44" t="str">
        <f>lang!B11</f>
        <v>频率方差</v>
      </c>
      <c r="E24" s="161">
        <f ca="1">FH!L3</f>
        <v>0.91967222803823834</v>
      </c>
      <c r="F24" s="162"/>
      <c r="G24" s="153" t="str">
        <f>lang!B12</f>
        <v>生理变化率</v>
      </c>
      <c r="H24" s="154"/>
      <c r="I24" s="61" t="str">
        <f ca="1">CONCATENATE(info!M7,"-",info!M8)</f>
        <v>0-53.9</v>
      </c>
      <c r="J24" s="42" t="str">
        <f>lang!B13</f>
        <v>千卡l/分钟</v>
      </c>
      <c r="K24" s="41" t="str">
        <f ca="1">CONCATENATE(info!M5,"-",info!M6)</f>
        <v>1.7-3.9</v>
      </c>
      <c r="M24" s="16"/>
      <c r="O24" s="17"/>
      <c r="P24" s="17"/>
      <c r="Q24"/>
      <c r="T24"/>
      <c r="U24" s="19"/>
    </row>
    <row r="25" spans="2:24" ht="156.75" customHeight="1" thickBot="1">
      <c r="B25" s="134" ph="1"/>
      <c r="C25" s="135" ph="1"/>
      <c r="D25" s="135" ph="1"/>
      <c r="E25" s="136" ph="1"/>
      <c r="F25" s="39" ph="1"/>
      <c r="G25" s="137"/>
      <c r="H25" s="138"/>
      <c r="I25" s="138"/>
      <c r="J25" s="139"/>
      <c r="K25" s="140"/>
      <c r="M25"/>
      <c r="O25" s="17"/>
      <c r="Q25"/>
      <c r="T25"/>
      <c r="U25" s="19"/>
    </row>
    <row r="26" spans="2:24" ht="15" customHeight="1" thickBot="1">
      <c r="B26" s="98" t="str">
        <f>CONCATENATE( lang!B31," ",ROUND(100-FH_info!L2,0),"%]")</f>
        <v>Result [Quality 100%]</v>
      </c>
      <c r="C26" s="99"/>
      <c r="D26" s="99"/>
      <c r="E26" s="99"/>
      <c r="F26" s="99"/>
      <c r="G26" s="99"/>
      <c r="H26" s="99"/>
      <c r="I26" s="99"/>
      <c r="J26" s="99"/>
      <c r="K26" s="100"/>
      <c r="M26"/>
      <c r="Q26"/>
      <c r="T26"/>
    </row>
    <row r="27" spans="2:24" ht="15" thickBot="1">
      <c r="B27" s="114" t="str">
        <f>lang!B32</f>
        <v>外向性</v>
      </c>
      <c r="C27" s="115"/>
      <c r="D27" s="116"/>
      <c r="E27" s="98">
        <f>M!B18*100</f>
        <v>48.442599999999999</v>
      </c>
      <c r="F27" s="100"/>
      <c r="G27" s="114" t="str">
        <f>lang!B33</f>
        <v>稳定性</v>
      </c>
      <c r="H27" s="115"/>
      <c r="I27" s="116"/>
      <c r="J27" s="117">
        <f>M!B19*100</f>
        <v>76.1066</v>
      </c>
      <c r="K27" s="118"/>
    </row>
    <row r="28" spans="2:24" ht="17.5" customHeight="1" thickBot="1">
      <c r="B28" s="184" t="s">
        <v>488</v>
      </c>
      <c r="C28" s="184"/>
      <c r="D28" s="184"/>
      <c r="E28" s="185">
        <f>M!B15</f>
        <v>0.12421599999999999</v>
      </c>
      <c r="F28" s="185"/>
      <c r="G28" s="184" t="s">
        <v>489</v>
      </c>
      <c r="H28" s="186"/>
      <c r="I28" s="186"/>
      <c r="J28" s="183">
        <f>M!B16</f>
        <v>0.22437299999999999</v>
      </c>
      <c r="K28" s="118"/>
    </row>
    <row r="29" spans="2:24" ht="24.75" customHeight="1">
      <c r="B29" s="101" t="str">
        <f>lang!B34</f>
        <v xml:space="preserve">心理生理状态分析结果： </v>
      </c>
      <c r="C29" s="102"/>
      <c r="D29" s="102"/>
      <c r="E29" s="102"/>
      <c r="F29" s="102"/>
      <c r="G29" s="102"/>
      <c r="H29" s="102"/>
      <c r="I29" s="102"/>
      <c r="J29" s="102"/>
      <c r="K29" s="103"/>
      <c r="M29"/>
      <c r="Q29"/>
      <c r="T29"/>
      <c r="W29" s="33"/>
      <c r="X29" s="33"/>
    </row>
    <row r="30" spans="2:24" ht="15.75" customHeight="1">
      <c r="B30" s="34"/>
      <c r="C30" s="63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3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19" t="str">
        <f>lang!B37</f>
        <v>意见</v>
      </c>
      <c r="C32" s="120"/>
      <c r="D32" s="121"/>
      <c r="E32" s="121"/>
      <c r="F32" s="121"/>
      <c r="G32" s="121"/>
      <c r="H32" s="121"/>
      <c r="I32" s="121"/>
      <c r="J32" s="121"/>
      <c r="K32" s="122"/>
      <c r="M32"/>
      <c r="Q32"/>
      <c r="T32"/>
      <c r="W32" s="33"/>
      <c r="X32" s="33"/>
    </row>
    <row r="33" spans="2:24" ht="18" customHeight="1">
      <c r="B33" s="177"/>
      <c r="C33" s="178"/>
      <c r="D33" s="178"/>
      <c r="E33" s="178"/>
      <c r="F33" s="178"/>
      <c r="G33" s="178"/>
      <c r="H33" s="178"/>
      <c r="I33" s="178"/>
      <c r="J33" s="178"/>
      <c r="K33" s="179"/>
      <c r="M33"/>
      <c r="Q33"/>
      <c r="T33"/>
      <c r="W33" s="33"/>
      <c r="X33" s="33"/>
    </row>
    <row r="34" spans="2:24" ht="35.25" customHeight="1" thickBot="1">
      <c r="B34" s="180"/>
      <c r="C34" s="181"/>
      <c r="D34" s="181"/>
      <c r="E34" s="181"/>
      <c r="F34" s="181"/>
      <c r="G34" s="181"/>
      <c r="H34" s="181"/>
      <c r="I34" s="181"/>
      <c r="J34" s="181"/>
      <c r="K34" s="182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30">
    <mergeCell ref="E28:F28"/>
    <mergeCell ref="G28:I28"/>
    <mergeCell ref="J28:K28"/>
    <mergeCell ref="C1:I1"/>
    <mergeCell ref="B25:E25"/>
    <mergeCell ref="G25:K25"/>
    <mergeCell ref="G23:K23"/>
    <mergeCell ref="G15:K22"/>
    <mergeCell ref="G24:H24"/>
    <mergeCell ref="B2:K3"/>
    <mergeCell ref="E24:F24"/>
    <mergeCell ref="G14:K14"/>
    <mergeCell ref="B14:F14"/>
    <mergeCell ref="C4:F4"/>
    <mergeCell ref="H4:K4"/>
    <mergeCell ref="B26:K26"/>
    <mergeCell ref="B29:K29"/>
    <mergeCell ref="B7:K7"/>
    <mergeCell ref="H5:K5"/>
    <mergeCell ref="H6:K6"/>
    <mergeCell ref="B27:D27"/>
    <mergeCell ref="G27:I27"/>
    <mergeCell ref="E27:F27"/>
    <mergeCell ref="J27:K27"/>
    <mergeCell ref="B32:C32"/>
    <mergeCell ref="D32:K32"/>
    <mergeCell ref="C5:F5"/>
    <mergeCell ref="C6:F6"/>
    <mergeCell ref="B23:F23"/>
    <mergeCell ref="B28:D28"/>
  </mergeCells>
  <phoneticPr fontId="1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9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B1:AL35"/>
  <sheetViews>
    <sheetView workbookViewId="0">
      <selection activeCell="B2" sqref="B2:K3"/>
    </sheetView>
  </sheetViews>
  <sheetFormatPr defaultRowHeight="14.5"/>
  <cols>
    <col min="1" max="1" width="3.08984375" customWidth="1"/>
    <col min="2" max="2" width="9" style="3" customWidth="1"/>
    <col min="3" max="3" width="10.36328125" style="3" bestFit="1" customWidth="1"/>
    <col min="4" max="4" width="9.26953125" style="3" customWidth="1"/>
    <col min="5" max="5" width="10.36328125" style="3" customWidth="1"/>
    <col min="6" max="6" width="6.7265625" style="3" customWidth="1"/>
    <col min="7" max="7" width="8.7265625" style="3" customWidth="1"/>
    <col min="8" max="8" width="9.7265625" customWidth="1"/>
    <col min="9" max="9" width="9.90625" customWidth="1"/>
    <col min="10" max="10" width="8.36328125" customWidth="1"/>
    <col min="11" max="11" width="9.36328125" customWidth="1"/>
    <col min="12" max="12" width="5.36328125" style="1" customWidth="1"/>
    <col min="13" max="13" width="12.6328125" style="1" customWidth="1"/>
    <col min="14" max="15" width="7.90625" customWidth="1"/>
    <col min="16" max="16" width="7" customWidth="1"/>
    <col min="17" max="17" width="5.7265625" style="1" customWidth="1"/>
    <col min="18" max="18" width="6.36328125" customWidth="1"/>
    <col min="19" max="19" width="6.26953125" customWidth="1"/>
    <col min="20" max="20" width="7.6328125" style="1" customWidth="1"/>
    <col min="21" max="21" width="4.90625" customWidth="1"/>
  </cols>
  <sheetData>
    <row r="1" spans="2:38" ht="6" customHeight="1" thickBot="1">
      <c r="C1" s="132"/>
      <c r="D1" s="133"/>
      <c r="E1" s="133"/>
      <c r="F1" s="133"/>
      <c r="G1" s="133"/>
      <c r="H1" s="133"/>
      <c r="I1" s="133"/>
      <c r="J1" s="86"/>
      <c r="K1" s="86"/>
      <c r="L1" s="85"/>
      <c r="M1" s="85"/>
      <c r="N1" s="85"/>
      <c r="O1" s="85"/>
      <c r="P1" s="85"/>
    </row>
    <row r="2" spans="2:38" ht="14">
      <c r="B2" s="155" t="str">
        <f>lang!B2</f>
        <v>心理生理状态分析结果</v>
      </c>
      <c r="C2" s="156"/>
      <c r="D2" s="156"/>
      <c r="E2" s="156"/>
      <c r="F2" s="156"/>
      <c r="G2" s="156"/>
      <c r="H2" s="156"/>
      <c r="I2" s="156"/>
      <c r="J2" s="156"/>
      <c r="K2" s="157"/>
    </row>
    <row r="3" spans="2:38" ht="31.5" customHeight="1" thickBot="1">
      <c r="B3" s="158"/>
      <c r="C3" s="159"/>
      <c r="D3" s="159"/>
      <c r="E3" s="159"/>
      <c r="F3" s="159"/>
      <c r="G3" s="159"/>
      <c r="H3" s="159"/>
      <c r="I3" s="159"/>
      <c r="J3" s="159"/>
      <c r="K3" s="160"/>
    </row>
    <row r="4" spans="2:38" ht="16.5" customHeight="1">
      <c r="B4" s="45" t="str">
        <f>lang!B24</f>
        <v>姓名</v>
      </c>
      <c r="C4" s="169" t="str">
        <f>FH_info!B2</f>
        <v>.</v>
      </c>
      <c r="D4" s="170"/>
      <c r="E4" s="170"/>
      <c r="F4" s="171"/>
      <c r="G4" s="48" t="str">
        <f>lang!B27</f>
        <v>编号</v>
      </c>
      <c r="H4" s="169"/>
      <c r="I4" s="170"/>
      <c r="J4" s="170"/>
      <c r="K4" s="172"/>
    </row>
    <row r="5" spans="2:38" ht="17.25" customHeight="1">
      <c r="B5" s="46" t="str">
        <f>lang!B25</f>
        <v>性别</v>
      </c>
      <c r="C5" s="173"/>
      <c r="D5" s="124"/>
      <c r="E5" s="124"/>
      <c r="F5" s="125"/>
      <c r="G5" s="49" t="str">
        <f>lang!B28</f>
        <v xml:space="preserve"> 日期</v>
      </c>
      <c r="H5" s="108">
        <f>FH_info!A2</f>
        <v>43609.539664351854</v>
      </c>
      <c r="I5" s="109"/>
      <c r="J5" s="109"/>
      <c r="K5" s="110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26"/>
      <c r="D6" s="127"/>
      <c r="E6" s="127"/>
      <c r="F6" s="128"/>
      <c r="G6" s="50" t="str">
        <f>lang!B29</f>
        <v>误差率（%）</v>
      </c>
      <c r="H6" s="111">
        <f>dM!B17*1</f>
        <v>0</v>
      </c>
      <c r="I6" s="112"/>
      <c r="J6" s="112"/>
      <c r="K6" s="113"/>
      <c r="M6" s="23"/>
      <c r="N6" s="84" t="str">
        <f>lang!B43</f>
        <v>M</v>
      </c>
      <c r="O6" s="84" t="str">
        <f>lang!B44</f>
        <v>S</v>
      </c>
      <c r="P6" s="84" t="str">
        <f>lang!B45</f>
        <v>Vi (S/M)</v>
      </c>
      <c r="Q6" s="84" t="str">
        <f>lang!B46</f>
        <v>bMin</v>
      </c>
      <c r="R6" s="84" t="str">
        <f>lang!B47</f>
        <v>cMin</v>
      </c>
      <c r="S6" s="84" t="str">
        <f>lang!B48</f>
        <v>bMax</v>
      </c>
      <c r="T6" s="84" t="str">
        <f>lang!B49</f>
        <v>cMax</v>
      </c>
      <c r="U6" s="20"/>
      <c r="V6" s="23"/>
      <c r="W6" s="84" t="str">
        <f>N6</f>
        <v>M</v>
      </c>
      <c r="X6" s="84" t="str">
        <f t="shared" ref="X6:AC6" si="0">O6</f>
        <v>S</v>
      </c>
      <c r="Y6" s="84" t="str">
        <f t="shared" si="0"/>
        <v>Vi (S/M)</v>
      </c>
      <c r="Z6" s="84" t="str">
        <f t="shared" si="0"/>
        <v>bMin</v>
      </c>
      <c r="AA6" s="84" t="str">
        <f t="shared" si="0"/>
        <v>cMin</v>
      </c>
      <c r="AB6" s="84" t="str">
        <f t="shared" si="0"/>
        <v>bMax</v>
      </c>
      <c r="AC6" s="84" t="str">
        <f t="shared" si="0"/>
        <v>cMax</v>
      </c>
      <c r="AE6" s="23"/>
      <c r="AF6" s="84" t="str">
        <f>W6</f>
        <v>M</v>
      </c>
      <c r="AG6" s="84" t="str">
        <f t="shared" ref="AG6:AL6" si="1">X6</f>
        <v>S</v>
      </c>
      <c r="AH6" s="84" t="str">
        <f t="shared" si="1"/>
        <v>Vi (S/M)</v>
      </c>
      <c r="AI6" s="84" t="str">
        <f t="shared" si="1"/>
        <v>bMin</v>
      </c>
      <c r="AJ6" s="84" t="str">
        <f t="shared" si="1"/>
        <v>cMin</v>
      </c>
      <c r="AK6" s="84" t="str">
        <f t="shared" si="1"/>
        <v>bMax</v>
      </c>
      <c r="AL6" s="84" t="str">
        <f t="shared" si="1"/>
        <v>cMax</v>
      </c>
    </row>
    <row r="7" spans="2:38" ht="15.75" customHeight="1" thickBot="1">
      <c r="B7" s="104" t="str">
        <f>lang!B30</f>
        <v>10项参数结果</v>
      </c>
      <c r="C7" s="105"/>
      <c r="D7" s="106"/>
      <c r="E7" s="106"/>
      <c r="F7" s="106"/>
      <c r="G7" s="106"/>
      <c r="H7" s="106"/>
      <c r="I7" s="106"/>
      <c r="J7" s="106"/>
      <c r="K7" s="107"/>
      <c r="M7" s="27" t="str">
        <f>lang!B14</f>
        <v>攻击性</v>
      </c>
      <c r="N7" s="58">
        <f>AF7-W7</f>
        <v>25.068199999999997</v>
      </c>
      <c r="O7" s="58">
        <f t="shared" ref="O7:T7" si="2">AG7-X7</f>
        <v>-5.9968699999999995</v>
      </c>
      <c r="P7" s="58">
        <f t="shared" si="2"/>
        <v>-30.861760000000004</v>
      </c>
      <c r="Q7" s="58">
        <f t="shared" si="2"/>
        <v>0</v>
      </c>
      <c r="R7" s="58">
        <f t="shared" si="2"/>
        <v>31.931509999999999</v>
      </c>
      <c r="S7" s="58">
        <f t="shared" si="2"/>
        <v>0</v>
      </c>
      <c r="T7" s="58">
        <f t="shared" si="2"/>
        <v>26.617699999999999</v>
      </c>
      <c r="U7" s="14"/>
      <c r="V7" s="27" t="str">
        <f>M7</f>
        <v>攻击性</v>
      </c>
      <c r="W7" s="58">
        <f>'M1'!B5*1</f>
        <v>25.2971</v>
      </c>
      <c r="X7" s="58">
        <f>'M1'!C5*1</f>
        <v>9.6339199999999998</v>
      </c>
      <c r="Y7" s="58">
        <f>'M1'!D5*1</f>
        <v>38.083100000000002</v>
      </c>
      <c r="Z7" s="58">
        <f>'M1'!E5*1</f>
        <v>20</v>
      </c>
      <c r="AA7" s="58">
        <f>'M1'!F5*1</f>
        <v>8.1970899999999993</v>
      </c>
      <c r="AB7" s="58">
        <f>'M1'!G5*1</f>
        <v>50</v>
      </c>
      <c r="AC7" s="58">
        <f>'M1'!H5*1</f>
        <v>39.613399999999999</v>
      </c>
      <c r="AE7" s="27" t="str">
        <f>V7</f>
        <v>攻击性</v>
      </c>
      <c r="AF7" s="58">
        <f>'M2'!B5*1</f>
        <v>50.365299999999998</v>
      </c>
      <c r="AG7" s="58">
        <f>'M2'!C5*1</f>
        <v>3.6370499999999999</v>
      </c>
      <c r="AH7" s="58">
        <f>'M2'!D5*1</f>
        <v>7.2213399999999996</v>
      </c>
      <c r="AI7" s="58">
        <f>'M2'!E5*1</f>
        <v>20</v>
      </c>
      <c r="AJ7" s="58">
        <f>'M2'!F5*1</f>
        <v>40.128599999999999</v>
      </c>
      <c r="AK7" s="58">
        <f>'M2'!G5*1</f>
        <v>50</v>
      </c>
      <c r="AL7" s="58">
        <f>'M2'!H5*1</f>
        <v>66.231099999999998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2" t="str">
        <f>B8</f>
        <v>Parameter</v>
      </c>
      <c r="H8" s="82" t="str">
        <f t="shared" ref="H8:K8" si="3">C8</f>
        <v>Min</v>
      </c>
      <c r="I8" s="82" t="str">
        <f t="shared" si="3"/>
        <v>Avg</v>
      </c>
      <c r="J8" s="82" t="str">
        <f t="shared" si="3"/>
        <v>Max</v>
      </c>
      <c r="K8" s="83" t="str">
        <f t="shared" si="3"/>
        <v>Vi</v>
      </c>
      <c r="M8" s="27" t="str">
        <f>lang!B15</f>
        <v>压力</v>
      </c>
      <c r="N8" s="58">
        <f t="shared" ref="N8:N16" si="4">AF8-W8</f>
        <v>3.1447000000000003</v>
      </c>
      <c r="O8" s="58">
        <f t="shared" ref="O8:O16" si="5">AG8-X8</f>
        <v>-0.93300999999999989</v>
      </c>
      <c r="P8" s="58">
        <f t="shared" ref="P8:P16" si="6">AH8-Y8</f>
        <v>-3.4522499999999998</v>
      </c>
      <c r="Q8" s="58">
        <f t="shared" ref="Q8:Q16" si="7">AI8-Z8</f>
        <v>0</v>
      </c>
      <c r="R8" s="58">
        <f t="shared" ref="R8:R16" si="8">AJ8-AA8</f>
        <v>5.1607999999999983</v>
      </c>
      <c r="S8" s="58">
        <f t="shared" ref="S8:S16" si="9">AK8-AB8</f>
        <v>0</v>
      </c>
      <c r="T8" s="58">
        <f t="shared" ref="T8:T16" si="10">AL8-AC8</f>
        <v>2.2413000000000025</v>
      </c>
      <c r="U8" s="15"/>
      <c r="V8" s="27" t="str">
        <f t="shared" ref="V8:V16" si="11">M8</f>
        <v>压力</v>
      </c>
      <c r="W8" s="58">
        <f>'M1'!B6*1</f>
        <v>29.846800000000002</v>
      </c>
      <c r="X8" s="58">
        <f>'M1'!C6*1</f>
        <v>1.9546399999999999</v>
      </c>
      <c r="Y8" s="58">
        <f>'M1'!D6*1</f>
        <v>6.5488999999999997</v>
      </c>
      <c r="Z8" s="58">
        <f>'M1'!E6*1</f>
        <v>20</v>
      </c>
      <c r="AA8" s="58">
        <f>'M1'!F6*1</f>
        <v>25.2971</v>
      </c>
      <c r="AB8" s="58">
        <f>'M1'!G6*1</f>
        <v>40</v>
      </c>
      <c r="AC8" s="58">
        <f>'M1'!H6*1</f>
        <v>32.168599999999998</v>
      </c>
      <c r="AE8" s="27" t="str">
        <f t="shared" ref="AE8:AE16" si="12">V8</f>
        <v>压力</v>
      </c>
      <c r="AF8" s="58">
        <f>'M2'!B6*1</f>
        <v>32.991500000000002</v>
      </c>
      <c r="AG8" s="58">
        <f>'M2'!C6*1</f>
        <v>1.02163</v>
      </c>
      <c r="AH8" s="58">
        <f>'M2'!D6*1</f>
        <v>3.0966499999999999</v>
      </c>
      <c r="AI8" s="58">
        <f>'M2'!E6*1</f>
        <v>20</v>
      </c>
      <c r="AJ8" s="58">
        <f>'M2'!F6*1</f>
        <v>30.457899999999999</v>
      </c>
      <c r="AK8" s="58">
        <f>'M2'!G6*1</f>
        <v>40</v>
      </c>
      <c r="AL8" s="58">
        <f>'M2'!H6*1</f>
        <v>34.4099</v>
      </c>
    </row>
    <row r="9" spans="2:38" s="7" customFormat="1" ht="21" customHeight="1">
      <c r="B9" s="75" t="str">
        <f>CONCATENATE(M7,"(20 ~ 50)")</f>
        <v>攻击性(20 ~ 50)</v>
      </c>
      <c r="C9" s="76">
        <f>R7</f>
        <v>31.931509999999999</v>
      </c>
      <c r="D9" s="77">
        <f>N7</f>
        <v>25.068199999999997</v>
      </c>
      <c r="E9" s="78">
        <f>T7</f>
        <v>26.617699999999999</v>
      </c>
      <c r="F9" s="78">
        <f>P7</f>
        <v>-30.861760000000004</v>
      </c>
      <c r="G9" s="79" t="str">
        <f>CONCATENATE(M8,"(20 ~ 40)")</f>
        <v>压力(20 ~ 40)</v>
      </c>
      <c r="H9" s="76">
        <f>R8</f>
        <v>5.1607999999999983</v>
      </c>
      <c r="I9" s="80">
        <f>N8</f>
        <v>3.1447000000000003</v>
      </c>
      <c r="J9" s="76">
        <f>T8</f>
        <v>2.2413000000000025</v>
      </c>
      <c r="K9" s="81">
        <f>P8</f>
        <v>-3.4522499999999998</v>
      </c>
      <c r="L9" s="6"/>
      <c r="M9" s="27" t="str">
        <f>lang!B16</f>
        <v>焦虑</v>
      </c>
      <c r="N9" s="58">
        <f t="shared" si="4"/>
        <v>0.46819999999999951</v>
      </c>
      <c r="O9" s="58">
        <f t="shared" si="5"/>
        <v>-2.0270200000000003</v>
      </c>
      <c r="P9" s="58">
        <f t="shared" si="6"/>
        <v>-6.7891000000000012</v>
      </c>
      <c r="Q9" s="58">
        <f t="shared" si="7"/>
        <v>0</v>
      </c>
      <c r="R9" s="58">
        <f t="shared" si="8"/>
        <v>-1.5909000000000013</v>
      </c>
      <c r="S9" s="58">
        <f t="shared" si="9"/>
        <v>0</v>
      </c>
      <c r="T9" s="58">
        <f t="shared" si="10"/>
        <v>-7.5426000000000002</v>
      </c>
      <c r="U9" s="14"/>
      <c r="V9" s="27" t="str">
        <f t="shared" si="11"/>
        <v>焦虑</v>
      </c>
      <c r="W9" s="58">
        <f>'M1'!B7*1</f>
        <v>30.774100000000001</v>
      </c>
      <c r="X9" s="58">
        <f>'M1'!C7*1</f>
        <v>6.1823600000000001</v>
      </c>
      <c r="Y9" s="58">
        <f>'M1'!D7*1</f>
        <v>20.089500000000001</v>
      </c>
      <c r="Z9" s="58">
        <f>'M1'!E7*1</f>
        <v>15</v>
      </c>
      <c r="AA9" s="58">
        <f>'M1'!F7*1</f>
        <v>24.200500000000002</v>
      </c>
      <c r="AB9" s="58">
        <f>'M1'!G7*1</f>
        <v>40</v>
      </c>
      <c r="AC9" s="58">
        <f>'M1'!H7*1</f>
        <v>46.8185</v>
      </c>
      <c r="AE9" s="27" t="str">
        <f t="shared" si="12"/>
        <v>焦虑</v>
      </c>
      <c r="AF9" s="58">
        <f>'M2'!B7*1</f>
        <v>31.2423</v>
      </c>
      <c r="AG9" s="58">
        <f>'M2'!C7*1</f>
        <v>4.1553399999999998</v>
      </c>
      <c r="AH9" s="58">
        <f>'M2'!D7*1</f>
        <v>13.3004</v>
      </c>
      <c r="AI9" s="58">
        <f>'M2'!E7*1</f>
        <v>15</v>
      </c>
      <c r="AJ9" s="58">
        <f>'M2'!F7*1</f>
        <v>22.6096</v>
      </c>
      <c r="AK9" s="58">
        <f>'M2'!G7*1</f>
        <v>40</v>
      </c>
      <c r="AL9" s="58">
        <f>'M2'!H7*1</f>
        <v>39.2759</v>
      </c>
    </row>
    <row r="10" spans="2:38" s="5" customFormat="1" ht="22.5" customHeight="1">
      <c r="B10" s="70" t="str">
        <f>CONCATENATE(M9,"(15 ~ 40)")</f>
        <v>焦虑(15 ~ 40)</v>
      </c>
      <c r="C10" s="24">
        <f>R9</f>
        <v>-1.5909000000000013</v>
      </c>
      <c r="D10" s="51">
        <f>N9</f>
        <v>0.46819999999999951</v>
      </c>
      <c r="E10" s="53">
        <f>T9</f>
        <v>-7.5426000000000002</v>
      </c>
      <c r="F10" s="53">
        <f>P9</f>
        <v>-6.7891000000000012</v>
      </c>
      <c r="G10" s="72" t="str">
        <f>CONCATENATE(M10,"(20 ~ 50)")</f>
        <v>可疑(20 ~ 50)</v>
      </c>
      <c r="H10" s="24">
        <f>R10</f>
        <v>8.1276000000000046</v>
      </c>
      <c r="I10" s="52">
        <f>N10</f>
        <v>10.265499999999999</v>
      </c>
      <c r="J10" s="24">
        <f>T10</f>
        <v>7.2374999999999972</v>
      </c>
      <c r="K10" s="25">
        <f>P10</f>
        <v>-1.7217700000000002</v>
      </c>
      <c r="L10" s="4"/>
      <c r="M10" s="27" t="str">
        <f>lang!B17</f>
        <v>可疑</v>
      </c>
      <c r="N10" s="58">
        <f t="shared" si="4"/>
        <v>10.265499999999999</v>
      </c>
      <c r="O10" s="58">
        <f t="shared" si="5"/>
        <v>0.18942000000000014</v>
      </c>
      <c r="P10" s="58">
        <f t="shared" si="6"/>
        <v>-1.7217700000000002</v>
      </c>
      <c r="Q10" s="58">
        <f t="shared" si="7"/>
        <v>0</v>
      </c>
      <c r="R10" s="58">
        <f t="shared" si="8"/>
        <v>8.1276000000000046</v>
      </c>
      <c r="S10" s="58">
        <f t="shared" si="9"/>
        <v>0</v>
      </c>
      <c r="T10" s="58">
        <f t="shared" si="10"/>
        <v>7.2374999999999972</v>
      </c>
      <c r="U10" s="14"/>
      <c r="V10" s="27" t="str">
        <f t="shared" si="11"/>
        <v>可疑</v>
      </c>
      <c r="W10" s="58">
        <f>'M1'!B8*1</f>
        <v>28.2514</v>
      </c>
      <c r="X10" s="58">
        <f>'M1'!C8*1</f>
        <v>2.3463799999999999</v>
      </c>
      <c r="Y10" s="58">
        <f>'M1'!D8*1</f>
        <v>8.3053600000000003</v>
      </c>
      <c r="Z10" s="58">
        <f>'M1'!E8*1</f>
        <v>20</v>
      </c>
      <c r="AA10" s="58">
        <f>'M1'!F8*1</f>
        <v>24.098299999999998</v>
      </c>
      <c r="AB10" s="58">
        <f>'M1'!G8*1</f>
        <v>50</v>
      </c>
      <c r="AC10" s="58">
        <f>'M1'!H8*1</f>
        <v>32.8018</v>
      </c>
      <c r="AE10" s="27" t="str">
        <f t="shared" si="12"/>
        <v>可疑</v>
      </c>
      <c r="AF10" s="58">
        <f>'M2'!B8*1</f>
        <v>38.5169</v>
      </c>
      <c r="AG10" s="58">
        <f>'M2'!C8*1</f>
        <v>2.5358000000000001</v>
      </c>
      <c r="AH10" s="58">
        <f>'M2'!D8*1</f>
        <v>6.5835900000000001</v>
      </c>
      <c r="AI10" s="58">
        <f>'M2'!E8*1</f>
        <v>20</v>
      </c>
      <c r="AJ10" s="58">
        <f>'M2'!F8*1</f>
        <v>32.225900000000003</v>
      </c>
      <c r="AK10" s="58">
        <f>'M2'!G8*1</f>
        <v>50</v>
      </c>
      <c r="AL10" s="58">
        <f>'M2'!H8*1</f>
        <v>40.039299999999997</v>
      </c>
    </row>
    <row r="11" spans="2:38" s="5" customFormat="1" ht="21.75" customHeight="1">
      <c r="B11" s="70" t="str">
        <f>CONCATENATE(M11,"(50 ~ 100)")</f>
        <v>平衡(50 ~ 100)</v>
      </c>
      <c r="C11" s="24">
        <f>R11</f>
        <v>-10.418000000000003</v>
      </c>
      <c r="D11" s="52">
        <f>N11</f>
        <v>-10.4529</v>
      </c>
      <c r="E11" s="24">
        <f>T11</f>
        <v>-41.2042</v>
      </c>
      <c r="F11" s="24">
        <f>P11</f>
        <v>-13.4186</v>
      </c>
      <c r="G11" s="72" t="str">
        <f>CONCATENATE(M12,"(40 ~ 100)")</f>
        <v>自信(40 ~ 100)</v>
      </c>
      <c r="H11" s="24">
        <f>R12</f>
        <v>5.6898999999999944</v>
      </c>
      <c r="I11" s="52">
        <f>N12</f>
        <v>3.5862999999999943</v>
      </c>
      <c r="J11" s="24">
        <f>T12</f>
        <v>2.1838000000000051</v>
      </c>
      <c r="K11" s="25">
        <f>P12</f>
        <v>0.44148000000000032</v>
      </c>
      <c r="L11" s="4"/>
      <c r="M11" s="27" t="str">
        <f>lang!B18</f>
        <v>平衡</v>
      </c>
      <c r="N11" s="58">
        <f t="shared" si="4"/>
        <v>-10.4529</v>
      </c>
      <c r="O11" s="58">
        <f t="shared" si="5"/>
        <v>-7.7448800000000002</v>
      </c>
      <c r="P11" s="58">
        <f t="shared" si="6"/>
        <v>-13.4186</v>
      </c>
      <c r="Q11" s="58">
        <f t="shared" si="7"/>
        <v>0</v>
      </c>
      <c r="R11" s="58">
        <f t="shared" si="8"/>
        <v>-10.418000000000003</v>
      </c>
      <c r="S11" s="58">
        <f t="shared" si="9"/>
        <v>0</v>
      </c>
      <c r="T11" s="58">
        <f t="shared" si="10"/>
        <v>-41.2042</v>
      </c>
      <c r="U11" s="14"/>
      <c r="V11" s="27" t="str">
        <f t="shared" si="11"/>
        <v>平衡</v>
      </c>
      <c r="W11" s="58">
        <f>'M1'!B9*1</f>
        <v>49.7378</v>
      </c>
      <c r="X11" s="58">
        <f>'M1'!C9*1</f>
        <v>11.7689</v>
      </c>
      <c r="Y11" s="58">
        <f>'M1'!D9*1</f>
        <v>23.661799999999999</v>
      </c>
      <c r="Z11" s="58">
        <f>'M1'!E9*1</f>
        <v>50</v>
      </c>
      <c r="AA11" s="58">
        <f>'M1'!F9*1</f>
        <v>40.461300000000001</v>
      </c>
      <c r="AB11" s="58">
        <f>'M1'!G9*1</f>
        <v>100</v>
      </c>
      <c r="AC11" s="58">
        <f>'M1'!H9*1</f>
        <v>87.704999999999998</v>
      </c>
      <c r="AE11" s="27" t="str">
        <f t="shared" si="12"/>
        <v>平衡</v>
      </c>
      <c r="AF11" s="58">
        <f>'M2'!B9*1</f>
        <v>39.2849</v>
      </c>
      <c r="AG11" s="58">
        <f>'M2'!C9*1</f>
        <v>4.0240200000000002</v>
      </c>
      <c r="AH11" s="58">
        <f>'M2'!D9*1</f>
        <v>10.2432</v>
      </c>
      <c r="AI11" s="58">
        <f>'M2'!E9*1</f>
        <v>50</v>
      </c>
      <c r="AJ11" s="58">
        <f>'M2'!F9*1</f>
        <v>30.043299999999999</v>
      </c>
      <c r="AK11" s="58">
        <f>'M2'!G9*1</f>
        <v>100</v>
      </c>
      <c r="AL11" s="58">
        <f>'M2'!H9*1</f>
        <v>46.500799999999998</v>
      </c>
    </row>
    <row r="12" spans="2:38" s="5" customFormat="1" ht="24" customHeight="1">
      <c r="B12" s="70" t="str">
        <f>CONCATENATE(M13,"(10 ~ 50)")</f>
        <v>活力(10 ~ 50)</v>
      </c>
      <c r="C12" s="24">
        <f>R13</f>
        <v>12.683859999999999</v>
      </c>
      <c r="D12" s="51">
        <f>N13</f>
        <v>8.1030000000000015</v>
      </c>
      <c r="E12" s="53">
        <f>T13</f>
        <v>3.8171999999999997</v>
      </c>
      <c r="F12" s="53">
        <f>P13</f>
        <v>-26.544920000000001</v>
      </c>
      <c r="G12" s="72" t="str">
        <f>CONCATENATE(M14,"(50 ~ 100)")</f>
        <v>自我调节(50 ~ 100)</v>
      </c>
      <c r="H12" s="24">
        <f>R14</f>
        <v>-0.90220000000000056</v>
      </c>
      <c r="I12" s="52">
        <f>N14</f>
        <v>-5.5416999999999987</v>
      </c>
      <c r="J12" s="24">
        <f>T14</f>
        <v>-17.077800000000003</v>
      </c>
      <c r="K12" s="25">
        <f>P14</f>
        <v>-6.0076099999999997</v>
      </c>
      <c r="L12" s="4"/>
      <c r="M12" s="27" t="str">
        <f>lang!B19</f>
        <v>自信</v>
      </c>
      <c r="N12" s="58">
        <f t="shared" si="4"/>
        <v>3.5862999999999943</v>
      </c>
      <c r="O12" s="58">
        <f t="shared" si="5"/>
        <v>0.44118000000000013</v>
      </c>
      <c r="P12" s="58">
        <f t="shared" si="6"/>
        <v>0.44148000000000032</v>
      </c>
      <c r="Q12" s="58">
        <f t="shared" si="7"/>
        <v>0</v>
      </c>
      <c r="R12" s="58">
        <f t="shared" si="8"/>
        <v>5.6898999999999944</v>
      </c>
      <c r="S12" s="58">
        <f t="shared" si="9"/>
        <v>0</v>
      </c>
      <c r="T12" s="58">
        <f t="shared" si="10"/>
        <v>2.1838000000000051</v>
      </c>
      <c r="U12" s="15"/>
      <c r="V12" s="27" t="str">
        <f t="shared" si="11"/>
        <v>自信</v>
      </c>
      <c r="W12" s="58">
        <f>'M1'!B10*1</f>
        <v>65.634100000000004</v>
      </c>
      <c r="X12" s="58">
        <f>'M1'!C10*1</f>
        <v>2.4812799999999999</v>
      </c>
      <c r="Y12" s="58">
        <f>'M1'!D10*1</f>
        <v>3.7804799999999998</v>
      </c>
      <c r="Z12" s="58">
        <f>'M1'!E10*1</f>
        <v>40</v>
      </c>
      <c r="AA12" s="58">
        <f>'M1'!F10*1</f>
        <v>55.869100000000003</v>
      </c>
      <c r="AB12" s="58">
        <f>'M1'!G10*1</f>
        <v>100</v>
      </c>
      <c r="AC12" s="58">
        <f>'M1'!H10*1</f>
        <v>68.861699999999999</v>
      </c>
      <c r="AE12" s="27" t="str">
        <f t="shared" si="12"/>
        <v>自信</v>
      </c>
      <c r="AF12" s="58">
        <f>'M2'!B10*1</f>
        <v>69.220399999999998</v>
      </c>
      <c r="AG12" s="58">
        <f>'M2'!C10*1</f>
        <v>2.9224600000000001</v>
      </c>
      <c r="AH12" s="58">
        <f>'M2'!D10*1</f>
        <v>4.2219600000000002</v>
      </c>
      <c r="AI12" s="58">
        <f>'M2'!E10*1</f>
        <v>40</v>
      </c>
      <c r="AJ12" s="58">
        <f>'M2'!F10*1</f>
        <v>61.558999999999997</v>
      </c>
      <c r="AK12" s="58">
        <f>'M2'!G10*1</f>
        <v>100</v>
      </c>
      <c r="AL12" s="58">
        <f>'M2'!H10*1</f>
        <v>71.045500000000004</v>
      </c>
    </row>
    <row r="13" spans="2:38" ht="25.5" customHeight="1" thickBot="1">
      <c r="B13" s="71" t="str">
        <f>CONCATENATE(M15,"(10 ~ 25)")</f>
        <v>抑郁(10 ~ 25)</v>
      </c>
      <c r="C13" s="54">
        <f>R15</f>
        <v>3.672699999999999</v>
      </c>
      <c r="D13" s="55">
        <f>N15</f>
        <v>-0.75329999999999941</v>
      </c>
      <c r="E13" s="56">
        <f>T15</f>
        <v>8.8699999999999335E-2</v>
      </c>
      <c r="F13" s="56">
        <f>P15</f>
        <v>-5.4578999999999986</v>
      </c>
      <c r="G13" s="73" t="str">
        <f>CONCATENATE(M16,"(10 ~ 50)")</f>
        <v>神经质(10 ~ 50)</v>
      </c>
      <c r="H13" s="54">
        <f>R16</f>
        <v>0.61240000000000006</v>
      </c>
      <c r="I13" s="55">
        <f>N16</f>
        <v>-10.853099999999998</v>
      </c>
      <c r="J13" s="56">
        <f>T16</f>
        <v>-4.3502999999999972</v>
      </c>
      <c r="K13" s="57">
        <f>P16</f>
        <v>17.423999999999999</v>
      </c>
      <c r="M13" s="27" t="str">
        <f>lang!B20</f>
        <v>活力</v>
      </c>
      <c r="N13" s="58">
        <f t="shared" si="4"/>
        <v>8.1030000000000015</v>
      </c>
      <c r="O13" s="58">
        <f t="shared" si="5"/>
        <v>-2.7059679999999999</v>
      </c>
      <c r="P13" s="58">
        <f t="shared" si="6"/>
        <v>-26.544920000000001</v>
      </c>
      <c r="Q13" s="58">
        <f t="shared" si="7"/>
        <v>0</v>
      </c>
      <c r="R13" s="58">
        <f t="shared" si="8"/>
        <v>12.683859999999999</v>
      </c>
      <c r="S13" s="58">
        <f t="shared" si="9"/>
        <v>0</v>
      </c>
      <c r="T13" s="58">
        <f t="shared" si="10"/>
        <v>3.8171999999999997</v>
      </c>
      <c r="U13" s="14"/>
      <c r="V13" s="27" t="str">
        <f t="shared" si="11"/>
        <v>活力</v>
      </c>
      <c r="W13" s="58">
        <f>'M1'!B11*1</f>
        <v>11.6525</v>
      </c>
      <c r="X13" s="58">
        <f>'M1'!C11*1</f>
        <v>3.6499199999999998</v>
      </c>
      <c r="Y13" s="58">
        <f>'M1'!D11*1</f>
        <v>31.3231</v>
      </c>
      <c r="Z13" s="58">
        <f>'M1'!E11*1</f>
        <v>10</v>
      </c>
      <c r="AA13" s="58">
        <f>'M1'!F11*1</f>
        <v>4.53904</v>
      </c>
      <c r="AB13" s="58">
        <f>'M1'!G11*1</f>
        <v>50</v>
      </c>
      <c r="AC13" s="58">
        <f>'M1'!H11*1</f>
        <v>17.240400000000001</v>
      </c>
      <c r="AE13" s="27" t="str">
        <f t="shared" si="12"/>
        <v>活力</v>
      </c>
      <c r="AF13" s="58">
        <f>'M2'!B11*1</f>
        <v>19.755500000000001</v>
      </c>
      <c r="AG13" s="58">
        <f>'M2'!C11*1</f>
        <v>0.94395200000000001</v>
      </c>
      <c r="AH13" s="58">
        <f>'M2'!D11*1</f>
        <v>4.7781799999999999</v>
      </c>
      <c r="AI13" s="58">
        <f>'M2'!E11*1</f>
        <v>10</v>
      </c>
      <c r="AJ13" s="58">
        <f>'M2'!F11*1</f>
        <v>17.222899999999999</v>
      </c>
      <c r="AK13" s="58">
        <f>'M2'!G11*1</f>
        <v>50</v>
      </c>
      <c r="AL13" s="58">
        <f>'M2'!H11*1</f>
        <v>21.057600000000001</v>
      </c>
    </row>
    <row r="14" spans="2:38" ht="19.5" customHeight="1" thickBot="1">
      <c r="B14" s="166" t="str">
        <f>lang!B3</f>
        <v>参数表</v>
      </c>
      <c r="C14" s="167"/>
      <c r="D14" s="167"/>
      <c r="E14" s="167"/>
      <c r="F14" s="168"/>
      <c r="G14" s="163" t="str">
        <f>lang!B4</f>
        <v>情感状态分布图</v>
      </c>
      <c r="H14" s="164"/>
      <c r="I14" s="164"/>
      <c r="J14" s="164"/>
      <c r="K14" s="165"/>
      <c r="M14" s="27" t="str">
        <f>lang!B21</f>
        <v>自我调节</v>
      </c>
      <c r="N14" s="58">
        <f t="shared" si="4"/>
        <v>-5.5416999999999987</v>
      </c>
      <c r="O14" s="58">
        <f t="shared" si="5"/>
        <v>-3.7038600000000006</v>
      </c>
      <c r="P14" s="58">
        <f t="shared" si="6"/>
        <v>-6.0076099999999997</v>
      </c>
      <c r="Q14" s="58">
        <f t="shared" si="7"/>
        <v>0</v>
      </c>
      <c r="R14" s="58">
        <f t="shared" si="8"/>
        <v>-0.90220000000000056</v>
      </c>
      <c r="S14" s="58">
        <f t="shared" si="9"/>
        <v>0</v>
      </c>
      <c r="T14" s="58">
        <f t="shared" si="10"/>
        <v>-17.077800000000003</v>
      </c>
      <c r="U14" s="14"/>
      <c r="V14" s="27" t="str">
        <f t="shared" si="11"/>
        <v>自我调节</v>
      </c>
      <c r="W14" s="58">
        <f>'M1'!B12*1</f>
        <v>58.165700000000001</v>
      </c>
      <c r="X14" s="58">
        <f>'M1'!C12*1</f>
        <v>5.6932400000000003</v>
      </c>
      <c r="Y14" s="58">
        <f>'M1'!D12*1</f>
        <v>9.7879699999999996</v>
      </c>
      <c r="Z14" s="58">
        <f>'M1'!E12*1</f>
        <v>50</v>
      </c>
      <c r="AA14" s="58">
        <f>'M1'!F12*1</f>
        <v>51.353900000000003</v>
      </c>
      <c r="AB14" s="58">
        <f>'M1'!G12*1</f>
        <v>100</v>
      </c>
      <c r="AC14" s="58">
        <f>'M1'!H12*1</f>
        <v>75.275400000000005</v>
      </c>
      <c r="AE14" s="27" t="str">
        <f t="shared" si="12"/>
        <v>自我调节</v>
      </c>
      <c r="AF14" s="58">
        <f>'M2'!B12*1</f>
        <v>52.624000000000002</v>
      </c>
      <c r="AG14" s="58">
        <f>'M2'!C12*1</f>
        <v>1.9893799999999999</v>
      </c>
      <c r="AH14" s="58">
        <f>'M2'!D12*1</f>
        <v>3.7803599999999999</v>
      </c>
      <c r="AI14" s="58">
        <f>'M2'!E12*1</f>
        <v>50</v>
      </c>
      <c r="AJ14" s="58">
        <f>'M2'!F12*1</f>
        <v>50.451700000000002</v>
      </c>
      <c r="AK14" s="58">
        <f>'M2'!G12*1</f>
        <v>100</v>
      </c>
      <c r="AL14" s="58">
        <f>'M2'!H12*1</f>
        <v>58.197600000000001</v>
      </c>
    </row>
    <row r="15" spans="2:38" ht="21" customHeight="1">
      <c r="B15" s="38"/>
      <c r="C15" s="28"/>
      <c r="D15" s="28"/>
      <c r="E15" s="28"/>
      <c r="F15" s="28"/>
      <c r="G15" s="144"/>
      <c r="H15" s="145"/>
      <c r="I15" s="145"/>
      <c r="J15" s="145"/>
      <c r="K15" s="146"/>
      <c r="M15" s="27" t="str">
        <f>lang!B22</f>
        <v>抑郁</v>
      </c>
      <c r="N15" s="58">
        <f t="shared" si="4"/>
        <v>-0.75329999999999941</v>
      </c>
      <c r="O15" s="58">
        <f t="shared" si="5"/>
        <v>-1.0853099999999998</v>
      </c>
      <c r="P15" s="58">
        <f t="shared" si="6"/>
        <v>-5.4578999999999986</v>
      </c>
      <c r="Q15" s="58">
        <f t="shared" si="7"/>
        <v>0</v>
      </c>
      <c r="R15" s="58">
        <f t="shared" si="8"/>
        <v>3.672699999999999</v>
      </c>
      <c r="S15" s="58">
        <f t="shared" si="9"/>
        <v>0</v>
      </c>
      <c r="T15" s="58">
        <f t="shared" si="10"/>
        <v>8.8699999999999335E-2</v>
      </c>
      <c r="U15" s="14"/>
      <c r="V15" s="27" t="str">
        <f t="shared" si="11"/>
        <v>抑郁</v>
      </c>
      <c r="W15" s="58">
        <f>'M1'!B13*1</f>
        <v>18.2544</v>
      </c>
      <c r="X15" s="58">
        <f>'M1'!C13*1</f>
        <v>3.1530999999999998</v>
      </c>
      <c r="Y15" s="58">
        <f>'M1'!D13*1</f>
        <v>17.273099999999999</v>
      </c>
      <c r="Z15" s="58">
        <f>'M1'!E13*1</f>
        <v>10</v>
      </c>
      <c r="AA15" s="58">
        <f>'M1'!F13*1</f>
        <v>11.296900000000001</v>
      </c>
      <c r="AB15" s="58">
        <f>'M1'!G13*1</f>
        <v>25</v>
      </c>
      <c r="AC15" s="58">
        <f>'M1'!H13*1</f>
        <v>24.0242</v>
      </c>
      <c r="AE15" s="27" t="str">
        <f t="shared" si="12"/>
        <v>抑郁</v>
      </c>
      <c r="AF15" s="58">
        <f>'M2'!B13*1</f>
        <v>17.501100000000001</v>
      </c>
      <c r="AG15" s="58">
        <f>'M2'!C13*1</f>
        <v>2.06779</v>
      </c>
      <c r="AH15" s="58">
        <f>'M2'!D13*1</f>
        <v>11.815200000000001</v>
      </c>
      <c r="AI15" s="58">
        <f>'M2'!E13*1</f>
        <v>10</v>
      </c>
      <c r="AJ15" s="58">
        <f>'M2'!F13*1</f>
        <v>14.9696</v>
      </c>
      <c r="AK15" s="58">
        <f>'M2'!G13*1</f>
        <v>25</v>
      </c>
      <c r="AL15" s="58">
        <f>'M2'!H13*1</f>
        <v>24.1129</v>
      </c>
    </row>
    <row r="16" spans="2:38" ht="21" customHeight="1">
      <c r="B16" s="29"/>
      <c r="C16" s="32"/>
      <c r="D16" s="32"/>
      <c r="E16" s="32"/>
      <c r="F16" s="32"/>
      <c r="G16" s="147"/>
      <c r="H16" s="148"/>
      <c r="I16" s="148"/>
      <c r="J16" s="148"/>
      <c r="K16" s="149"/>
      <c r="M16" s="27" t="str">
        <f>lang!B23</f>
        <v>神经质</v>
      </c>
      <c r="N16" s="58">
        <f t="shared" si="4"/>
        <v>-10.853099999999998</v>
      </c>
      <c r="O16" s="58">
        <f t="shared" si="5"/>
        <v>-0.15860000000000163</v>
      </c>
      <c r="P16" s="58">
        <f t="shared" si="6"/>
        <v>17.423999999999999</v>
      </c>
      <c r="Q16" s="58">
        <f t="shared" si="7"/>
        <v>0</v>
      </c>
      <c r="R16" s="58">
        <f t="shared" si="8"/>
        <v>0.61240000000000006</v>
      </c>
      <c r="S16" s="58">
        <f t="shared" si="9"/>
        <v>0</v>
      </c>
      <c r="T16" s="58">
        <f t="shared" si="10"/>
        <v>-4.3502999999999972</v>
      </c>
      <c r="U16" s="15"/>
      <c r="V16" s="27" t="str">
        <f t="shared" si="11"/>
        <v>神经质</v>
      </c>
      <c r="W16" s="58">
        <f>'M1'!B14*1</f>
        <v>31.530999999999999</v>
      </c>
      <c r="X16" s="58">
        <f>'M1'!C14*1</f>
        <v>10.928000000000001</v>
      </c>
      <c r="Y16" s="58">
        <f>'M1'!D14*1</f>
        <v>34.658000000000001</v>
      </c>
      <c r="Z16" s="58">
        <f>'M1'!E14*1</f>
        <v>10</v>
      </c>
      <c r="AA16" s="58">
        <f>'M1'!F14*1</f>
        <v>2.1137600000000001</v>
      </c>
      <c r="AB16" s="58">
        <f>'M1'!G14*1</f>
        <v>50</v>
      </c>
      <c r="AC16" s="58">
        <f>'M1'!H14*1</f>
        <v>35.759799999999998</v>
      </c>
      <c r="AE16" s="27" t="str">
        <f t="shared" si="12"/>
        <v>神经质</v>
      </c>
      <c r="AF16" s="58">
        <f>'M2'!B14*1</f>
        <v>20.677900000000001</v>
      </c>
      <c r="AG16" s="58">
        <f>'M2'!C14*1</f>
        <v>10.769399999999999</v>
      </c>
      <c r="AH16" s="58">
        <f>'M2'!D14*1</f>
        <v>52.082000000000001</v>
      </c>
      <c r="AI16" s="58">
        <f>'M2'!E14*1</f>
        <v>10</v>
      </c>
      <c r="AJ16" s="58">
        <f>'M2'!F14*1</f>
        <v>2.7261600000000001</v>
      </c>
      <c r="AK16" s="58">
        <f>'M2'!G14*1</f>
        <v>50</v>
      </c>
      <c r="AL16" s="58">
        <f>'M2'!H14*1</f>
        <v>31.409500000000001</v>
      </c>
    </row>
    <row r="17" spans="2:38" ht="21" customHeight="1">
      <c r="B17" s="29"/>
      <c r="C17" s="32"/>
      <c r="D17" s="32"/>
      <c r="E17" s="32"/>
      <c r="F17" s="32"/>
      <c r="G17" s="147"/>
      <c r="H17" s="148"/>
      <c r="I17" s="148"/>
      <c r="J17" s="148"/>
      <c r="K17" s="149"/>
      <c r="M17" s="21" t="str">
        <f>lang!B7</f>
        <v>Positive</v>
      </c>
      <c r="N17" s="64">
        <f>SUM(N11:N14)/4</f>
        <v>-1.0763250000000006</v>
      </c>
      <c r="O17" s="22">
        <f>N17/(N17+N18+N19)</f>
        <v>-0.37671610447565324</v>
      </c>
      <c r="P17" s="64">
        <f>SUM(P11:P14)/4</f>
        <v>-11.382412500000001</v>
      </c>
      <c r="Q17" s="22">
        <f>P17/(P17+P18+P19)</f>
        <v>0.70673708945329972</v>
      </c>
      <c r="R17" s="14"/>
      <c r="S17" s="14"/>
      <c r="T17" s="14"/>
      <c r="U17" s="14"/>
      <c r="V17" s="21" t="str">
        <f>M17</f>
        <v>Positive</v>
      </c>
      <c r="W17" s="64">
        <f>SUM(W11:W14)/4</f>
        <v>46.297525000000007</v>
      </c>
      <c r="X17" s="22">
        <f>W17/(W17+W18+W19)</f>
        <v>0.46421668146039557</v>
      </c>
      <c r="Y17" s="64">
        <f>SUM(Y11:Y14)/4</f>
        <v>17.138337499999999</v>
      </c>
      <c r="Z17" s="22">
        <f>Y17/(Y17+Y18+Y19)</f>
        <v>0.27930523498363624</v>
      </c>
      <c r="AA17" s="14"/>
      <c r="AB17" s="14"/>
      <c r="AC17" s="14"/>
      <c r="AE17" s="21" t="str">
        <f>V17</f>
        <v>Positive</v>
      </c>
      <c r="AF17" s="64">
        <f>SUM(AF11:AF14)/4</f>
        <v>45.221200000000003</v>
      </c>
      <c r="AG17" s="22">
        <f>AF17/(AF17+AF18+AF19)</f>
        <v>0.44079668816655082</v>
      </c>
      <c r="AH17" s="64">
        <f>SUM(AH11:AH14)/4</f>
        <v>5.7559249999999995</v>
      </c>
      <c r="AI17" s="22">
        <f>AH17/(AH17+AH18+AH19)</f>
        <v>0.12718865222023987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47"/>
      <c r="H18" s="148"/>
      <c r="I18" s="148"/>
      <c r="J18" s="148"/>
      <c r="K18" s="149"/>
      <c r="M18" s="21" t="str">
        <f>lang!B8</f>
        <v>Negative</v>
      </c>
      <c r="N18" s="18">
        <f>SUM(N7:N10)/4</f>
        <v>9.7366499999999991</v>
      </c>
      <c r="O18" s="22">
        <f>N18/(N17+N18+N19)</f>
        <v>3.4078487990549937</v>
      </c>
      <c r="P18" s="18">
        <f>SUM(P7:P10)/4</f>
        <v>-10.70622</v>
      </c>
      <c r="Q18" s="22">
        <f>P18/(P17+P18+P19)</f>
        <v>0.66475211312599203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28.542350000000003</v>
      </c>
      <c r="X18" s="22">
        <f>W18/(W17+W18+W19)</f>
        <v>0.28618884050672516</v>
      </c>
      <c r="Y18" s="18">
        <f>SUM(Y7:Y10)/4</f>
        <v>18.256715</v>
      </c>
      <c r="Z18" s="22">
        <f>Y18/(Y17+Y18+Y19)</f>
        <v>0.29753154721712521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38.278999999999996</v>
      </c>
      <c r="AG18" s="22">
        <f>AF18/(AF17+AF18+AF19)</f>
        <v>0.37312712679732951</v>
      </c>
      <c r="AH18" s="18">
        <f>SUM(AH7:AH10)/4</f>
        <v>7.5504949999999997</v>
      </c>
      <c r="AI18" s="22">
        <f>AH18/(AH17+AH18+AH19)</f>
        <v>0.16684325849375384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47"/>
      <c r="H19" s="148"/>
      <c r="I19" s="148"/>
      <c r="J19" s="148"/>
      <c r="K19" s="149"/>
      <c r="M19" s="21" t="str">
        <f>lang!B9</f>
        <v>Physiological</v>
      </c>
      <c r="N19" s="18">
        <f>(N15+N16)/2</f>
        <v>-5.8031999999999986</v>
      </c>
      <c r="O19" s="22">
        <f>N19/(N17+N18+N19)</f>
        <v>-2.0311326945793406</v>
      </c>
      <c r="P19" s="18">
        <f>(P15+P16)/2</f>
        <v>5.9830500000000004</v>
      </c>
      <c r="Q19" s="22">
        <f>P19/(P17+P18+P19)</f>
        <v>-0.37148920257929191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24.892699999999998</v>
      </c>
      <c r="X19" s="22">
        <f>W19/(W17+W18+W19)</f>
        <v>0.2495944780328794</v>
      </c>
      <c r="Y19" s="18">
        <f>(Y15+Y16)/2</f>
        <v>25.96555</v>
      </c>
      <c r="Z19" s="22">
        <f>Y19/(Y17+Y18+Y19)</f>
        <v>0.42316321779923854</v>
      </c>
      <c r="AA19" s="14"/>
      <c r="AB19" s="14"/>
      <c r="AC19" s="14"/>
      <c r="AE19" s="21" t="str">
        <f t="shared" si="14"/>
        <v>Physiological</v>
      </c>
      <c r="AF19" s="18">
        <f>(AF15+AF16)/2</f>
        <v>19.089500000000001</v>
      </c>
      <c r="AG19" s="22">
        <f>AF19/(AF17+AF18+AF19)</f>
        <v>0.18607618503611961</v>
      </c>
      <c r="AH19" s="18">
        <f>(AH15+AH16)/2</f>
        <v>31.948599999999999</v>
      </c>
      <c r="AI19" s="22">
        <f>AH19/(AH17+AH18+AH19)</f>
        <v>0.70596808928600618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47"/>
      <c r="H20" s="148"/>
      <c r="I20" s="148"/>
      <c r="J20" s="148"/>
      <c r="K20" s="149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47"/>
      <c r="H21" s="148"/>
      <c r="I21" s="148"/>
      <c r="J21" s="148"/>
      <c r="K21" s="149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50"/>
      <c r="H22" s="151"/>
      <c r="I22" s="151"/>
      <c r="J22" s="151"/>
      <c r="K22" s="152"/>
      <c r="M22" s="16"/>
      <c r="O22" s="17"/>
      <c r="Q22"/>
      <c r="T22"/>
      <c r="U22" s="19"/>
    </row>
    <row r="23" spans="2:38" ht="17.25" customHeight="1" thickBot="1">
      <c r="B23" s="129" t="str">
        <f>lang!B5</f>
        <v>频率分布直方图</v>
      </c>
      <c r="C23" s="130"/>
      <c r="D23" s="130"/>
      <c r="E23" s="130"/>
      <c r="F23" s="131"/>
      <c r="G23" s="141" t="str">
        <f>lang!B6</f>
        <v xml:space="preserve">心理变化 - 心理基础代谢 </v>
      </c>
      <c r="H23" s="142"/>
      <c r="I23" s="142"/>
      <c r="J23" s="142"/>
      <c r="K23" s="143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1.1/1.88</v>
      </c>
      <c r="D24" s="44" t="str">
        <f>lang!B11</f>
        <v>频率方差</v>
      </c>
      <c r="E24" s="161" t="str">
        <f ca="1">CONCATENATE(ROUND('FH1'!L3,2),"/",ROUND('FH2'!L3,2))</f>
        <v>0.65/0.93</v>
      </c>
      <c r="F24" s="162"/>
      <c r="G24" s="153" t="str">
        <f>lang!B12</f>
        <v>生理变化率</v>
      </c>
      <c r="H24" s="154"/>
      <c r="I24" s="61" t="str">
        <f ca="1">CONCATENATE(info!M7,"-",info!M8)</f>
        <v>0-53.9</v>
      </c>
      <c r="J24" s="42" t="str">
        <f>lang!B13</f>
        <v>千卡l/分钟</v>
      </c>
      <c r="K24" s="41" t="str">
        <f ca="1">CONCATENATE(info!M5,"-",info!M6)</f>
        <v>1.7-3.9</v>
      </c>
      <c r="M24" s="16"/>
      <c r="O24" s="17"/>
      <c r="P24" s="17"/>
      <c r="Q24"/>
      <c r="T24"/>
      <c r="U24" s="19"/>
    </row>
    <row r="25" spans="2:38" ht="156.75" customHeight="1" thickBot="1">
      <c r="B25" s="134"/>
      <c r="C25" s="135"/>
      <c r="D25" s="135"/>
      <c r="E25" s="136"/>
      <c r="F25" s="39"/>
      <c r="G25" s="137"/>
      <c r="H25" s="138"/>
      <c r="I25" s="138"/>
      <c r="J25" s="139"/>
      <c r="K25" s="140"/>
      <c r="M25"/>
      <c r="O25" s="17"/>
      <c r="Q25"/>
      <c r="T25"/>
      <c r="U25" s="19"/>
    </row>
    <row r="26" spans="2:38" ht="15" customHeight="1" thickBot="1">
      <c r="B26" s="98" t="str">
        <f>CONCATENATE( lang!B31," ",ROUND(100-FH_info!L2,0),"%]")</f>
        <v>Result [Quality 100%]</v>
      </c>
      <c r="C26" s="99"/>
      <c r="D26" s="99"/>
      <c r="E26" s="99"/>
      <c r="F26" s="99"/>
      <c r="G26" s="99"/>
      <c r="H26" s="99"/>
      <c r="I26" s="99"/>
      <c r="J26" s="99"/>
      <c r="K26" s="100"/>
      <c r="M26"/>
      <c r="Q26"/>
      <c r="T26"/>
    </row>
    <row r="27" spans="2:38" ht="15" thickBot="1">
      <c r="B27" s="114" t="str">
        <f>lang!B32</f>
        <v>外向性</v>
      </c>
      <c r="C27" s="115"/>
      <c r="D27" s="116"/>
      <c r="E27" s="98">
        <f>dM!B18*100</f>
        <v>43.970370000000003</v>
      </c>
      <c r="F27" s="100"/>
      <c r="G27" s="114" t="str">
        <f>lang!B33</f>
        <v>稳定性</v>
      </c>
      <c r="H27" s="115"/>
      <c r="I27" s="116"/>
      <c r="J27" s="117">
        <f>dM!B19*100</f>
        <v>24.687900000000006</v>
      </c>
      <c r="K27" s="118"/>
    </row>
    <row r="28" spans="2:38" ht="24.75" customHeight="1">
      <c r="B28" s="101" t="str">
        <f>lang!B34</f>
        <v xml:space="preserve">心理生理状态分析结果： </v>
      </c>
      <c r="C28" s="102"/>
      <c r="D28" s="102"/>
      <c r="E28" s="102"/>
      <c r="F28" s="102"/>
      <c r="G28" s="102"/>
      <c r="H28" s="102"/>
      <c r="I28" s="102"/>
      <c r="J28" s="102"/>
      <c r="K28" s="103"/>
      <c r="M28"/>
      <c r="Q28"/>
      <c r="T28"/>
      <c r="W28" s="33"/>
      <c r="X28" s="33"/>
    </row>
    <row r="29" spans="2:38" ht="15.75" customHeight="1">
      <c r="B29" s="34"/>
      <c r="C29" s="63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3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19" t="str">
        <f>lang!B37</f>
        <v>意见</v>
      </c>
      <c r="C31" s="120"/>
      <c r="D31" s="121"/>
      <c r="E31" s="121"/>
      <c r="F31" s="121"/>
      <c r="G31" s="121"/>
      <c r="H31" s="121"/>
      <c r="I31" s="121"/>
      <c r="J31" s="121"/>
      <c r="K31" s="122"/>
      <c r="M31"/>
      <c r="Q31"/>
      <c r="T31"/>
      <c r="W31" s="33"/>
      <c r="X31" s="33"/>
    </row>
    <row r="32" spans="2:38" ht="18" customHeight="1">
      <c r="B32" s="92"/>
      <c r="C32" s="93"/>
      <c r="D32" s="93"/>
      <c r="E32" s="93"/>
      <c r="F32" s="93"/>
      <c r="G32" s="93"/>
      <c r="H32" s="93"/>
      <c r="I32" s="93"/>
      <c r="J32" s="93"/>
      <c r="K32" s="94"/>
      <c r="M32"/>
      <c r="Q32"/>
      <c r="T32"/>
      <c r="W32" s="33"/>
      <c r="X32" s="33"/>
    </row>
    <row r="33" spans="2:24" ht="20.25" customHeight="1">
      <c r="B33" s="92"/>
      <c r="C33" s="93"/>
      <c r="D33" s="93"/>
      <c r="E33" s="93"/>
      <c r="F33" s="93"/>
      <c r="G33" s="93"/>
      <c r="H33" s="93"/>
      <c r="I33" s="93"/>
      <c r="J33" s="93"/>
      <c r="K33" s="94"/>
      <c r="M33"/>
      <c r="Q33"/>
      <c r="T33"/>
      <c r="W33" s="33"/>
      <c r="X33" s="33"/>
    </row>
    <row r="34" spans="2:24" ht="35.25" customHeight="1" thickBot="1">
      <c r="B34" s="95"/>
      <c r="C34" s="96"/>
      <c r="D34" s="96"/>
      <c r="E34" s="96"/>
      <c r="F34" s="96"/>
      <c r="G34" s="96"/>
      <c r="H34" s="96"/>
      <c r="I34" s="96"/>
      <c r="J34" s="96"/>
      <c r="K34" s="97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1:Y2"/>
  <sheetViews>
    <sheetView topLeftCell="H1" workbookViewId="0">
      <selection activeCell="V2" sqref="V2"/>
    </sheetView>
  </sheetViews>
  <sheetFormatPr defaultRowHeight="14"/>
  <cols>
    <col min="1" max="1" width="15.7265625" customWidth="1"/>
    <col min="2" max="2" width="12.0898437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-0.99947601272629027</v>
      </c>
      <c r="C2">
        <f t="array" aca="1" ref="C2" ca="1">CORREL(FT_E02,FT_PH02)</f>
        <v>3.0435932590089344E-2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X2003"/>
  <sheetViews>
    <sheetView topLeftCell="D1" workbookViewId="0">
      <selection activeCell="X5" sqref="X5"/>
    </sheetView>
  </sheetViews>
  <sheetFormatPr defaultRowHeight="14"/>
  <cols>
    <col min="6" max="8" width="9.08984375" style="60"/>
    <col min="9" max="9" width="18.36328125" customWidth="1"/>
    <col min="10" max="10" width="17.90625" customWidth="1"/>
    <col min="11" max="11" width="15" customWidth="1"/>
    <col min="13" max="13" width="10.26953125" bestFit="1" customWidth="1"/>
  </cols>
  <sheetData>
    <row r="1" spans="1:24">
      <c r="A1" s="60" t="s">
        <v>44</v>
      </c>
      <c r="B1" s="60" t="s">
        <v>45</v>
      </c>
      <c r="C1" s="60" t="s">
        <v>46</v>
      </c>
      <c r="D1" s="60" t="s">
        <v>47</v>
      </c>
      <c r="E1" s="60" t="s">
        <v>44</v>
      </c>
      <c r="F1" s="60" t="s">
        <v>48</v>
      </c>
      <c r="G1" s="60" t="s">
        <v>49</v>
      </c>
      <c r="H1" s="60" t="s">
        <v>50</v>
      </c>
      <c r="I1" s="60" t="s">
        <v>92</v>
      </c>
      <c r="J1" s="60" t="s">
        <v>93</v>
      </c>
    </row>
    <row r="2" spans="1:24">
      <c r="A2" s="60">
        <v>0</v>
      </c>
      <c r="B2" s="60">
        <f>A2/255*$L$2</f>
        <v>0</v>
      </c>
      <c r="C2" s="60">
        <f>FH!A2*1</f>
        <v>0</v>
      </c>
      <c r="D2" s="60">
        <f>FH!B2*1</f>
        <v>0</v>
      </c>
      <c r="E2">
        <v>0</v>
      </c>
      <c r="F2" s="60">
        <f>IF(FT!A2&lt;&gt;"",FT!A2*10,"")</f>
        <v>1.6844700000000001</v>
      </c>
      <c r="G2" s="60">
        <f>IF(FT!B2&lt;&gt;"",FT!B2*100,"")</f>
        <v>53.877499999999998</v>
      </c>
      <c r="H2" s="60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4.8913000000000002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0">
        <f>A2+1</f>
        <v>1</v>
      </c>
      <c r="B3" s="60">
        <f t="shared" ref="B3:B66" si="0">A3/255*$L$2</f>
        <v>1.918156862745098E-2</v>
      </c>
      <c r="C3" s="60">
        <f>FH!A3*1</f>
        <v>0</v>
      </c>
      <c r="D3" s="60">
        <f>FH!B3*1</f>
        <v>0</v>
      </c>
      <c r="E3">
        <f>E2+1</f>
        <v>1</v>
      </c>
      <c r="F3" s="60">
        <f>IF(FT!A3&lt;&gt;"",FT!A3*10,"")</f>
        <v>1.7549699999999999</v>
      </c>
      <c r="G3" s="60">
        <f>IF(FT!B3&lt;&gt;"",FT!B3*100,"")</f>
        <v>52.080300000000001</v>
      </c>
      <c r="H3" s="60">
        <f t="shared" ref="H3:H66" si="1">(IF(F3&lt;&gt;"",1,""))</f>
        <v>1</v>
      </c>
      <c r="I3" t="str">
        <f>IF(FT!B3&lt;&gt;"",FT!E3,"")</f>
        <v>1 [0.355812]</v>
      </c>
      <c r="J3">
        <f>IF(FT!B3&lt;&gt;"",FT!C3,"")</f>
        <v>0.35581200000000002</v>
      </c>
      <c r="K3" t="s">
        <v>52</v>
      </c>
      <c r="L3">
        <f>SUM(H2:H2005)</f>
        <v>75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0.27902719189189179</v>
      </c>
      <c r="V3">
        <f ca="1">AVERAGE(OFFSET(FT!B2,info!$L$3/2,0,info!$L$3/2,1))</f>
        <v>2.2580289000000003E-2</v>
      </c>
      <c r="W3">
        <f ca="1">AVERAGE(OFFSET(FT!A2,0,0,info!$L$3/2,1))</f>
        <v>0.28567010810810811</v>
      </c>
      <c r="X3">
        <f ca="1">AVERAGE(OFFSET(FT!A2,info!$L$3/2,0,info!$L$3/2,1))</f>
        <v>0.38957510810810803</v>
      </c>
    </row>
    <row r="4" spans="1:24">
      <c r="A4" s="60">
        <f t="shared" ref="A4:A67" si="2">A3+1</f>
        <v>2</v>
      </c>
      <c r="B4" s="60">
        <f t="shared" si="0"/>
        <v>3.8363137254901959E-2</v>
      </c>
      <c r="C4" s="60">
        <f>FH!A4*1</f>
        <v>0</v>
      </c>
      <c r="D4" s="60">
        <f>FH!B4*1</f>
        <v>0</v>
      </c>
      <c r="E4">
        <f t="shared" ref="E4:E67" si="3">E3+1</f>
        <v>2</v>
      </c>
      <c r="F4" s="60">
        <f>IF(FT!A4&lt;&gt;"",FT!A4*10,"")</f>
        <v>1.8242</v>
      </c>
      <c r="G4" s="60">
        <f>IF(FT!B4&lt;&gt;"",FT!B4*100,"")</f>
        <v>50.359400000000001</v>
      </c>
      <c r="H4" s="60">
        <f t="shared" si="1"/>
        <v>1</v>
      </c>
      <c r="I4" t="str">
        <f>IF(FT!B4&lt;&gt;"",FT!E4,"")</f>
        <v>1 [0.761957]</v>
      </c>
      <c r="J4">
        <f>IF(FT!B4&lt;&gt;"",FT!C4,"")</f>
        <v>0.761957</v>
      </c>
      <c r="O4">
        <f>O3+1</f>
        <v>1</v>
      </c>
      <c r="P4">
        <v>0</v>
      </c>
      <c r="Q4">
        <f>IF(R4=1998,0,R4)</f>
        <v>37</v>
      </c>
      <c r="R4">
        <f t="array" ref="R4">MAX(IF(ft_nq=O4,row_n))</f>
        <v>37</v>
      </c>
      <c r="S4">
        <f>Q4-P4+1</f>
        <v>38</v>
      </c>
      <c r="U4">
        <f>MAX(FT!C2:C4000)/4</f>
        <v>7.5054999999999996</v>
      </c>
      <c r="V4">
        <f>U4*3</f>
        <v>22.516500000000001</v>
      </c>
      <c r="W4">
        <f>U4</f>
        <v>7.5054999999999996</v>
      </c>
      <c r="X4">
        <f>V4</f>
        <v>22.516500000000001</v>
      </c>
    </row>
    <row r="5" spans="1:24">
      <c r="A5" s="60">
        <f t="shared" si="2"/>
        <v>3</v>
      </c>
      <c r="B5" s="60">
        <f t="shared" si="0"/>
        <v>5.7544705882352942E-2</v>
      </c>
      <c r="C5" s="60">
        <f>FH!A5*1</f>
        <v>0</v>
      </c>
      <c r="D5" s="60">
        <f>FH!B5*1</f>
        <v>0</v>
      </c>
      <c r="E5">
        <f t="shared" si="3"/>
        <v>3</v>
      </c>
      <c r="F5" s="60">
        <f>IF(FT!A5&lt;&gt;"",FT!A5*10,"")</f>
        <v>1.8928800000000001</v>
      </c>
      <c r="G5" s="60">
        <f>IF(FT!B5&lt;&gt;"",FT!B5*100,"")</f>
        <v>48.676299999999998</v>
      </c>
      <c r="H5" s="60">
        <f t="shared" si="1"/>
        <v>1</v>
      </c>
      <c r="I5" t="str">
        <f>IF(FT!B5&lt;&gt;"",FT!E5,"")</f>
        <v>1 [1.167055]</v>
      </c>
      <c r="J5">
        <f>IF(FT!B5&lt;&gt;"",FT!C5,"")</f>
        <v>1.1670499999999999</v>
      </c>
      <c r="K5" t="s">
        <v>53</v>
      </c>
      <c r="L5" s="62">
        <f ca="1">MIN(FT_E)</f>
        <v>1.6844700000000001</v>
      </c>
      <c r="M5" s="62">
        <f ca="1">ROUND(L5,1)</f>
        <v>1.7</v>
      </c>
      <c r="O5">
        <f t="shared" ref="O5:O27" si="4">O4+1</f>
        <v>2</v>
      </c>
      <c r="P5">
        <f>IF(OR(R5=1998,R5=0),0,Q4)</f>
        <v>37</v>
      </c>
      <c r="Q5">
        <f>IF(R5=1998,0,R5)</f>
        <v>74</v>
      </c>
      <c r="R5">
        <f t="array" ref="R5">MAX(IF(ft_nq=O5,row_n))</f>
        <v>74</v>
      </c>
      <c r="S5">
        <f t="shared" ref="S5:S27" si="5">Q5-P5+1</f>
        <v>38</v>
      </c>
      <c r="U5">
        <f ca="1">U3*100</f>
        <v>27.902719189189177</v>
      </c>
      <c r="V5">
        <f ca="1">V3*100</f>
        <v>2.2580289000000002</v>
      </c>
      <c r="W5">
        <f ca="1">W3*10</f>
        <v>2.8567010810810811</v>
      </c>
      <c r="X5">
        <f ca="1">X3*10</f>
        <v>3.8957510810810803</v>
      </c>
    </row>
    <row r="6" spans="1:24">
      <c r="A6" s="60">
        <f t="shared" si="2"/>
        <v>4</v>
      </c>
      <c r="B6" s="60">
        <f t="shared" si="0"/>
        <v>7.6726274509803918E-2</v>
      </c>
      <c r="C6" s="60">
        <f>FH!A6*1</f>
        <v>0</v>
      </c>
      <c r="D6" s="60">
        <f>FH!B6*1</f>
        <v>0</v>
      </c>
      <c r="E6">
        <f t="shared" si="3"/>
        <v>4</v>
      </c>
      <c r="F6" s="60">
        <f>IF(FT!A6&lt;&gt;"",FT!A6*10,"")</f>
        <v>1.9629099999999999</v>
      </c>
      <c r="G6" s="60">
        <f>IF(FT!B6&lt;&gt;"",FT!B6*100,"")</f>
        <v>46.950599999999994</v>
      </c>
      <c r="H6" s="60">
        <f t="shared" si="1"/>
        <v>1</v>
      </c>
      <c r="I6" t="str">
        <f>IF(FT!B6&lt;&gt;"",FT!E6,"")</f>
        <v>1 [1.578298]</v>
      </c>
      <c r="J6">
        <f>IF(FT!B6&lt;&gt;"",FT!C6,"")</f>
        <v>1.5783</v>
      </c>
      <c r="K6" t="s">
        <v>54</v>
      </c>
      <c r="L6" s="62">
        <f ca="1">MAX(FT_E)</f>
        <v>3.9323399999999999</v>
      </c>
      <c r="M6" s="62">
        <f ca="1">ROUND(L6,1)</f>
        <v>3.9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0">
        <f t="shared" si="2"/>
        <v>5</v>
      </c>
      <c r="B7" s="60">
        <f t="shared" si="0"/>
        <v>9.5907843137254908E-2</v>
      </c>
      <c r="C7" s="60">
        <f>FH!A7*1</f>
        <v>0</v>
      </c>
      <c r="D7" s="60">
        <f>FH!B7*1</f>
        <v>0</v>
      </c>
      <c r="E7">
        <f t="shared" si="3"/>
        <v>5</v>
      </c>
      <c r="F7" s="60">
        <f>IF(FT!A7&lt;&gt;"",FT!A7*10,"")</f>
        <v>2.0312700000000001</v>
      </c>
      <c r="G7" s="60">
        <f>IF(FT!B7&lt;&gt;"",FT!B7*100,"")</f>
        <v>45.294400000000003</v>
      </c>
      <c r="H7" s="60">
        <f t="shared" si="1"/>
        <v>1</v>
      </c>
      <c r="I7" t="str">
        <f>IF(FT!B7&lt;&gt;"",FT!E7,"")</f>
        <v>1 [1.982435]</v>
      </c>
      <c r="J7">
        <f>IF(FT!B7&lt;&gt;"",FT!C7,"")</f>
        <v>1.98244</v>
      </c>
      <c r="K7" t="s">
        <v>55</v>
      </c>
      <c r="L7" s="62">
        <f ca="1">MIN(FT_PH)</f>
        <v>0</v>
      </c>
      <c r="M7" s="62">
        <f ca="1">ROUND(L7,1)</f>
        <v>0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0">
        <f t="shared" si="2"/>
        <v>6</v>
      </c>
      <c r="B8" s="60">
        <f t="shared" si="0"/>
        <v>0.11508941176470588</v>
      </c>
      <c r="C8" s="60">
        <f>FH!A8*1</f>
        <v>4322</v>
      </c>
      <c r="D8" s="60">
        <f>FH!B8*1</f>
        <v>4322</v>
      </c>
      <c r="E8">
        <f t="shared" si="3"/>
        <v>6</v>
      </c>
      <c r="F8" s="60">
        <f>IF(FT!A8&lt;&gt;"",FT!A8*10,"")</f>
        <v>2.0988100000000003</v>
      </c>
      <c r="G8" s="60">
        <f>IF(FT!B8&lt;&gt;"",FT!B8*100,"")</f>
        <v>43.6404</v>
      </c>
      <c r="H8" s="60">
        <f t="shared" si="1"/>
        <v>1</v>
      </c>
      <c r="I8" t="str">
        <f>IF(FT!B8&lt;&gt;"",FT!E8,"")</f>
        <v>1 [2.385968]</v>
      </c>
      <c r="J8">
        <f>IF(FT!B8&lt;&gt;"",FT!C8,"")</f>
        <v>2.3859699999999999</v>
      </c>
      <c r="K8" t="s">
        <v>56</v>
      </c>
      <c r="L8" s="62">
        <f ca="1">MAX(FT_PH)</f>
        <v>53.877499999999998</v>
      </c>
      <c r="M8" s="62">
        <f ca="1">ROUND(L8,1)</f>
        <v>53.9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0">
        <f t="shared" si="2"/>
        <v>7</v>
      </c>
      <c r="B9" s="60">
        <f t="shared" si="0"/>
        <v>0.13427098039215687</v>
      </c>
      <c r="C9" s="60">
        <f>FH!A9*1</f>
        <v>0</v>
      </c>
      <c r="D9" s="60">
        <f>FH!B9*1</f>
        <v>0</v>
      </c>
      <c r="E9">
        <f t="shared" si="3"/>
        <v>7</v>
      </c>
      <c r="F9" s="60">
        <f>IF(FT!A9&lt;&gt;"",FT!A9*10,"")</f>
        <v>2.16493</v>
      </c>
      <c r="G9" s="60">
        <f>IF(FT!B9&lt;&gt;"",FT!B9*100,"")</f>
        <v>42.1723</v>
      </c>
      <c r="H9" s="60">
        <f t="shared" si="1"/>
        <v>1</v>
      </c>
      <c r="I9" t="str">
        <f>IF(FT!B9&lt;&gt;"",FT!E9,"")</f>
        <v>1 [2.793954]</v>
      </c>
      <c r="J9">
        <f>IF(FT!B9&lt;&gt;"",FT!C9,"")</f>
        <v>2.7939500000000002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0">
        <f t="shared" si="2"/>
        <v>8</v>
      </c>
      <c r="B10" s="60">
        <f t="shared" si="0"/>
        <v>0.15345254901960784</v>
      </c>
      <c r="C10" s="60">
        <f>FH!A10*1</f>
        <v>10476</v>
      </c>
      <c r="D10" s="60">
        <f>FH!B10*1</f>
        <v>10476</v>
      </c>
      <c r="E10">
        <f t="shared" si="3"/>
        <v>8</v>
      </c>
      <c r="F10" s="60">
        <f>IF(FT!A10&lt;&gt;"",FT!A10*10,"")</f>
        <v>2.2317999999999998</v>
      </c>
      <c r="G10" s="60">
        <f>IF(FT!B10&lt;&gt;"",FT!B10*100,"")</f>
        <v>40.735799999999998</v>
      </c>
      <c r="H10" s="60">
        <f t="shared" si="1"/>
        <v>1</v>
      </c>
      <c r="I10" t="str">
        <f>IF(FT!B10&lt;&gt;"",FT!E10,"")</f>
        <v>1 [3.196042]</v>
      </c>
      <c r="J10">
        <f>IF(FT!B10&lt;&gt;"",FT!C10,"")</f>
        <v>3.19604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0">
        <f t="shared" si="2"/>
        <v>9</v>
      </c>
      <c r="B11" s="60">
        <f t="shared" si="0"/>
        <v>0.17263411764705883</v>
      </c>
      <c r="C11" s="60">
        <f>FH!A11*1</f>
        <v>0</v>
      </c>
      <c r="D11" s="60">
        <f>FH!B11*1</f>
        <v>0</v>
      </c>
      <c r="E11">
        <f t="shared" si="3"/>
        <v>9</v>
      </c>
      <c r="F11" s="60">
        <f>IF(FT!A11&lt;&gt;"",FT!A11*10,"")</f>
        <v>2.2972200000000003</v>
      </c>
      <c r="G11" s="60">
        <f>IF(FT!B11&lt;&gt;"",FT!B11*100,"")</f>
        <v>39.4236</v>
      </c>
      <c r="H11" s="60">
        <f t="shared" si="1"/>
        <v>1</v>
      </c>
      <c r="I11" t="str">
        <f>IF(FT!B11&lt;&gt;"",FT!E11,"")</f>
        <v>1 [3.610081]</v>
      </c>
      <c r="J11">
        <f>IF(FT!B11&lt;&gt;"",FT!C11,"")</f>
        <v>3.61008</v>
      </c>
      <c r="L11" s="66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0">
        <f t="shared" si="2"/>
        <v>10</v>
      </c>
      <c r="B12" s="60">
        <f t="shared" si="0"/>
        <v>0.19181568627450982</v>
      </c>
      <c r="C12" s="60">
        <f>FH!A12*1</f>
        <v>0</v>
      </c>
      <c r="D12" s="60">
        <f>FH!B12*1</f>
        <v>0</v>
      </c>
      <c r="E12">
        <f t="shared" si="3"/>
        <v>10</v>
      </c>
      <c r="F12" s="60">
        <f>IF(FT!A12&lt;&gt;"",FT!A12*10,"")</f>
        <v>2.3630899999999997</v>
      </c>
      <c r="G12" s="60">
        <f>IF(FT!B12&lt;&gt;"",FT!B12*100,"")</f>
        <v>38.143000000000001</v>
      </c>
      <c r="H12" s="60">
        <f t="shared" si="1"/>
        <v>1</v>
      </c>
      <c r="I12" t="str">
        <f>IF(FT!B12&lt;&gt;"",FT!E12,"")</f>
        <v>1 [4.008935]</v>
      </c>
      <c r="J12">
        <f>IF(FT!B12&lt;&gt;"",FT!C12,"")</f>
        <v>4.0089399999999999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0">
        <f t="shared" si="2"/>
        <v>11</v>
      </c>
      <c r="B13" s="60">
        <f t="shared" si="0"/>
        <v>0.21099725490196078</v>
      </c>
      <c r="C13" s="60">
        <f>FH!A13*1</f>
        <v>15505</v>
      </c>
      <c r="D13" s="60">
        <f>FH!B13*1</f>
        <v>15505</v>
      </c>
      <c r="E13">
        <f t="shared" si="3"/>
        <v>11</v>
      </c>
      <c r="F13" s="60">
        <f>IF(FT!A13&lt;&gt;"",FT!A13*10,"")</f>
        <v>2.4290799999999999</v>
      </c>
      <c r="G13" s="60">
        <f>IF(FT!B13&lt;&gt;"",FT!B13*100,"")</f>
        <v>36.822500000000005</v>
      </c>
      <c r="H13" s="60">
        <f t="shared" si="1"/>
        <v>1</v>
      </c>
      <c r="I13" t="str">
        <f>IF(FT!B13&lt;&gt;"",FT!E13,"")</f>
        <v>1 [4.419885]</v>
      </c>
      <c r="J13">
        <f>IF(FT!B13&lt;&gt;"",FT!C13,"")</f>
        <v>4.4198899999999997</v>
      </c>
      <c r="L13" s="66">
        <f t="array" ref="L13">MAX(IF(ft_nq=2,row_n))</f>
        <v>74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0">
        <f t="shared" si="2"/>
        <v>12</v>
      </c>
      <c r="B14" s="60">
        <f t="shared" si="0"/>
        <v>0.23017882352941177</v>
      </c>
      <c r="C14" s="60">
        <f>FH!A14*1</f>
        <v>0</v>
      </c>
      <c r="D14" s="60">
        <f>FH!B14*1</f>
        <v>0</v>
      </c>
      <c r="E14">
        <f t="shared" si="3"/>
        <v>12</v>
      </c>
      <c r="F14" s="60">
        <f>IF(FT!A14&lt;&gt;"",FT!A14*10,"")</f>
        <v>2.4941</v>
      </c>
      <c r="G14" s="60">
        <f>IF(FT!B14&lt;&gt;"",FT!B14*100,"")</f>
        <v>35.520400000000002</v>
      </c>
      <c r="H14" s="60">
        <f t="shared" si="1"/>
        <v>1</v>
      </c>
      <c r="I14" t="str">
        <f>IF(FT!B14&lt;&gt;"",FT!E14,"")</f>
        <v>1 [4.824989]</v>
      </c>
      <c r="J14">
        <f>IF(FT!B14&lt;&gt;"",FT!C14,"")</f>
        <v>4.8249899999999997</v>
      </c>
      <c r="L14">
        <f>L13+1</f>
        <v>75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0">
        <f t="shared" si="2"/>
        <v>13</v>
      </c>
      <c r="B15" s="60">
        <f t="shared" si="0"/>
        <v>0.24936039215686276</v>
      </c>
      <c r="C15" s="60">
        <f>FH!A15*1</f>
        <v>18019</v>
      </c>
      <c r="D15" s="60">
        <f>FH!B15*1</f>
        <v>18019</v>
      </c>
      <c r="E15">
        <f t="shared" si="3"/>
        <v>13</v>
      </c>
      <c r="F15" s="60">
        <f>IF(FT!A15&lt;&gt;"",FT!A15*10,"")</f>
        <v>2.56162</v>
      </c>
      <c r="G15" s="60">
        <f>IF(FT!B15&lt;&gt;"",FT!B15*100,"")</f>
        <v>34.137699999999995</v>
      </c>
      <c r="H15" s="60">
        <f t="shared" si="1"/>
        <v>1</v>
      </c>
      <c r="I15" t="str">
        <f>IF(FT!B15&lt;&gt;"",FT!E15,"")</f>
        <v>1 [5.224781]</v>
      </c>
      <c r="J15">
        <f>IF(FT!B15&lt;&gt;"",FT!C15,"")</f>
        <v>5.22478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0">
        <f t="shared" si="2"/>
        <v>14</v>
      </c>
      <c r="B16" s="60">
        <f t="shared" si="0"/>
        <v>0.26854196078431375</v>
      </c>
      <c r="C16" s="60">
        <f>FH!A16*1</f>
        <v>0</v>
      </c>
      <c r="D16" s="60">
        <f>FH!B16*1</f>
        <v>0</v>
      </c>
      <c r="E16">
        <f t="shared" si="3"/>
        <v>14</v>
      </c>
      <c r="F16" s="60">
        <f>IF(FT!A16&lt;&gt;"",FT!A16*10,"")</f>
        <v>2.6104899999999995</v>
      </c>
      <c r="G16" s="60">
        <f>IF(FT!B16&lt;&gt;"",FT!B16*100,"")</f>
        <v>33.3035</v>
      </c>
      <c r="H16" s="60">
        <f t="shared" si="1"/>
        <v>1</v>
      </c>
      <c r="I16" t="str">
        <f>IF(FT!B16&lt;&gt;"",FT!E16,"")</f>
        <v>1 [5.630209]</v>
      </c>
      <c r="J16">
        <f>IF(FT!B16&lt;&gt;"",FT!C16,"")</f>
        <v>5.6302099999999999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0">
        <f t="shared" si="2"/>
        <v>15</v>
      </c>
      <c r="B17" s="60">
        <f t="shared" si="0"/>
        <v>0.28772352941176471</v>
      </c>
      <c r="C17" s="60">
        <f>FH!A17*1</f>
        <v>0</v>
      </c>
      <c r="D17" s="60">
        <f>FH!B17*1</f>
        <v>0</v>
      </c>
      <c r="E17">
        <f t="shared" si="3"/>
        <v>15</v>
      </c>
      <c r="F17" s="60">
        <f>IF(FT!A17&lt;&gt;"",FT!A17*10,"")</f>
        <v>2.6796700000000002</v>
      </c>
      <c r="G17" s="60">
        <f>IF(FT!B17&lt;&gt;"",FT!B17*100,"")</f>
        <v>31.763300000000001</v>
      </c>
      <c r="H17" s="60">
        <f t="shared" si="1"/>
        <v>1</v>
      </c>
      <c r="I17" t="str">
        <f>IF(FT!B17&lt;&gt;"",FT!E17,"")</f>
        <v>1 [6.034557]</v>
      </c>
      <c r="J17">
        <f>IF(FT!B17&lt;&gt;"",FT!C17,"")</f>
        <v>6.0345599999999999</v>
      </c>
      <c r="L17">
        <f>L3+1</f>
        <v>76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0">
        <f t="shared" si="2"/>
        <v>16</v>
      </c>
      <c r="B18" s="60">
        <f t="shared" si="0"/>
        <v>0.30690509803921567</v>
      </c>
      <c r="C18" s="60">
        <f>FH!A18*1</f>
        <v>24448</v>
      </c>
      <c r="D18" s="60">
        <f>FH!B18*1</f>
        <v>24448</v>
      </c>
      <c r="E18">
        <f t="shared" si="3"/>
        <v>16</v>
      </c>
      <c r="F18" s="60">
        <f>IF(FT!A18&lt;&gt;"",FT!A18*10,"")</f>
        <v>2.7730700000000001</v>
      </c>
      <c r="G18" s="60">
        <f>IF(FT!B18&lt;&gt;"",FT!B18*100,"")</f>
        <v>29.498799999999996</v>
      </c>
      <c r="H18" s="60">
        <f t="shared" si="1"/>
        <v>1</v>
      </c>
      <c r="I18" t="str">
        <f>IF(FT!B18&lt;&gt;"",FT!E18,"")</f>
        <v>1 [6.439106]</v>
      </c>
      <c r="J18">
        <f>IF(FT!B18&lt;&gt;"",FT!C18,"")</f>
        <v>6.4391100000000003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0">
        <f t="shared" si="2"/>
        <v>17</v>
      </c>
      <c r="B19" s="60">
        <f t="shared" si="0"/>
        <v>0.32608666666666669</v>
      </c>
      <c r="C19" s="60">
        <f>FH!A19*1</f>
        <v>0</v>
      </c>
      <c r="D19" s="60">
        <f>FH!B19*1</f>
        <v>0</v>
      </c>
      <c r="E19">
        <f t="shared" si="3"/>
        <v>17</v>
      </c>
      <c r="F19" s="60">
        <f>IF(FT!A19&lt;&gt;"",FT!A19*10,"")</f>
        <v>2.8469699999999998</v>
      </c>
      <c r="G19" s="60">
        <f>IF(FT!B19&lt;&gt;"",FT!B19*100,"")</f>
        <v>27.7928</v>
      </c>
      <c r="H19" s="60">
        <f t="shared" si="1"/>
        <v>1</v>
      </c>
      <c r="I19" t="str">
        <f>IF(FT!B19&lt;&gt;"",FT!E19,"")</f>
        <v>1 [6.857202]</v>
      </c>
      <c r="J19">
        <f>IF(FT!B19&lt;&gt;"",FT!C19,"")</f>
        <v>6.8571999999999997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0">
        <f t="shared" si="2"/>
        <v>18</v>
      </c>
      <c r="B20" s="60">
        <f t="shared" si="0"/>
        <v>0.34526823529411765</v>
      </c>
      <c r="C20" s="60">
        <f>FH!A20*1</f>
        <v>0</v>
      </c>
      <c r="D20" s="60">
        <f>FH!B20*1</f>
        <v>0</v>
      </c>
      <c r="E20">
        <f t="shared" si="3"/>
        <v>18</v>
      </c>
      <c r="F20" s="60">
        <f>IF(FT!A20&lt;&gt;"",FT!A20*10,"")</f>
        <v>2.9205999999999999</v>
      </c>
      <c r="G20" s="60">
        <f>IF(FT!B20&lt;&gt;"",FT!B20*100,"")</f>
        <v>26.122899999999998</v>
      </c>
      <c r="H20" s="60">
        <f t="shared" si="1"/>
        <v>1</v>
      </c>
      <c r="I20" t="str">
        <f>IF(FT!B20&lt;&gt;"",FT!E20,"")</f>
        <v>1 [7.253234]</v>
      </c>
      <c r="J20">
        <f>IF(FT!B20&lt;&gt;"",FT!C20,"")</f>
        <v>7.2532300000000003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0">
        <f t="shared" si="2"/>
        <v>19</v>
      </c>
      <c r="B21" s="60">
        <f t="shared" si="0"/>
        <v>0.36444980392156862</v>
      </c>
      <c r="C21" s="60">
        <f>FH!A21*1</f>
        <v>32695</v>
      </c>
      <c r="D21" s="60">
        <f>FH!B21*1</f>
        <v>32695</v>
      </c>
      <c r="E21">
        <f t="shared" si="3"/>
        <v>19</v>
      </c>
      <c r="F21" s="60">
        <f>IF(FT!A21&lt;&gt;"",FT!A21*10,"")</f>
        <v>2.9925299999999999</v>
      </c>
      <c r="G21" s="60">
        <f>IF(FT!B21&lt;&gt;"",FT!B21*100,"")</f>
        <v>24.4727</v>
      </c>
      <c r="H21" s="60">
        <f t="shared" si="1"/>
        <v>1</v>
      </c>
      <c r="I21" t="str">
        <f>IF(FT!B21&lt;&gt;"",FT!E21,"")</f>
        <v>1 [7.657999]</v>
      </c>
      <c r="J21">
        <f>IF(FT!B21&lt;&gt;"",FT!C21,"")</f>
        <v>7.6580000000000004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0">
        <f t="shared" si="2"/>
        <v>20</v>
      </c>
      <c r="B22" s="60">
        <f t="shared" si="0"/>
        <v>0.38363137254901963</v>
      </c>
      <c r="C22" s="60">
        <f>FH!A22*1</f>
        <v>0</v>
      </c>
      <c r="D22" s="60">
        <f>FH!B22*1</f>
        <v>0</v>
      </c>
      <c r="E22">
        <f t="shared" si="3"/>
        <v>20</v>
      </c>
      <c r="F22" s="60">
        <f>IF(FT!A22&lt;&gt;"",FT!A22*10,"")</f>
        <v>3.0608900000000001</v>
      </c>
      <c r="G22" s="60">
        <f>IF(FT!B22&lt;&gt;"",FT!B22*100,"")</f>
        <v>22.959</v>
      </c>
      <c r="H22" s="60">
        <f t="shared" si="1"/>
        <v>1</v>
      </c>
      <c r="I22" t="str">
        <f>IF(FT!B22&lt;&gt;"",FT!E22,"")</f>
        <v>1 [8.063283]</v>
      </c>
      <c r="J22">
        <f>IF(FT!B22&lt;&gt;"",FT!C22,"")</f>
        <v>8.0632800000000007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0">
        <f t="shared" si="2"/>
        <v>21</v>
      </c>
      <c r="B23" s="60">
        <f t="shared" si="0"/>
        <v>0.4028129411764706</v>
      </c>
      <c r="C23" s="60">
        <f>FH!A23*1</f>
        <v>36507</v>
      </c>
      <c r="D23" s="60">
        <f>FH!B23*1</f>
        <v>36507</v>
      </c>
      <c r="E23">
        <f t="shared" si="3"/>
        <v>21</v>
      </c>
      <c r="F23" s="60">
        <f>IF(FT!A23&lt;&gt;"",FT!A23*10,"")</f>
        <v>3.1234699999999997</v>
      </c>
      <c r="G23" s="60">
        <f>IF(FT!B23&lt;&gt;"",FT!B23*100,"")</f>
        <v>21.676599999999997</v>
      </c>
      <c r="H23" s="60">
        <f t="shared" si="1"/>
        <v>1</v>
      </c>
      <c r="I23" t="str">
        <f>IF(FT!B23&lt;&gt;"",FT!E23,"")</f>
        <v>1 [8.477083]</v>
      </c>
      <c r="J23">
        <f>IF(FT!B23&lt;&gt;"",FT!C23,"")</f>
        <v>8.4770800000000008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0">
        <f t="shared" si="2"/>
        <v>22</v>
      </c>
      <c r="B24" s="60">
        <f t="shared" si="0"/>
        <v>0.42199450980392156</v>
      </c>
      <c r="C24" s="60">
        <f>FH!A24*1</f>
        <v>0</v>
      </c>
      <c r="D24" s="60">
        <f>FH!B24*1</f>
        <v>0</v>
      </c>
      <c r="E24">
        <f t="shared" si="3"/>
        <v>22</v>
      </c>
      <c r="F24" s="60">
        <f>IF(FT!A24&lt;&gt;"",FT!A24*10,"")</f>
        <v>3.1818</v>
      </c>
      <c r="G24" s="60">
        <f>IF(FT!B24&lt;&gt;"",FT!B24*100,"")</f>
        <v>20.533100000000001</v>
      </c>
      <c r="H24" s="60">
        <f t="shared" si="1"/>
        <v>1</v>
      </c>
      <c r="I24" t="str">
        <f>IF(FT!B24&lt;&gt;"",FT!E24,"")</f>
        <v>1 [8.877112]</v>
      </c>
      <c r="J24">
        <f>IF(FT!B24&lt;&gt;"",FT!C24,"")</f>
        <v>8.8771100000000001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0">
        <f t="shared" si="2"/>
        <v>23</v>
      </c>
      <c r="B25" s="60">
        <f t="shared" si="0"/>
        <v>0.44117607843137258</v>
      </c>
      <c r="C25" s="60">
        <f>FH!A25*1</f>
        <v>0</v>
      </c>
      <c r="D25" s="60">
        <f>FH!B25*1</f>
        <v>0</v>
      </c>
      <c r="E25">
        <f t="shared" si="3"/>
        <v>23</v>
      </c>
      <c r="F25" s="60">
        <f>IF(FT!A25&lt;&gt;"",FT!A25*10,"")</f>
        <v>3.2400200000000003</v>
      </c>
      <c r="G25" s="60">
        <f>IF(FT!B25&lt;&gt;"",FT!B25*100,"")</f>
        <v>19.4131</v>
      </c>
      <c r="H25" s="60">
        <f t="shared" si="1"/>
        <v>1</v>
      </c>
      <c r="I25" t="str">
        <f>IF(FT!B25&lt;&gt;"",FT!E25,"")</f>
        <v>1 [9.282224]</v>
      </c>
      <c r="J25">
        <f>IF(FT!B25&lt;&gt;"",FT!C25,"")</f>
        <v>9.2822200000000006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0">
        <f t="shared" si="2"/>
        <v>24</v>
      </c>
      <c r="B26" s="60">
        <f t="shared" si="0"/>
        <v>0.46035764705882354</v>
      </c>
      <c r="C26" s="60">
        <f>FH!A26*1</f>
        <v>36438</v>
      </c>
      <c r="D26" s="60">
        <f>FH!B26*1</f>
        <v>36438</v>
      </c>
      <c r="E26">
        <f t="shared" si="3"/>
        <v>24</v>
      </c>
      <c r="F26" s="60">
        <f>IF(FT!A26&lt;&gt;"",FT!A26*10,"")</f>
        <v>3.2957399999999999</v>
      </c>
      <c r="G26" s="60">
        <f>IF(FT!B26&lt;&gt;"",FT!B26*100,"")</f>
        <v>18.290400000000002</v>
      </c>
      <c r="H26" s="60">
        <f t="shared" si="1"/>
        <v>1</v>
      </c>
      <c r="I26" t="str">
        <f>IF(FT!B26&lt;&gt;"",FT!E26,"")</f>
        <v>1 [9.689055]</v>
      </c>
      <c r="J26">
        <f>IF(FT!B26&lt;&gt;"",FT!C26,"")</f>
        <v>9.6890499999999999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0">
        <f t="shared" si="2"/>
        <v>25</v>
      </c>
      <c r="B27" s="60">
        <f t="shared" si="0"/>
        <v>0.4795392156862745</v>
      </c>
      <c r="C27" s="60">
        <f>FH!A27*1</f>
        <v>0</v>
      </c>
      <c r="D27" s="60">
        <f>FH!B27*1</f>
        <v>0</v>
      </c>
      <c r="E27">
        <f t="shared" si="3"/>
        <v>25</v>
      </c>
      <c r="F27" s="60">
        <f>IF(FT!A27&lt;&gt;"",FT!A27*10,"")</f>
        <v>3.3506</v>
      </c>
      <c r="G27" s="60">
        <f>IF(FT!B27&lt;&gt;"",FT!B27*100,"")</f>
        <v>17.122299999999999</v>
      </c>
      <c r="H27" s="60">
        <f t="shared" si="1"/>
        <v>1</v>
      </c>
      <c r="I27" t="str">
        <f>IF(FT!B27&lt;&gt;"",FT!E27,"")</f>
        <v>1 [10.090070]</v>
      </c>
      <c r="J27">
        <f>IF(FT!B27&lt;&gt;"",FT!C27,"")</f>
        <v>10.0901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0">
        <f t="shared" si="2"/>
        <v>26</v>
      </c>
      <c r="B28" s="60">
        <f t="shared" si="0"/>
        <v>0.49872078431372552</v>
      </c>
      <c r="C28" s="60">
        <f>FH!A28*1</f>
        <v>45866</v>
      </c>
      <c r="D28" s="60">
        <f>FH!B28*1</f>
        <v>45866</v>
      </c>
      <c r="E28">
        <f t="shared" si="3"/>
        <v>26</v>
      </c>
      <c r="F28" s="60">
        <f>IF(FT!A28&lt;&gt;"",FT!A28*10,"")</f>
        <v>3.4047500000000004</v>
      </c>
      <c r="G28" s="60">
        <f>IF(FT!B28&lt;&gt;"",FT!B28*100,"")</f>
        <v>15.9543</v>
      </c>
      <c r="H28" s="60">
        <f t="shared" si="1"/>
        <v>1</v>
      </c>
      <c r="I28" t="str">
        <f>IF(FT!B28&lt;&gt;"",FT!E28,"")</f>
        <v>1 [10.499775]</v>
      </c>
      <c r="J28">
        <f>IF(FT!B28&lt;&gt;"",FT!C28,"")</f>
        <v>10.4998</v>
      </c>
    </row>
    <row r="29" spans="1:19">
      <c r="A29" s="60">
        <f t="shared" si="2"/>
        <v>27</v>
      </c>
      <c r="B29" s="60">
        <f t="shared" si="0"/>
        <v>0.51790235294117648</v>
      </c>
      <c r="C29" s="60">
        <f>FH!A29*1</f>
        <v>0</v>
      </c>
      <c r="D29" s="60">
        <f>FH!B29*1</f>
        <v>0</v>
      </c>
      <c r="E29">
        <f t="shared" si="3"/>
        <v>27</v>
      </c>
      <c r="F29" s="60">
        <f>IF(FT!A29&lt;&gt;"",FT!A29*10,"")</f>
        <v>3.45566</v>
      </c>
      <c r="G29" s="60">
        <f>IF(FT!B29&lt;&gt;"",FT!B29*100,"")</f>
        <v>14.9702</v>
      </c>
      <c r="H29" s="60">
        <f t="shared" si="1"/>
        <v>1</v>
      </c>
      <c r="I29" t="str">
        <f>IF(FT!B29&lt;&gt;"",FT!E29,"")</f>
        <v>1 [10.900328]</v>
      </c>
      <c r="J29">
        <f>IF(FT!B29&lt;&gt;"",FT!C29,"")</f>
        <v>10.9003</v>
      </c>
    </row>
    <row r="30" spans="1:19">
      <c r="A30" s="60">
        <f t="shared" si="2"/>
        <v>28</v>
      </c>
      <c r="B30" s="60">
        <f t="shared" si="0"/>
        <v>0.5370839215686275</v>
      </c>
      <c r="C30" s="60">
        <f>FH!A30*1</f>
        <v>0</v>
      </c>
      <c r="D30" s="60">
        <f>FH!B30*1</f>
        <v>0</v>
      </c>
      <c r="E30">
        <f t="shared" si="3"/>
        <v>28</v>
      </c>
      <c r="F30" s="60">
        <f>IF(FT!A30&lt;&gt;"",FT!A30*10,"")</f>
        <v>3.5043999999999995</v>
      </c>
      <c r="G30" s="60">
        <f>IF(FT!B30&lt;&gt;"",FT!B30*100,"")</f>
        <v>14.052999999999999</v>
      </c>
      <c r="H30" s="60">
        <f t="shared" si="1"/>
        <v>1</v>
      </c>
      <c r="I30" t="str">
        <f>IF(FT!B30&lt;&gt;"",FT!E30,"")</f>
        <v>1 [11.317256]</v>
      </c>
      <c r="J30">
        <f>IF(FT!B30&lt;&gt;"",FT!C30,"")</f>
        <v>11.317299999999999</v>
      </c>
    </row>
    <row r="31" spans="1:19">
      <c r="A31" s="60">
        <f t="shared" si="2"/>
        <v>29</v>
      </c>
      <c r="B31" s="60">
        <f t="shared" si="0"/>
        <v>0.5562654901960784</v>
      </c>
      <c r="C31" s="60">
        <f>FH!A31*1</f>
        <v>53738</v>
      </c>
      <c r="D31" s="60">
        <f>FH!B31*1</f>
        <v>53738</v>
      </c>
      <c r="E31">
        <f t="shared" si="3"/>
        <v>29</v>
      </c>
      <c r="F31" s="60">
        <f>IF(FT!A31&lt;&gt;"",FT!A31*10,"")</f>
        <v>3.5499100000000001</v>
      </c>
      <c r="G31" s="60">
        <f>IF(FT!B31&lt;&gt;"",FT!B31*100,"")</f>
        <v>13.1714</v>
      </c>
      <c r="H31" s="60">
        <f t="shared" si="1"/>
        <v>1</v>
      </c>
      <c r="I31" t="str">
        <f>IF(FT!B31&lt;&gt;"",FT!E31,"")</f>
        <v>1 [11.713924]</v>
      </c>
      <c r="J31">
        <f>IF(FT!B31&lt;&gt;"",FT!C31,"")</f>
        <v>11.713900000000001</v>
      </c>
    </row>
    <row r="32" spans="1:19">
      <c r="A32" s="60">
        <f t="shared" si="2"/>
        <v>30</v>
      </c>
      <c r="B32" s="60">
        <f t="shared" si="0"/>
        <v>0.57544705882352942</v>
      </c>
      <c r="C32" s="60">
        <f>FH!A32*1</f>
        <v>0</v>
      </c>
      <c r="D32" s="60">
        <f>FH!B32*1</f>
        <v>0</v>
      </c>
      <c r="E32">
        <f t="shared" si="3"/>
        <v>30</v>
      </c>
      <c r="F32" s="60">
        <f>IF(FT!A32&lt;&gt;"",FT!A32*10,"")</f>
        <v>3.5925800000000003</v>
      </c>
      <c r="G32" s="60">
        <f>IF(FT!B32&lt;&gt;"",FT!B32*100,"")</f>
        <v>12.4207</v>
      </c>
      <c r="H32" s="60">
        <f t="shared" si="1"/>
        <v>1</v>
      </c>
      <c r="I32" t="str">
        <f>IF(FT!B32&lt;&gt;"",FT!E32,"")</f>
        <v>1 [12.122206]</v>
      </c>
      <c r="J32">
        <f>IF(FT!B32&lt;&gt;"",FT!C32,"")</f>
        <v>12.122199999999999</v>
      </c>
    </row>
    <row r="33" spans="1:10">
      <c r="A33" s="60">
        <f t="shared" si="2"/>
        <v>31</v>
      </c>
      <c r="B33" s="60">
        <f t="shared" si="0"/>
        <v>0.59462862745098044</v>
      </c>
      <c r="C33" s="60">
        <f>FH!A33*1</f>
        <v>53551</v>
      </c>
      <c r="D33" s="60">
        <f>FH!B33*1</f>
        <v>53551</v>
      </c>
      <c r="E33">
        <f t="shared" si="3"/>
        <v>31</v>
      </c>
      <c r="F33" s="60">
        <f>IF(FT!A33&lt;&gt;"",FT!A33*10,"")</f>
        <v>3.63022</v>
      </c>
      <c r="G33" s="60">
        <f>IF(FT!B33&lt;&gt;"",FT!B33*100,"")</f>
        <v>11.8148</v>
      </c>
      <c r="H33" s="60">
        <f t="shared" si="1"/>
        <v>1</v>
      </c>
      <c r="I33" t="str">
        <f>IF(FT!B33&lt;&gt;"",FT!E33,"")</f>
        <v>1 [12.525478]</v>
      </c>
      <c r="J33">
        <f>IF(FT!B33&lt;&gt;"",FT!C33,"")</f>
        <v>12.525499999999999</v>
      </c>
    </row>
    <row r="34" spans="1:10">
      <c r="A34" s="60">
        <f t="shared" si="2"/>
        <v>32</v>
      </c>
      <c r="B34" s="60">
        <f t="shared" si="0"/>
        <v>0.61381019607843135</v>
      </c>
      <c r="C34" s="60">
        <f>FH!A34*1</f>
        <v>0</v>
      </c>
      <c r="D34" s="60">
        <f>FH!B34*1</f>
        <v>0</v>
      </c>
      <c r="E34">
        <f t="shared" si="3"/>
        <v>32</v>
      </c>
      <c r="F34" s="60">
        <f>IF(FT!A34&lt;&gt;"",FT!A34*10,"")</f>
        <v>3.66811</v>
      </c>
      <c r="G34" s="60">
        <f>IF(FT!B34&lt;&gt;"",FT!B34*100,"")</f>
        <v>11.171100000000001</v>
      </c>
      <c r="H34" s="60">
        <f t="shared" si="1"/>
        <v>1</v>
      </c>
      <c r="I34" t="str">
        <f>IF(FT!B34&lt;&gt;"",FT!E34,"")</f>
        <v>1 [12.942483]</v>
      </c>
      <c r="J34">
        <f>IF(FT!B34&lt;&gt;"",FT!C34,"")</f>
        <v>12.942500000000001</v>
      </c>
    </row>
    <row r="35" spans="1:10">
      <c r="A35" s="60">
        <f t="shared" si="2"/>
        <v>33</v>
      </c>
      <c r="B35" s="60">
        <f t="shared" si="0"/>
        <v>0.63299176470588248</v>
      </c>
      <c r="C35" s="60">
        <f>FH!A35*1</f>
        <v>0</v>
      </c>
      <c r="D35" s="60">
        <f>FH!B35*1</f>
        <v>0</v>
      </c>
      <c r="E35">
        <f t="shared" si="3"/>
        <v>33</v>
      </c>
      <c r="F35" s="60">
        <f>IF(FT!A35&lt;&gt;"",FT!A35*10,"")</f>
        <v>3.7070099999999999</v>
      </c>
      <c r="G35" s="60">
        <f>IF(FT!B35&lt;&gt;"",FT!B35*100,"")</f>
        <v>10.4351</v>
      </c>
      <c r="H35" s="60">
        <f t="shared" si="1"/>
        <v>1</v>
      </c>
      <c r="I35" t="str">
        <f>IF(FT!B35&lt;&gt;"",FT!E35,"")</f>
        <v>1 [13.338282]</v>
      </c>
      <c r="J35">
        <f>IF(FT!B35&lt;&gt;"",FT!C35,"")</f>
        <v>13.3383</v>
      </c>
    </row>
    <row r="36" spans="1:10">
      <c r="A36" s="60">
        <f t="shared" si="2"/>
        <v>34</v>
      </c>
      <c r="B36" s="60">
        <f t="shared" si="0"/>
        <v>0.65217333333333338</v>
      </c>
      <c r="C36" s="60">
        <f>FH!A36*1</f>
        <v>57255</v>
      </c>
      <c r="D36" s="60">
        <f>FH!B36*1</f>
        <v>57255</v>
      </c>
      <c r="E36">
        <f t="shared" si="3"/>
        <v>34</v>
      </c>
      <c r="F36" s="60">
        <f>IF(FT!A36&lt;&gt;"",FT!A36*10,"")</f>
        <v>3.7424600000000003</v>
      </c>
      <c r="G36" s="60">
        <f>IF(FT!B36&lt;&gt;"",FT!B36*100,"")</f>
        <v>9.7742899999999988</v>
      </c>
      <c r="H36" s="60">
        <f t="shared" si="1"/>
        <v>1</v>
      </c>
      <c r="I36" t="str">
        <f>IF(FT!B36&lt;&gt;"",FT!E36,"")</f>
        <v>1 [13.744042]</v>
      </c>
      <c r="J36">
        <f>IF(FT!B36&lt;&gt;"",FT!C36,"")</f>
        <v>13.744</v>
      </c>
    </row>
    <row r="37" spans="1:10">
      <c r="A37" s="60">
        <f t="shared" si="2"/>
        <v>35</v>
      </c>
      <c r="B37" s="60">
        <f t="shared" si="0"/>
        <v>0.6713549019607844</v>
      </c>
      <c r="C37" s="60">
        <f>FH!A37*1</f>
        <v>0</v>
      </c>
      <c r="D37" s="60">
        <f>FH!B37*1</f>
        <v>0</v>
      </c>
      <c r="E37">
        <f t="shared" si="3"/>
        <v>35</v>
      </c>
      <c r="F37" s="60">
        <f>IF(FT!A37&lt;&gt;"",FT!A37*10,"")</f>
        <v>3.7737700000000003</v>
      </c>
      <c r="G37" s="60">
        <f>IF(FT!B37&lt;&gt;"",FT!B37*100,"")</f>
        <v>9.2088400000000004</v>
      </c>
      <c r="H37" s="60">
        <f t="shared" si="1"/>
        <v>1</v>
      </c>
      <c r="I37" t="str">
        <f>IF(FT!B37&lt;&gt;"",FT!E37,"")</f>
        <v>1 [14.150753]</v>
      </c>
      <c r="J37">
        <f>IF(FT!B37&lt;&gt;"",FT!C37,"")</f>
        <v>14.1508</v>
      </c>
    </row>
    <row r="38" spans="1:10">
      <c r="A38" s="60">
        <f t="shared" si="2"/>
        <v>36</v>
      </c>
      <c r="B38" s="60">
        <f t="shared" si="0"/>
        <v>0.69053647058823531</v>
      </c>
      <c r="C38" s="60">
        <f>FH!A38*1</f>
        <v>0</v>
      </c>
      <c r="D38" s="60">
        <f>FH!B38*1</f>
        <v>0</v>
      </c>
      <c r="E38">
        <f t="shared" si="3"/>
        <v>36</v>
      </c>
      <c r="F38" s="60">
        <f>IF(FT!A38&lt;&gt;"",FT!A38*10,"")</f>
        <v>3.8018700000000001</v>
      </c>
      <c r="G38" s="60">
        <f>IF(FT!B38&lt;&gt;"",FT!B38*100,"")</f>
        <v>8.6441800000000004</v>
      </c>
      <c r="H38" s="60">
        <f t="shared" si="1"/>
        <v>1</v>
      </c>
      <c r="I38" t="str">
        <f>IF(FT!B38&lt;&gt;"",FT!E38,"")</f>
        <v>1 [14.554365]</v>
      </c>
      <c r="J38">
        <f>IF(FT!B38&lt;&gt;"",FT!C38,"")</f>
        <v>14.554399999999999</v>
      </c>
    </row>
    <row r="39" spans="1:10">
      <c r="A39" s="60">
        <f t="shared" si="2"/>
        <v>37</v>
      </c>
      <c r="B39" s="60">
        <f t="shared" si="0"/>
        <v>0.70971803921568632</v>
      </c>
      <c r="C39" s="60">
        <f>FH!A39*1</f>
        <v>59866</v>
      </c>
      <c r="D39" s="60">
        <f>FH!B39*1</f>
        <v>59866</v>
      </c>
      <c r="E39">
        <f t="shared" si="3"/>
        <v>37</v>
      </c>
      <c r="F39" s="60">
        <f>IF(FT!A39&lt;&gt;"",FT!A39*10,"")</f>
        <v>3.8290200000000003</v>
      </c>
      <c r="G39" s="60">
        <f>IF(FT!B39&lt;&gt;"",FT!B39*100,"")</f>
        <v>8.0837900000000005</v>
      </c>
      <c r="H39" s="60">
        <f t="shared" si="1"/>
        <v>1</v>
      </c>
      <c r="I39" t="str">
        <f>IF(FT!B39&lt;&gt;"",FT!E39,"")</f>
        <v>1 [14.958324]</v>
      </c>
      <c r="J39">
        <f>IF(FT!B39&lt;&gt;"",FT!C39,"")</f>
        <v>14.958299999999999</v>
      </c>
    </row>
    <row r="40" spans="1:10">
      <c r="A40" s="60">
        <f t="shared" si="2"/>
        <v>38</v>
      </c>
      <c r="B40" s="60">
        <f t="shared" si="0"/>
        <v>0.72889960784313723</v>
      </c>
      <c r="C40" s="60">
        <f>FH!A40*1</f>
        <v>0</v>
      </c>
      <c r="D40" s="60">
        <f>FH!B40*1</f>
        <v>0</v>
      </c>
      <c r="E40">
        <f t="shared" si="3"/>
        <v>38</v>
      </c>
      <c r="F40" s="60">
        <f>IF(FT!A40&lt;&gt;"",FT!A40*10,"")</f>
        <v>3.8504300000000002</v>
      </c>
      <c r="G40" s="60">
        <f>IF(FT!B40&lt;&gt;"",FT!B40*100,"")</f>
        <v>7.5571600000000005</v>
      </c>
      <c r="H40" s="60">
        <f t="shared" si="1"/>
        <v>1</v>
      </c>
      <c r="I40" t="str">
        <f>IF(FT!B40&lt;&gt;"",FT!E40,"")</f>
        <v>2 [15.443316]</v>
      </c>
      <c r="J40">
        <f>IF(FT!B40&lt;&gt;"",FT!C40,"")</f>
        <v>15.443300000000001</v>
      </c>
    </row>
    <row r="41" spans="1:10">
      <c r="A41" s="60">
        <f t="shared" si="2"/>
        <v>39</v>
      </c>
      <c r="B41" s="60">
        <f t="shared" si="0"/>
        <v>0.74808117647058836</v>
      </c>
      <c r="C41" s="60">
        <f>FH!A41*1</f>
        <v>62645</v>
      </c>
      <c r="D41" s="60">
        <f>FH!B41*1</f>
        <v>62645</v>
      </c>
      <c r="E41">
        <f t="shared" si="3"/>
        <v>39</v>
      </c>
      <c r="F41" s="60">
        <f>IF(FT!A41&lt;&gt;"",FT!A41*10,"")</f>
        <v>3.8693100000000005</v>
      </c>
      <c r="G41" s="60">
        <f>IF(FT!B41&lt;&gt;"",FT!B41*100,"")</f>
        <v>7.0543999999999993</v>
      </c>
      <c r="H41" s="60">
        <f t="shared" si="1"/>
        <v>1</v>
      </c>
      <c r="I41" t="str">
        <f>IF(FT!B41&lt;&gt;"",FT!E41,"")</f>
        <v>2 [15.835396]</v>
      </c>
      <c r="J41">
        <f>IF(FT!B41&lt;&gt;"",FT!C41,"")</f>
        <v>15.8354</v>
      </c>
    </row>
    <row r="42" spans="1:10">
      <c r="A42" s="60">
        <f t="shared" si="2"/>
        <v>40</v>
      </c>
      <c r="B42" s="60">
        <f t="shared" si="0"/>
        <v>0.76726274509803927</v>
      </c>
      <c r="C42" s="60">
        <f>FH!A42*1</f>
        <v>0</v>
      </c>
      <c r="D42" s="60">
        <f>FH!B42*1</f>
        <v>0</v>
      </c>
      <c r="E42">
        <f t="shared" si="3"/>
        <v>40</v>
      </c>
      <c r="F42" s="60">
        <f>IF(FT!A42&lt;&gt;"",FT!A42*10,"")</f>
        <v>3.8855200000000001</v>
      </c>
      <c r="G42" s="60">
        <f>IF(FT!B42&lt;&gt;"",FT!B42*100,"")</f>
        <v>6.5027299999999997</v>
      </c>
      <c r="H42" s="60">
        <f t="shared" si="1"/>
        <v>1</v>
      </c>
      <c r="I42" t="str">
        <f>IF(FT!B42&lt;&gt;"",FT!E42,"")</f>
        <v>2 [16.222258]</v>
      </c>
      <c r="J42">
        <f>IF(FT!B42&lt;&gt;"",FT!C42,"")</f>
        <v>16.222300000000001</v>
      </c>
    </row>
    <row r="43" spans="1:10">
      <c r="A43" s="60">
        <f t="shared" si="2"/>
        <v>41</v>
      </c>
      <c r="B43" s="60">
        <f t="shared" si="0"/>
        <v>0.78644431372549028</v>
      </c>
      <c r="C43" s="60">
        <f>FH!A43*1</f>
        <v>0</v>
      </c>
      <c r="D43" s="60">
        <f>FH!B43*1</f>
        <v>0</v>
      </c>
      <c r="E43">
        <f t="shared" si="3"/>
        <v>41</v>
      </c>
      <c r="F43" s="60">
        <f>IF(FT!A43&lt;&gt;"",FT!A43*10,"")</f>
        <v>3.89785</v>
      </c>
      <c r="G43" s="60">
        <f>IF(FT!B43&lt;&gt;"",FT!B43*100,"")</f>
        <v>5.9633000000000003</v>
      </c>
      <c r="H43" s="60">
        <f t="shared" si="1"/>
        <v>1</v>
      </c>
      <c r="I43" t="str">
        <f>IF(FT!B43&lt;&gt;"",FT!E43,"")</f>
        <v>2 [16.625629]</v>
      </c>
      <c r="J43">
        <f>IF(FT!B43&lt;&gt;"",FT!C43,"")</f>
        <v>16.625599999999999</v>
      </c>
    </row>
    <row r="44" spans="1:10">
      <c r="A44" s="60">
        <f t="shared" si="2"/>
        <v>42</v>
      </c>
      <c r="B44" s="60">
        <f t="shared" si="0"/>
        <v>0.80562588235294119</v>
      </c>
      <c r="C44" s="60">
        <f>FH!A44*1</f>
        <v>62970</v>
      </c>
      <c r="D44" s="60">
        <f>FH!B44*1</f>
        <v>62970</v>
      </c>
      <c r="E44">
        <f t="shared" si="3"/>
        <v>42</v>
      </c>
      <c r="F44" s="60">
        <f>IF(FT!A44&lt;&gt;"",FT!A44*10,"")</f>
        <v>3.9066700000000001</v>
      </c>
      <c r="G44" s="60">
        <f>IF(FT!B44&lt;&gt;"",FT!B44*100,"")</f>
        <v>5.4173100000000005</v>
      </c>
      <c r="H44" s="60">
        <f t="shared" si="1"/>
        <v>1</v>
      </c>
      <c r="I44" t="str">
        <f>IF(FT!B44&lt;&gt;"",FT!E44,"")</f>
        <v>2 [17.032445]</v>
      </c>
      <c r="J44">
        <f>IF(FT!B44&lt;&gt;"",FT!C44,"")</f>
        <v>17.032399999999999</v>
      </c>
    </row>
    <row r="45" spans="1:10">
      <c r="A45" s="60">
        <f t="shared" si="2"/>
        <v>43</v>
      </c>
      <c r="B45" s="60">
        <f t="shared" si="0"/>
        <v>0.82480745098039221</v>
      </c>
      <c r="C45" s="60">
        <f>FH!A45*1</f>
        <v>0</v>
      </c>
      <c r="D45" s="60">
        <f>FH!B45*1</f>
        <v>0</v>
      </c>
      <c r="E45">
        <f t="shared" si="3"/>
        <v>43</v>
      </c>
      <c r="F45" s="60">
        <f>IF(FT!A45&lt;&gt;"",FT!A45*10,"")</f>
        <v>3.9122499999999998</v>
      </c>
      <c r="G45" s="60">
        <f>IF(FT!B45&lt;&gt;"",FT!B45*100,"")</f>
        <v>4.90299</v>
      </c>
      <c r="H45" s="60">
        <f t="shared" si="1"/>
        <v>1</v>
      </c>
      <c r="I45" t="str">
        <f>IF(FT!B45&lt;&gt;"",FT!E45,"")</f>
        <v>2 [17.440533]</v>
      </c>
      <c r="J45">
        <f>IF(FT!B45&lt;&gt;"",FT!C45,"")</f>
        <v>17.4405</v>
      </c>
    </row>
    <row r="46" spans="1:10">
      <c r="A46" s="60">
        <f t="shared" si="2"/>
        <v>44</v>
      </c>
      <c r="B46" s="60">
        <f t="shared" si="0"/>
        <v>0.84398901960784312</v>
      </c>
      <c r="C46" s="60">
        <f>FH!A46*1</f>
        <v>61944</v>
      </c>
      <c r="D46" s="60">
        <f>FH!B46*1</f>
        <v>61944</v>
      </c>
      <c r="E46">
        <f t="shared" si="3"/>
        <v>44</v>
      </c>
      <c r="F46" s="60">
        <f>IF(FT!A46&lt;&gt;"",FT!A46*10,"")</f>
        <v>3.9161200000000003</v>
      </c>
      <c r="G46" s="60">
        <f>IF(FT!B46&lt;&gt;"",FT!B46*100,"")</f>
        <v>4.4160500000000003</v>
      </c>
      <c r="H46" s="60">
        <f t="shared" si="1"/>
        <v>1</v>
      </c>
      <c r="I46" t="str">
        <f>IF(FT!B46&lt;&gt;"",FT!E46,"")</f>
        <v>2 [17.844238]</v>
      </c>
      <c r="J46">
        <f>IF(FT!B46&lt;&gt;"",FT!C46,"")</f>
        <v>17.844200000000001</v>
      </c>
    </row>
    <row r="47" spans="1:10">
      <c r="A47" s="60">
        <f t="shared" si="2"/>
        <v>45</v>
      </c>
      <c r="B47" s="60">
        <f t="shared" si="0"/>
        <v>0.86317058823529424</v>
      </c>
      <c r="C47" s="60">
        <f>FH!A47*1</f>
        <v>0</v>
      </c>
      <c r="D47" s="60">
        <f>FH!B47*1</f>
        <v>0</v>
      </c>
      <c r="E47">
        <f t="shared" si="3"/>
        <v>45</v>
      </c>
      <c r="F47" s="60">
        <f>IF(FT!A47&lt;&gt;"",FT!A47*10,"")</f>
        <v>3.9196</v>
      </c>
      <c r="G47" s="60">
        <f>IF(FT!B47&lt;&gt;"",FT!B47*100,"")</f>
        <v>3.9775800000000001</v>
      </c>
      <c r="H47" s="60">
        <f t="shared" si="1"/>
        <v>1</v>
      </c>
      <c r="I47" t="str">
        <f>IF(FT!B47&lt;&gt;"",FT!E47,"")</f>
        <v>2 [18.255908]</v>
      </c>
      <c r="J47">
        <f>IF(FT!B47&lt;&gt;"",FT!C47,"")</f>
        <v>18.2559</v>
      </c>
    </row>
    <row r="48" spans="1:10">
      <c r="A48" s="60">
        <f t="shared" si="2"/>
        <v>46</v>
      </c>
      <c r="B48" s="60">
        <f t="shared" si="0"/>
        <v>0.88235215686274515</v>
      </c>
      <c r="C48" s="60">
        <f>FH!A48*1</f>
        <v>0</v>
      </c>
      <c r="D48" s="60">
        <f>FH!B48*1</f>
        <v>0</v>
      </c>
      <c r="E48">
        <f t="shared" si="3"/>
        <v>46</v>
      </c>
      <c r="F48" s="60">
        <f>IF(FT!A48&lt;&gt;"",FT!A48*10,"")</f>
        <v>3.9225500000000002</v>
      </c>
      <c r="G48" s="60">
        <f>IF(FT!B48&lt;&gt;"",FT!B48*100,"")</f>
        <v>3.6091499999999996</v>
      </c>
      <c r="H48" s="60">
        <f t="shared" si="1"/>
        <v>1</v>
      </c>
      <c r="I48" t="str">
        <f>IF(FT!B48&lt;&gt;"",FT!E48,"")</f>
        <v>2 [18.665265]</v>
      </c>
      <c r="J48">
        <f>IF(FT!B48&lt;&gt;"",FT!C48,"")</f>
        <v>18.665299999999998</v>
      </c>
    </row>
    <row r="49" spans="1:10">
      <c r="A49" s="60">
        <f t="shared" si="2"/>
        <v>47</v>
      </c>
      <c r="B49" s="60">
        <f t="shared" si="0"/>
        <v>0.90153372549019617</v>
      </c>
      <c r="C49" s="60">
        <f>FH!A49*1</f>
        <v>67412</v>
      </c>
      <c r="D49" s="60">
        <f>FH!B49*1</f>
        <v>67412</v>
      </c>
      <c r="E49">
        <f t="shared" si="3"/>
        <v>47</v>
      </c>
      <c r="F49" s="60">
        <f>IF(FT!A49&lt;&gt;"",FT!A49*10,"")</f>
        <v>3.9269700000000003</v>
      </c>
      <c r="G49" s="60">
        <f>IF(FT!B49&lt;&gt;"",FT!B49*100,"")</f>
        <v>3.2012199999999997</v>
      </c>
      <c r="H49" s="60">
        <f t="shared" si="1"/>
        <v>1</v>
      </c>
      <c r="I49" t="str">
        <f>IF(FT!B49&lt;&gt;"",FT!E49,"")</f>
        <v>2 [19.058662]</v>
      </c>
      <c r="J49">
        <f>IF(FT!B49&lt;&gt;"",FT!C49,"")</f>
        <v>19.058700000000002</v>
      </c>
    </row>
    <row r="50" spans="1:10">
      <c r="A50" s="60">
        <f t="shared" si="2"/>
        <v>48</v>
      </c>
      <c r="B50" s="60">
        <f t="shared" si="0"/>
        <v>0.92071529411764708</v>
      </c>
      <c r="C50" s="60">
        <f>FH!A50*1</f>
        <v>0</v>
      </c>
      <c r="D50" s="60">
        <f>FH!B50*1</f>
        <v>0</v>
      </c>
      <c r="E50">
        <f t="shared" si="3"/>
        <v>48</v>
      </c>
      <c r="F50" s="60">
        <f>IF(FT!A50&lt;&gt;"",FT!A50*10,"")</f>
        <v>3.92882</v>
      </c>
      <c r="G50" s="60">
        <f>IF(FT!B50&lt;&gt;"",FT!B50*100,"")</f>
        <v>2.8512900000000001</v>
      </c>
      <c r="H50" s="60">
        <f t="shared" si="1"/>
        <v>1</v>
      </c>
      <c r="I50" t="str">
        <f>IF(FT!B50&lt;&gt;"",FT!E50,"")</f>
        <v>2 [19.470232]</v>
      </c>
      <c r="J50">
        <f>IF(FT!B50&lt;&gt;"",FT!C50,"")</f>
        <v>19.470199999999998</v>
      </c>
    </row>
    <row r="51" spans="1:10">
      <c r="A51" s="60">
        <f t="shared" si="2"/>
        <v>49</v>
      </c>
      <c r="B51" s="60">
        <f t="shared" si="0"/>
        <v>0.93989686274509809</v>
      </c>
      <c r="C51" s="60">
        <f>FH!A51*1</f>
        <v>64861</v>
      </c>
      <c r="D51" s="60">
        <f>FH!B51*1</f>
        <v>64861</v>
      </c>
      <c r="E51">
        <f t="shared" si="3"/>
        <v>49</v>
      </c>
      <c r="F51" s="60">
        <f>IF(FT!A51&lt;&gt;"",FT!A51*10,"")</f>
        <v>3.9313500000000001</v>
      </c>
      <c r="G51" s="60">
        <f>IF(FT!B51&lt;&gt;"",FT!B51*100,"")</f>
        <v>2.5026799999999998</v>
      </c>
      <c r="H51" s="60">
        <f t="shared" si="1"/>
        <v>1</v>
      </c>
      <c r="I51" t="str">
        <f>IF(FT!B51&lt;&gt;"",FT!E51,"")</f>
        <v>2 [19.886361]</v>
      </c>
      <c r="J51">
        <f>IF(FT!B51&lt;&gt;"",FT!C51,"")</f>
        <v>19.886399999999998</v>
      </c>
    </row>
    <row r="52" spans="1:10">
      <c r="A52" s="60">
        <f t="shared" si="2"/>
        <v>50</v>
      </c>
      <c r="B52" s="60">
        <f t="shared" si="0"/>
        <v>0.959078431372549</v>
      </c>
      <c r="C52" s="60">
        <f>FH!A52*1</f>
        <v>0</v>
      </c>
      <c r="D52" s="60">
        <f>FH!B52*1</f>
        <v>0</v>
      </c>
      <c r="E52">
        <f t="shared" si="3"/>
        <v>50</v>
      </c>
      <c r="F52" s="60">
        <f>IF(FT!A52&lt;&gt;"",FT!A52*10,"")</f>
        <v>3.9323399999999999</v>
      </c>
      <c r="G52" s="60">
        <f>IF(FT!B52&lt;&gt;"",FT!B52*100,"")</f>
        <v>2.2998699999999999</v>
      </c>
      <c r="H52" s="60">
        <f t="shared" si="1"/>
        <v>1</v>
      </c>
      <c r="I52" t="str">
        <f>IF(FT!B52&lt;&gt;"",FT!E52,"")</f>
        <v>2 [20.280838]</v>
      </c>
      <c r="J52">
        <f>IF(FT!B52&lt;&gt;"",FT!C52,"")</f>
        <v>20.280799999999999</v>
      </c>
    </row>
    <row r="53" spans="1:10">
      <c r="A53" s="60">
        <f t="shared" si="2"/>
        <v>51</v>
      </c>
      <c r="B53" s="60">
        <f t="shared" si="0"/>
        <v>0.97826000000000013</v>
      </c>
      <c r="C53" s="60">
        <f>FH!A53*1</f>
        <v>0</v>
      </c>
      <c r="D53" s="60">
        <f>FH!B53*1</f>
        <v>0</v>
      </c>
      <c r="E53">
        <f t="shared" si="3"/>
        <v>51</v>
      </c>
      <c r="F53" s="60">
        <f>IF(FT!A53&lt;&gt;"",FT!A53*10,"")</f>
        <v>3.9317899999999999</v>
      </c>
      <c r="G53" s="60">
        <f>IF(FT!B53&lt;&gt;"",FT!B53*100,"")</f>
        <v>2.17754</v>
      </c>
      <c r="H53" s="60">
        <f t="shared" si="1"/>
        <v>1</v>
      </c>
      <c r="I53" t="str">
        <f>IF(FT!B53&lt;&gt;"",FT!E53,"")</f>
        <v>2 [20.682674]</v>
      </c>
      <c r="J53">
        <f>IF(FT!B53&lt;&gt;"",FT!C53,"")</f>
        <v>20.682700000000001</v>
      </c>
    </row>
    <row r="54" spans="1:10">
      <c r="A54" s="60">
        <f t="shared" si="2"/>
        <v>52</v>
      </c>
      <c r="B54" s="60">
        <f t="shared" si="0"/>
        <v>0.99744156862745104</v>
      </c>
      <c r="C54" s="60">
        <f>FH!A54*1</f>
        <v>71661</v>
      </c>
      <c r="D54" s="60">
        <f>FH!B54*1</f>
        <v>71661</v>
      </c>
      <c r="E54">
        <f t="shared" si="3"/>
        <v>52</v>
      </c>
      <c r="F54" s="60">
        <f>IF(FT!A54&lt;&gt;"",FT!A54*10,"")</f>
        <v>3.9310400000000003</v>
      </c>
      <c r="G54" s="60">
        <f>IF(FT!B54&lt;&gt;"",FT!B54*100,"")</f>
        <v>2.0075699999999999</v>
      </c>
      <c r="H54" s="60">
        <f t="shared" si="1"/>
        <v>1</v>
      </c>
      <c r="I54" t="str">
        <f>IF(FT!B54&lt;&gt;"",FT!E54,"")</f>
        <v>2 [21.089029]</v>
      </c>
      <c r="J54">
        <f>IF(FT!B54&lt;&gt;"",FT!C54,"")</f>
        <v>21.088999999999999</v>
      </c>
    </row>
    <row r="55" spans="1:10">
      <c r="A55" s="60">
        <f t="shared" si="2"/>
        <v>53</v>
      </c>
      <c r="B55" s="60">
        <f t="shared" si="0"/>
        <v>1.0166231372549022</v>
      </c>
      <c r="C55" s="60">
        <f>FH!A55*1</f>
        <v>0</v>
      </c>
      <c r="D55" s="60">
        <f>FH!B55*1</f>
        <v>0</v>
      </c>
      <c r="E55">
        <f t="shared" si="3"/>
        <v>53</v>
      </c>
      <c r="F55" s="60">
        <f>IF(FT!A55&lt;&gt;"",FT!A55*10,"")</f>
        <v>3.9293</v>
      </c>
      <c r="G55" s="60">
        <f>IF(FT!B55&lt;&gt;"",FT!B55*100,"")</f>
        <v>1.8469099999999998</v>
      </c>
      <c r="H55" s="60">
        <f t="shared" si="1"/>
        <v>1</v>
      </c>
      <c r="I55" t="str">
        <f>IF(FT!B55&lt;&gt;"",FT!E55,"")</f>
        <v>2 [21.498021]</v>
      </c>
      <c r="J55">
        <f>IF(FT!B55&lt;&gt;"",FT!C55,"")</f>
        <v>21.498000000000001</v>
      </c>
    </row>
    <row r="56" spans="1:10">
      <c r="A56" s="60">
        <f t="shared" si="2"/>
        <v>54</v>
      </c>
      <c r="B56" s="60">
        <f t="shared" si="0"/>
        <v>1.035804705882353</v>
      </c>
      <c r="C56" s="60">
        <f>FH!A56*1</f>
        <v>0</v>
      </c>
      <c r="D56" s="60">
        <f>FH!B56*1</f>
        <v>0</v>
      </c>
      <c r="E56">
        <f t="shared" si="3"/>
        <v>54</v>
      </c>
      <c r="F56" s="60">
        <f>IF(FT!A56&lt;&gt;"",FT!A56*10,"")</f>
        <v>3.9267400000000001</v>
      </c>
      <c r="G56" s="60">
        <f>IF(FT!B56&lt;&gt;"",FT!B56*100,"")</f>
        <v>1.70242</v>
      </c>
      <c r="H56" s="60">
        <f t="shared" si="1"/>
        <v>1</v>
      </c>
      <c r="I56" t="str">
        <f>IF(FT!B56&lt;&gt;"",FT!E56,"")</f>
        <v>2 [21.903341]</v>
      </c>
      <c r="J56">
        <f>IF(FT!B56&lt;&gt;"",FT!C56,"")</f>
        <v>21.903300000000002</v>
      </c>
    </row>
    <row r="57" spans="1:10">
      <c r="A57" s="60">
        <f t="shared" si="2"/>
        <v>55</v>
      </c>
      <c r="B57" s="60">
        <f t="shared" si="0"/>
        <v>1.054986274509804</v>
      </c>
      <c r="C57" s="60">
        <f>FH!A57*1</f>
        <v>70746</v>
      </c>
      <c r="D57" s="60">
        <f>FH!B57*1</f>
        <v>70746</v>
      </c>
      <c r="E57">
        <f t="shared" si="3"/>
        <v>55</v>
      </c>
      <c r="F57" s="60">
        <f>IF(FT!A57&lt;&gt;"",FT!A57*10,"")</f>
        <v>3.9240999999999997</v>
      </c>
      <c r="G57" s="60">
        <f>IF(FT!B57&lt;&gt;"",FT!B57*100,"")</f>
        <v>1.51369</v>
      </c>
      <c r="H57" s="60">
        <f t="shared" si="1"/>
        <v>1</v>
      </c>
      <c r="I57" t="str">
        <f>IF(FT!B57&lt;&gt;"",FT!E57,"")</f>
        <v>2 [22.309639]</v>
      </c>
      <c r="J57">
        <f>IF(FT!B57&lt;&gt;"",FT!C57,"")</f>
        <v>22.3096</v>
      </c>
    </row>
    <row r="58" spans="1:10">
      <c r="A58" s="60">
        <f t="shared" si="2"/>
        <v>56</v>
      </c>
      <c r="B58" s="60">
        <f t="shared" si="0"/>
        <v>1.074167843137255</v>
      </c>
      <c r="C58" s="60">
        <f>FH!A58*1</f>
        <v>0</v>
      </c>
      <c r="D58" s="60">
        <f>FH!B58*1</f>
        <v>0</v>
      </c>
      <c r="E58">
        <f t="shared" si="3"/>
        <v>56</v>
      </c>
      <c r="F58" s="60">
        <f>IF(FT!A58&lt;&gt;"",FT!A58*10,"")</f>
        <v>3.9236399999999998</v>
      </c>
      <c r="G58" s="60">
        <f>IF(FT!B58&lt;&gt;"",FT!B58*100,"")</f>
        <v>1.25244</v>
      </c>
      <c r="H58" s="60">
        <f t="shared" si="1"/>
        <v>1</v>
      </c>
      <c r="I58" t="str">
        <f>IF(FT!B58&lt;&gt;"",FT!E58,"")</f>
        <v>2 [22.717148]</v>
      </c>
      <c r="J58">
        <f>IF(FT!B58&lt;&gt;"",FT!C58,"")</f>
        <v>22.717099999999999</v>
      </c>
    </row>
    <row r="59" spans="1:10">
      <c r="A59" s="60">
        <f t="shared" si="2"/>
        <v>57</v>
      </c>
      <c r="B59" s="60">
        <f t="shared" si="0"/>
        <v>1.093349411764706</v>
      </c>
      <c r="C59" s="60">
        <f>FH!A59*1</f>
        <v>67118</v>
      </c>
      <c r="D59" s="60">
        <f>FH!B59*1</f>
        <v>67118</v>
      </c>
      <c r="E59">
        <f t="shared" si="3"/>
        <v>57</v>
      </c>
      <c r="F59" s="60">
        <f>IF(FT!A59&lt;&gt;"",FT!A59*10,"")</f>
        <v>3.9203799999999998</v>
      </c>
      <c r="G59" s="60">
        <f>IF(FT!B59&lt;&gt;"",FT!B59*100,"")</f>
        <v>1.03989</v>
      </c>
      <c r="H59" s="60">
        <f t="shared" si="1"/>
        <v>1</v>
      </c>
      <c r="I59" t="str">
        <f>IF(FT!B59&lt;&gt;"",FT!E59,"")</f>
        <v>2 [23.116775]</v>
      </c>
      <c r="J59">
        <f>IF(FT!B59&lt;&gt;"",FT!C59,"")</f>
        <v>23.116800000000001</v>
      </c>
    </row>
    <row r="60" spans="1:10">
      <c r="A60" s="60">
        <f t="shared" si="2"/>
        <v>58</v>
      </c>
      <c r="B60" s="60">
        <f t="shared" si="0"/>
        <v>1.1125309803921568</v>
      </c>
      <c r="C60" s="60">
        <f>FH!A60*1</f>
        <v>0</v>
      </c>
      <c r="D60" s="60">
        <f>FH!B60*1</f>
        <v>0</v>
      </c>
      <c r="E60">
        <f t="shared" si="3"/>
        <v>58</v>
      </c>
      <c r="F60" s="60">
        <f>IF(FT!A60&lt;&gt;"",FT!A60*10,"")</f>
        <v>3.9119100000000002</v>
      </c>
      <c r="G60" s="60">
        <f>IF(FT!B60&lt;&gt;"",FT!B60*100,"")</f>
        <v>0.94662500000000005</v>
      </c>
      <c r="H60" s="60">
        <f t="shared" si="1"/>
        <v>1</v>
      </c>
      <c r="I60" t="str">
        <f>IF(FT!B60&lt;&gt;"",FT!E60,"")</f>
        <v>2 [23.526561]</v>
      </c>
      <c r="J60">
        <f>IF(FT!B60&lt;&gt;"",FT!C60,"")</f>
        <v>23.526599999999998</v>
      </c>
    </row>
    <row r="61" spans="1:10">
      <c r="A61" s="60">
        <f t="shared" si="2"/>
        <v>59</v>
      </c>
      <c r="B61" s="60">
        <f t="shared" si="0"/>
        <v>1.131712549019608</v>
      </c>
      <c r="C61" s="60">
        <f>FH!A61*1</f>
        <v>0</v>
      </c>
      <c r="D61" s="60">
        <f>FH!B61*1</f>
        <v>0</v>
      </c>
      <c r="E61">
        <f t="shared" si="3"/>
        <v>59</v>
      </c>
      <c r="F61" s="60">
        <f>IF(FT!A61&lt;&gt;"",FT!A61*10,"")</f>
        <v>3.9044800000000004</v>
      </c>
      <c r="G61" s="60">
        <f>IF(FT!B61&lt;&gt;"",FT!B61*100,"")</f>
        <v>0.83165900000000004</v>
      </c>
      <c r="H61" s="60">
        <f t="shared" si="1"/>
        <v>1</v>
      </c>
      <c r="I61" t="str">
        <f>IF(FT!B61&lt;&gt;"",FT!E61,"")</f>
        <v>2 [23.931848]</v>
      </c>
      <c r="J61">
        <f>IF(FT!B61&lt;&gt;"",FT!C61,"")</f>
        <v>23.931799999999999</v>
      </c>
    </row>
    <row r="62" spans="1:10">
      <c r="A62" s="60">
        <f t="shared" si="2"/>
        <v>60</v>
      </c>
      <c r="B62" s="60">
        <f t="shared" si="0"/>
        <v>1.1508941176470588</v>
      </c>
      <c r="C62" s="60">
        <f>FH!A62*1</f>
        <v>71452</v>
      </c>
      <c r="D62" s="60">
        <f>FH!B62*1</f>
        <v>71452</v>
      </c>
      <c r="E62">
        <f t="shared" si="3"/>
        <v>60</v>
      </c>
      <c r="F62" s="60">
        <f>IF(FT!A62&lt;&gt;"",FT!A62*10,"")</f>
        <v>3.8985300000000001</v>
      </c>
      <c r="G62" s="60">
        <f>IF(FT!B62&lt;&gt;"",FT!B62*100,"")</f>
        <v>0.61427299999999996</v>
      </c>
      <c r="H62" s="60">
        <f t="shared" si="1"/>
        <v>1</v>
      </c>
      <c r="I62" t="str">
        <f>IF(FT!B62&lt;&gt;"",FT!E62,"")</f>
        <v>2 [24.337686]</v>
      </c>
      <c r="J62">
        <f>IF(FT!B62&lt;&gt;"",FT!C62,"")</f>
        <v>24.337700000000002</v>
      </c>
    </row>
    <row r="63" spans="1:10">
      <c r="A63" s="60">
        <f t="shared" si="2"/>
        <v>61</v>
      </c>
      <c r="B63" s="60">
        <f t="shared" si="0"/>
        <v>1.1700756862745099</v>
      </c>
      <c r="C63" s="60">
        <f>FH!A63*1</f>
        <v>0</v>
      </c>
      <c r="D63" s="60">
        <f>FH!B63*1</f>
        <v>0</v>
      </c>
      <c r="E63">
        <f t="shared" si="3"/>
        <v>61</v>
      </c>
      <c r="F63" s="60">
        <f>IF(FT!A63&lt;&gt;"",FT!A63*10,"")</f>
        <v>3.8927800000000001</v>
      </c>
      <c r="G63" s="60">
        <f>IF(FT!B63&lt;&gt;"",FT!B63*100,"")</f>
        <v>0.42222500000000002</v>
      </c>
      <c r="H63" s="60">
        <f t="shared" si="1"/>
        <v>1</v>
      </c>
      <c r="I63" t="str">
        <f>IF(FT!B63&lt;&gt;"",FT!E63,"")</f>
        <v>2 [24.741237]</v>
      </c>
      <c r="J63">
        <f>IF(FT!B63&lt;&gt;"",FT!C63,"")</f>
        <v>24.741199999999999</v>
      </c>
    </row>
    <row r="64" spans="1:10">
      <c r="A64" s="60">
        <f t="shared" si="2"/>
        <v>62</v>
      </c>
      <c r="B64" s="60">
        <f t="shared" si="0"/>
        <v>1.1892572549019609</v>
      </c>
      <c r="C64" s="60">
        <f>FH!A64*1</f>
        <v>70186</v>
      </c>
      <c r="D64" s="60">
        <f>FH!B64*1</f>
        <v>70186</v>
      </c>
      <c r="E64">
        <f t="shared" si="3"/>
        <v>62</v>
      </c>
      <c r="F64" s="60">
        <f>IF(FT!A64&lt;&gt;"",FT!A64*10,"")</f>
        <v>3.8854199999999999</v>
      </c>
      <c r="G64" s="60">
        <f>IF(FT!B64&lt;&gt;"",FT!B64*100,"")</f>
        <v>0.28712799999999999</v>
      </c>
      <c r="H64" s="60">
        <f t="shared" si="1"/>
        <v>1</v>
      </c>
      <c r="I64" t="str">
        <f>IF(FT!B64&lt;&gt;"",FT!E64,"")</f>
        <v>2 [25.153963]</v>
      </c>
      <c r="J64">
        <f>IF(FT!B64&lt;&gt;"",FT!C64,"")</f>
        <v>25.154</v>
      </c>
    </row>
    <row r="65" spans="1:10">
      <c r="A65" s="60">
        <f t="shared" si="2"/>
        <v>63</v>
      </c>
      <c r="B65" s="60">
        <f t="shared" si="0"/>
        <v>1.2084388235294119</v>
      </c>
      <c r="C65" s="60">
        <f>FH!A65*1</f>
        <v>0</v>
      </c>
      <c r="D65" s="60">
        <f>FH!B65*1</f>
        <v>0</v>
      </c>
      <c r="E65">
        <f t="shared" si="3"/>
        <v>63</v>
      </c>
      <c r="F65" s="60">
        <f>IF(FT!A65&lt;&gt;"",FT!A65*10,"")</f>
        <v>3.8813300000000002</v>
      </c>
      <c r="G65" s="60">
        <f>IF(FT!B65&lt;&gt;"",FT!B65*100,"")</f>
        <v>9.2349200000000006E-2</v>
      </c>
      <c r="H65" s="60">
        <f t="shared" si="1"/>
        <v>1</v>
      </c>
      <c r="I65" t="str">
        <f>IF(FT!B65&lt;&gt;"",FT!E65,"")</f>
        <v>2 [25.558165]</v>
      </c>
      <c r="J65">
        <f>IF(FT!B65&lt;&gt;"",FT!C65,"")</f>
        <v>25.558199999999999</v>
      </c>
    </row>
    <row r="66" spans="1:10">
      <c r="A66" s="60">
        <f t="shared" si="2"/>
        <v>64</v>
      </c>
      <c r="B66" s="60">
        <f t="shared" si="0"/>
        <v>1.2276203921568627</v>
      </c>
      <c r="C66" s="60">
        <f>FH!A66*1</f>
        <v>0</v>
      </c>
      <c r="D66" s="60">
        <f>FH!B66*1</f>
        <v>0</v>
      </c>
      <c r="E66">
        <f t="shared" si="3"/>
        <v>64</v>
      </c>
      <c r="F66" s="60">
        <f>IF(FT!A66&lt;&gt;"",FT!A66*10,"")</f>
        <v>3.8771800000000001</v>
      </c>
      <c r="G66" s="60">
        <f>IF(FT!B66&lt;&gt;"",FT!B66*100,"")</f>
        <v>0</v>
      </c>
      <c r="H66" s="60">
        <f t="shared" si="1"/>
        <v>1</v>
      </c>
      <c r="I66" t="str">
        <f>IF(FT!B66&lt;&gt;"",FT!E66,"")</f>
        <v>2 [25.972397]</v>
      </c>
      <c r="J66">
        <f>IF(FT!B66&lt;&gt;"",FT!C66,"")</f>
        <v>25.9724</v>
      </c>
    </row>
    <row r="67" spans="1:10">
      <c r="A67" s="60">
        <f t="shared" si="2"/>
        <v>65</v>
      </c>
      <c r="B67" s="60">
        <f t="shared" ref="B67:B130" si="8">A67/255*$L$2</f>
        <v>1.2468019607843137</v>
      </c>
      <c r="C67" s="60">
        <f>FH!A67*1</f>
        <v>59214</v>
      </c>
      <c r="D67" s="60">
        <f>FH!B67*1</f>
        <v>59214</v>
      </c>
      <c r="E67">
        <f t="shared" si="3"/>
        <v>65</v>
      </c>
      <c r="F67" s="60">
        <f>IF(FT!A67&lt;&gt;"",FT!A67*10,"")</f>
        <v>3.8730199999999999</v>
      </c>
      <c r="G67" s="60">
        <f>IF(FT!B67&lt;&gt;"",FT!B67*100,"")</f>
        <v>0</v>
      </c>
      <c r="H67" s="60">
        <f t="shared" ref="H67:H130" si="9">(IF(F67&lt;&gt;"",1,""))</f>
        <v>1</v>
      </c>
      <c r="I67" t="str">
        <f>IF(FT!B67&lt;&gt;"",FT!E67,"")</f>
        <v>2 [26.374802]</v>
      </c>
      <c r="J67">
        <f>IF(FT!B67&lt;&gt;"",FT!C67,"")</f>
        <v>26.3748</v>
      </c>
    </row>
    <row r="68" spans="1:10">
      <c r="A68" s="60">
        <f t="shared" ref="A68:A131" si="10">A67+1</f>
        <v>66</v>
      </c>
      <c r="B68" s="60">
        <f t="shared" si="8"/>
        <v>1.265983529411765</v>
      </c>
      <c r="C68" s="60">
        <f>FH!A68*1</f>
        <v>0</v>
      </c>
      <c r="D68" s="60">
        <f>FH!B68*1</f>
        <v>0</v>
      </c>
      <c r="E68">
        <f t="shared" ref="E68:E131" si="11">E67+1</f>
        <v>66</v>
      </c>
      <c r="F68" s="60">
        <f>IF(FT!A68&lt;&gt;"",FT!A68*10,"")</f>
        <v>3.8690099999999998</v>
      </c>
      <c r="G68" s="60">
        <f>IF(FT!B68&lt;&gt;"",FT!B68*100,"")</f>
        <v>0</v>
      </c>
      <c r="H68" s="60">
        <f t="shared" si="9"/>
        <v>1</v>
      </c>
      <c r="I68" t="str">
        <f>IF(FT!B68&lt;&gt;"",FT!E68,"")</f>
        <v>2 [26.773946]</v>
      </c>
      <c r="J68">
        <f>IF(FT!B68&lt;&gt;"",FT!C68,"")</f>
        <v>26.773900000000001</v>
      </c>
    </row>
    <row r="69" spans="1:10">
      <c r="A69" s="60">
        <f t="shared" si="10"/>
        <v>67</v>
      </c>
      <c r="B69" s="60">
        <f t="shared" si="8"/>
        <v>1.2851650980392157</v>
      </c>
      <c r="C69" s="60">
        <f>FH!A69*1</f>
        <v>55317</v>
      </c>
      <c r="D69" s="60">
        <f>FH!B69*1</f>
        <v>55317</v>
      </c>
      <c r="E69">
        <f t="shared" si="11"/>
        <v>67</v>
      </c>
      <c r="F69" s="60">
        <f>IF(FT!A69&lt;&gt;"",FT!A69*10,"")</f>
        <v>3.8642300000000001</v>
      </c>
      <c r="G69" s="60">
        <f>IF(FT!B69&lt;&gt;"",FT!B69*100,"")</f>
        <v>0</v>
      </c>
      <c r="H69" s="60">
        <f t="shared" si="9"/>
        <v>1</v>
      </c>
      <c r="I69" t="str">
        <f>IF(FT!B69&lt;&gt;"",FT!E69,"")</f>
        <v>2 [27.187059]</v>
      </c>
      <c r="J69">
        <f>IF(FT!B69&lt;&gt;"",FT!C69,"")</f>
        <v>27.187100000000001</v>
      </c>
    </row>
    <row r="70" spans="1:10">
      <c r="A70" s="60">
        <f t="shared" si="10"/>
        <v>68</v>
      </c>
      <c r="B70" s="60">
        <f t="shared" si="8"/>
        <v>1.3043466666666668</v>
      </c>
      <c r="C70" s="60">
        <f>FH!A70*1</f>
        <v>0</v>
      </c>
      <c r="D70" s="60">
        <f>FH!B70*1</f>
        <v>0</v>
      </c>
      <c r="E70">
        <f t="shared" si="11"/>
        <v>68</v>
      </c>
      <c r="F70" s="60">
        <f>IF(FT!A70&lt;&gt;"",FT!A70*10,"")</f>
        <v>3.8610899999999999</v>
      </c>
      <c r="G70" s="60">
        <f>IF(FT!B70&lt;&gt;"",FT!B70*100,"")</f>
        <v>0</v>
      </c>
      <c r="H70" s="60">
        <f t="shared" si="9"/>
        <v>1</v>
      </c>
      <c r="I70" t="str">
        <f>IF(FT!B70&lt;&gt;"",FT!E70,"")</f>
        <v>2 [27.583883]</v>
      </c>
      <c r="J70">
        <f>IF(FT!B70&lt;&gt;"",FT!C70,"")</f>
        <v>27.5839</v>
      </c>
    </row>
    <row r="71" spans="1:10">
      <c r="A71" s="60">
        <f t="shared" si="10"/>
        <v>69</v>
      </c>
      <c r="B71" s="60">
        <f t="shared" si="8"/>
        <v>1.3235282352941176</v>
      </c>
      <c r="C71" s="60">
        <f>FH!A71*1</f>
        <v>0</v>
      </c>
      <c r="D71" s="60">
        <f>FH!B71*1</f>
        <v>0</v>
      </c>
      <c r="E71">
        <f t="shared" si="11"/>
        <v>69</v>
      </c>
      <c r="F71" s="60">
        <f>IF(FT!A71&lt;&gt;"",FT!A71*10,"")</f>
        <v>3.8557200000000003</v>
      </c>
      <c r="G71" s="60">
        <f>IF(FT!B71&lt;&gt;"",FT!B71*100,"")</f>
        <v>7.18477E-2</v>
      </c>
      <c r="H71" s="60">
        <f t="shared" si="9"/>
        <v>1</v>
      </c>
      <c r="I71" t="str">
        <f>IF(FT!B71&lt;&gt;"",FT!E71,"")</f>
        <v>2 [27.989048]</v>
      </c>
      <c r="J71">
        <f>IF(FT!B71&lt;&gt;"",FT!C71,"")</f>
        <v>27.989000000000001</v>
      </c>
    </row>
    <row r="72" spans="1:10">
      <c r="A72" s="60">
        <f t="shared" si="10"/>
        <v>70</v>
      </c>
      <c r="B72" s="60">
        <f t="shared" si="8"/>
        <v>1.3427098039215688</v>
      </c>
      <c r="C72" s="60">
        <f>FH!A72*1</f>
        <v>49111</v>
      </c>
      <c r="D72" s="60">
        <f>FH!B72*1</f>
        <v>49111</v>
      </c>
      <c r="E72">
        <f t="shared" si="11"/>
        <v>70</v>
      </c>
      <c r="F72" s="60">
        <f>IF(FT!A72&lt;&gt;"",FT!A72*10,"")</f>
        <v>3.8517099999999997</v>
      </c>
      <c r="G72" s="60">
        <f>IF(FT!B72&lt;&gt;"",FT!B72*100,"")</f>
        <v>0.25383600000000001</v>
      </c>
      <c r="H72" s="60">
        <f t="shared" si="9"/>
        <v>1</v>
      </c>
      <c r="I72" t="str">
        <f>IF(FT!B72&lt;&gt;"",FT!E72,"")</f>
        <v>2 [28.391029]</v>
      </c>
      <c r="J72">
        <f>IF(FT!B72&lt;&gt;"",FT!C72,"")</f>
        <v>28.390999999999998</v>
      </c>
    </row>
    <row r="73" spans="1:10">
      <c r="A73" s="60">
        <f t="shared" si="10"/>
        <v>71</v>
      </c>
      <c r="B73" s="60">
        <f t="shared" si="8"/>
        <v>1.3618913725490198</v>
      </c>
      <c r="C73" s="60">
        <f>FH!A73*1</f>
        <v>0</v>
      </c>
      <c r="D73" s="60">
        <f>FH!B73*1</f>
        <v>0</v>
      </c>
      <c r="E73">
        <f t="shared" si="11"/>
        <v>71</v>
      </c>
      <c r="F73" s="60">
        <f>IF(FT!A73&lt;&gt;"",FT!A73*10,"")</f>
        <v>3.8582999999999998</v>
      </c>
      <c r="G73" s="60">
        <f>IF(FT!B73&lt;&gt;"",FT!B73*100,"")</f>
        <v>1.7167399999999999E-2</v>
      </c>
      <c r="H73" s="60">
        <f t="shared" si="9"/>
        <v>1</v>
      </c>
      <c r="I73" t="str">
        <f>IF(FT!B73&lt;&gt;"",FT!E73,"")</f>
        <v>2 [28.797068]</v>
      </c>
      <c r="J73">
        <f>IF(FT!B73&lt;&gt;"",FT!C73,"")</f>
        <v>28.7971</v>
      </c>
    </row>
    <row r="74" spans="1:10">
      <c r="A74" s="60">
        <f t="shared" si="10"/>
        <v>72</v>
      </c>
      <c r="B74" s="60">
        <f t="shared" si="8"/>
        <v>1.3810729411764706</v>
      </c>
      <c r="C74" s="60">
        <f>FH!A74*1</f>
        <v>0</v>
      </c>
      <c r="D74" s="60">
        <f>FH!B74*1</f>
        <v>0</v>
      </c>
      <c r="E74">
        <f t="shared" si="11"/>
        <v>72</v>
      </c>
      <c r="F74" s="60">
        <f>IF(FT!A74&lt;&gt;"",FT!A74*10,"")</f>
        <v>3.8618700000000001</v>
      </c>
      <c r="G74" s="60">
        <f>IF(FT!B74&lt;&gt;"",FT!B74*100,"")</f>
        <v>0.12997900000000001</v>
      </c>
      <c r="H74" s="60">
        <f t="shared" si="9"/>
        <v>1</v>
      </c>
      <c r="I74" t="str">
        <f>IF(FT!B74&lt;&gt;"",FT!E74,"")</f>
        <v>2 [29.207762]</v>
      </c>
      <c r="J74">
        <f>IF(FT!B74&lt;&gt;"",FT!C74,"")</f>
        <v>29.207799999999999</v>
      </c>
    </row>
    <row r="75" spans="1:10">
      <c r="A75" s="60">
        <f t="shared" si="10"/>
        <v>73</v>
      </c>
      <c r="B75" s="60">
        <f t="shared" si="8"/>
        <v>1.4002545098039216</v>
      </c>
      <c r="C75" s="60">
        <f>FH!A75*1</f>
        <v>49400</v>
      </c>
      <c r="D75" s="60">
        <f>FH!B75*1</f>
        <v>49400</v>
      </c>
      <c r="E75">
        <f t="shared" si="11"/>
        <v>73</v>
      </c>
      <c r="F75" s="60">
        <f>IF(FT!A75&lt;&gt;"",FT!A75*10,"")</f>
        <v>3.88042</v>
      </c>
      <c r="G75" s="60">
        <f>IF(FT!B75&lt;&gt;"",FT!B75*100,"")</f>
        <v>0</v>
      </c>
      <c r="H75" s="60">
        <f t="shared" si="9"/>
        <v>1</v>
      </c>
      <c r="I75" t="str">
        <f>IF(FT!B75&lt;&gt;"",FT!E75,"")</f>
        <v>2 [29.623108]</v>
      </c>
      <c r="J75">
        <f>IF(FT!B75&lt;&gt;"",FT!C75,"")</f>
        <v>29.623100000000001</v>
      </c>
    </row>
    <row r="76" spans="1:10">
      <c r="A76" s="60">
        <f t="shared" si="10"/>
        <v>74</v>
      </c>
      <c r="B76" s="60">
        <f t="shared" si="8"/>
        <v>1.4194360784313726</v>
      </c>
      <c r="C76" s="60">
        <f>FH!A76*1</f>
        <v>0</v>
      </c>
      <c r="D76" s="60">
        <f>FH!B76*1</f>
        <v>0</v>
      </c>
      <c r="E76">
        <f t="shared" si="11"/>
        <v>74</v>
      </c>
      <c r="F76" s="60">
        <f>IF(FT!A76&lt;&gt;"",FT!A76*10,"")</f>
        <v>3.8696700000000002</v>
      </c>
      <c r="G76" s="60">
        <f>IF(FT!B76&lt;&gt;"",FT!B76*100,"")</f>
        <v>0.39615700000000004</v>
      </c>
      <c r="H76" s="60">
        <f t="shared" si="9"/>
        <v>1</v>
      </c>
      <c r="I76" t="str">
        <f>IF(FT!B76&lt;&gt;"",FT!E76,"")</f>
        <v>2 [30.022006]</v>
      </c>
      <c r="J76">
        <f>IF(FT!B76&lt;&gt;"",FT!C76,"")</f>
        <v>30.021999999999998</v>
      </c>
    </row>
    <row r="77" spans="1:10">
      <c r="A77" s="60">
        <f t="shared" si="10"/>
        <v>75</v>
      </c>
      <c r="B77" s="60">
        <f t="shared" si="8"/>
        <v>1.4386176470588237</v>
      </c>
      <c r="C77" s="60">
        <f>FH!A77*1</f>
        <v>44842</v>
      </c>
      <c r="D77" s="60">
        <f>FH!B77*1</f>
        <v>44842</v>
      </c>
      <c r="E77">
        <f t="shared" si="11"/>
        <v>75</v>
      </c>
      <c r="F77" s="60" t="str">
        <f>IF(FT!A77&lt;&gt;"",FT!A77*10,"")</f>
        <v/>
      </c>
      <c r="G77" s="60" t="str">
        <f>IF(FT!B77&lt;&gt;"",FT!B77*100,"")</f>
        <v/>
      </c>
      <c r="H77" s="60" t="str">
        <f t="shared" si="9"/>
        <v/>
      </c>
      <c r="I77" t="str">
        <f>IF(FT!B77&lt;&gt;"",FT!E77,"")</f>
        <v/>
      </c>
      <c r="J77" t="str">
        <f>IF(FT!B77&lt;&gt;"",FT!C77,"")</f>
        <v/>
      </c>
    </row>
    <row r="78" spans="1:10">
      <c r="A78" s="60">
        <f t="shared" si="10"/>
        <v>76</v>
      </c>
      <c r="B78" s="60">
        <f t="shared" si="8"/>
        <v>1.4577992156862745</v>
      </c>
      <c r="C78" s="60">
        <f>FH!A78*1</f>
        <v>0</v>
      </c>
      <c r="D78" s="60">
        <f>FH!B78*1</f>
        <v>0</v>
      </c>
      <c r="E78">
        <f t="shared" si="11"/>
        <v>76</v>
      </c>
      <c r="F78" s="60" t="str">
        <f>IF(FT!A78&lt;&gt;"",FT!A78*10,"")</f>
        <v/>
      </c>
      <c r="G78" s="60" t="str">
        <f>IF(FT!B78&lt;&gt;"",FT!B78*100,"")</f>
        <v/>
      </c>
      <c r="H78" s="60" t="str">
        <f t="shared" si="9"/>
        <v/>
      </c>
      <c r="I78" t="str">
        <f>IF(FT!B78&lt;&gt;"",FT!E78,"")</f>
        <v/>
      </c>
      <c r="J78" t="str">
        <f>IF(FT!B78&lt;&gt;"",FT!C78,"")</f>
        <v/>
      </c>
    </row>
    <row r="79" spans="1:10">
      <c r="A79" s="60">
        <f t="shared" si="10"/>
        <v>77</v>
      </c>
      <c r="B79" s="60">
        <f t="shared" si="8"/>
        <v>1.4769807843137255</v>
      </c>
      <c r="C79" s="60">
        <f>FH!A79*1</f>
        <v>0</v>
      </c>
      <c r="D79" s="60">
        <f>FH!B79*1</f>
        <v>0</v>
      </c>
      <c r="E79">
        <f t="shared" si="11"/>
        <v>77</v>
      </c>
      <c r="F79" s="60" t="str">
        <f>IF(FT!A79&lt;&gt;"",FT!A79*10,"")</f>
        <v/>
      </c>
      <c r="G79" s="60" t="str">
        <f>IF(FT!B79&lt;&gt;"",FT!B79*100,"")</f>
        <v/>
      </c>
      <c r="H79" s="60" t="str">
        <f t="shared" si="9"/>
        <v/>
      </c>
      <c r="I79" t="str">
        <f>IF(FT!B79&lt;&gt;"",FT!E79,"")</f>
        <v/>
      </c>
      <c r="J79" t="str">
        <f>IF(FT!B79&lt;&gt;"",FT!C79,"")</f>
        <v/>
      </c>
    </row>
    <row r="80" spans="1:10">
      <c r="A80" s="60">
        <f t="shared" si="10"/>
        <v>78</v>
      </c>
      <c r="B80" s="60">
        <f t="shared" si="8"/>
        <v>1.4961623529411767</v>
      </c>
      <c r="C80" s="60">
        <f>FH!A80*1</f>
        <v>38706</v>
      </c>
      <c r="D80" s="60">
        <f>FH!B80*1</f>
        <v>38706</v>
      </c>
      <c r="E80">
        <f t="shared" si="11"/>
        <v>78</v>
      </c>
      <c r="F80" s="60" t="str">
        <f>IF(FT!A80&lt;&gt;"",FT!A80*10,"")</f>
        <v/>
      </c>
      <c r="G80" s="60" t="str">
        <f>IF(FT!B80&lt;&gt;"",FT!B80*100,"")</f>
        <v/>
      </c>
      <c r="H80" s="60" t="str">
        <f t="shared" si="9"/>
        <v/>
      </c>
      <c r="I80" t="str">
        <f>IF(FT!B80&lt;&gt;"",FT!E80,"")</f>
        <v/>
      </c>
      <c r="J80" t="str">
        <f>IF(FT!B80&lt;&gt;"",FT!C80,"")</f>
        <v/>
      </c>
    </row>
    <row r="81" spans="1:10">
      <c r="A81" s="60">
        <f t="shared" si="10"/>
        <v>79</v>
      </c>
      <c r="B81" s="60">
        <f t="shared" si="8"/>
        <v>1.5153439215686275</v>
      </c>
      <c r="C81" s="60">
        <f>FH!A81*1</f>
        <v>0</v>
      </c>
      <c r="D81" s="60">
        <f>FH!B81*1</f>
        <v>0</v>
      </c>
      <c r="E81">
        <f t="shared" si="11"/>
        <v>79</v>
      </c>
      <c r="F81" s="60" t="str">
        <f>IF(FT!A81&lt;&gt;"",FT!A81*10,"")</f>
        <v/>
      </c>
      <c r="G81" s="60" t="str">
        <f>IF(FT!B81&lt;&gt;"",FT!B81*100,"")</f>
        <v/>
      </c>
      <c r="H81" s="60" t="str">
        <f t="shared" si="9"/>
        <v/>
      </c>
      <c r="I81" t="str">
        <f>IF(FT!B81&lt;&gt;"",FT!E81,"")</f>
        <v/>
      </c>
      <c r="J81" t="str">
        <f>IF(FT!B81&lt;&gt;"",FT!C81,"")</f>
        <v/>
      </c>
    </row>
    <row r="82" spans="1:10">
      <c r="A82" s="60">
        <f t="shared" si="10"/>
        <v>80</v>
      </c>
      <c r="B82" s="60">
        <f t="shared" si="8"/>
        <v>1.5345254901960785</v>
      </c>
      <c r="C82" s="60">
        <f>FH!A82*1</f>
        <v>35730</v>
      </c>
      <c r="D82" s="60">
        <f>FH!B82*1</f>
        <v>35730</v>
      </c>
      <c r="E82">
        <f t="shared" si="11"/>
        <v>80</v>
      </c>
      <c r="F82" s="60" t="str">
        <f>IF(FT!A82&lt;&gt;"",FT!A82*10,"")</f>
        <v/>
      </c>
      <c r="G82" s="60" t="str">
        <f>IF(FT!B82&lt;&gt;"",FT!B82*100,"")</f>
        <v/>
      </c>
      <c r="H82" s="60" t="str">
        <f t="shared" si="9"/>
        <v/>
      </c>
      <c r="I82" t="str">
        <f>IF(FT!B82&lt;&gt;"",FT!E82,"")</f>
        <v/>
      </c>
      <c r="J82" t="str">
        <f>IF(FT!B82&lt;&gt;"",FT!C82,"")</f>
        <v/>
      </c>
    </row>
    <row r="83" spans="1:10">
      <c r="A83" s="60">
        <f t="shared" si="10"/>
        <v>81</v>
      </c>
      <c r="B83" s="60">
        <f t="shared" si="8"/>
        <v>1.5537070588235293</v>
      </c>
      <c r="C83" s="60">
        <f>FH!A83*1</f>
        <v>0</v>
      </c>
      <c r="D83" s="60">
        <f>FH!B83*1</f>
        <v>0</v>
      </c>
      <c r="E83">
        <f t="shared" si="11"/>
        <v>81</v>
      </c>
      <c r="F83" s="60" t="str">
        <f>IF(FT!A83&lt;&gt;"",FT!A83*10,"")</f>
        <v/>
      </c>
      <c r="G83" s="60" t="str">
        <f>IF(FT!B83&lt;&gt;"",FT!B83*100,"")</f>
        <v/>
      </c>
      <c r="H83" s="60" t="str">
        <f t="shared" si="9"/>
        <v/>
      </c>
      <c r="I83" t="str">
        <f>IF(FT!B83&lt;&gt;"",FT!E83,"")</f>
        <v/>
      </c>
      <c r="J83" t="str">
        <f>IF(FT!B83&lt;&gt;"",FT!C83,"")</f>
        <v/>
      </c>
    </row>
    <row r="84" spans="1:10">
      <c r="A84" s="60">
        <f t="shared" si="10"/>
        <v>82</v>
      </c>
      <c r="B84" s="60">
        <f t="shared" si="8"/>
        <v>1.5728886274509806</v>
      </c>
      <c r="C84" s="60">
        <f>FH!A84*1</f>
        <v>0</v>
      </c>
      <c r="D84" s="60">
        <f>FH!B84*1</f>
        <v>0</v>
      </c>
      <c r="E84">
        <f t="shared" si="11"/>
        <v>82</v>
      </c>
      <c r="F84" s="60" t="str">
        <f>IF(FT!A84&lt;&gt;"",FT!A84*10,"")</f>
        <v/>
      </c>
      <c r="G84" s="60" t="str">
        <f>IF(FT!B84&lt;&gt;"",FT!B84*100,"")</f>
        <v/>
      </c>
      <c r="H84" s="60" t="str">
        <f t="shared" si="9"/>
        <v/>
      </c>
      <c r="I84" t="str">
        <f>IF(FT!B84&lt;&gt;"",FT!E84,"")</f>
        <v/>
      </c>
      <c r="J84" t="str">
        <f>IF(FT!B84&lt;&gt;"",FT!C84,"")</f>
        <v/>
      </c>
    </row>
    <row r="85" spans="1:10">
      <c r="A85" s="60">
        <f t="shared" si="10"/>
        <v>83</v>
      </c>
      <c r="B85" s="60">
        <f t="shared" si="8"/>
        <v>1.5920701960784316</v>
      </c>
      <c r="C85" s="60">
        <f>FH!A85*1</f>
        <v>34275</v>
      </c>
      <c r="D85" s="60">
        <f>FH!B85*1</f>
        <v>34275</v>
      </c>
      <c r="E85">
        <f t="shared" si="11"/>
        <v>83</v>
      </c>
      <c r="F85" s="60" t="str">
        <f>IF(FT!A85&lt;&gt;"",FT!A85*10,"")</f>
        <v/>
      </c>
      <c r="G85" s="60" t="str">
        <f>IF(FT!B85&lt;&gt;"",FT!B85*100,"")</f>
        <v/>
      </c>
      <c r="H85" s="60" t="str">
        <f t="shared" si="9"/>
        <v/>
      </c>
      <c r="I85" t="str">
        <f>IF(FT!B85&lt;&gt;"",FT!E85,"")</f>
        <v/>
      </c>
      <c r="J85" t="str">
        <f>IF(FT!B85&lt;&gt;"",FT!C85,"")</f>
        <v/>
      </c>
    </row>
    <row r="86" spans="1:10">
      <c r="A86" s="60">
        <f t="shared" si="10"/>
        <v>84</v>
      </c>
      <c r="B86" s="60">
        <f t="shared" si="8"/>
        <v>1.6112517647058824</v>
      </c>
      <c r="C86" s="60">
        <f>FH!A86*1</f>
        <v>0</v>
      </c>
      <c r="D86" s="60">
        <f>FH!B86*1</f>
        <v>0</v>
      </c>
      <c r="E86">
        <f t="shared" si="11"/>
        <v>84</v>
      </c>
      <c r="F86" s="60" t="str">
        <f>IF(FT!A86&lt;&gt;"",FT!A86*10,"")</f>
        <v/>
      </c>
      <c r="G86" s="60" t="str">
        <f>IF(FT!B86&lt;&gt;"",FT!B86*100,"")</f>
        <v/>
      </c>
      <c r="H86" s="60" t="str">
        <f t="shared" si="9"/>
        <v/>
      </c>
      <c r="I86" t="str">
        <f>IF(FT!B86&lt;&gt;"",FT!E86,"")</f>
        <v/>
      </c>
      <c r="J86" t="str">
        <f>IF(FT!B86&lt;&gt;"",FT!C86,"")</f>
        <v/>
      </c>
    </row>
    <row r="87" spans="1:10">
      <c r="A87" s="60">
        <f t="shared" si="10"/>
        <v>85</v>
      </c>
      <c r="B87" s="60">
        <f t="shared" si="8"/>
        <v>1.6304333333333334</v>
      </c>
      <c r="C87" s="60">
        <f>FH!A87*1</f>
        <v>0</v>
      </c>
      <c r="D87" s="60">
        <f>FH!B87*1</f>
        <v>0</v>
      </c>
      <c r="E87">
        <f t="shared" si="11"/>
        <v>85</v>
      </c>
      <c r="F87" s="60" t="str">
        <f>IF(FT!A87&lt;&gt;"",FT!A87*10,"")</f>
        <v/>
      </c>
      <c r="G87" s="60" t="str">
        <f>IF(FT!B87&lt;&gt;"",FT!B87*100,"")</f>
        <v/>
      </c>
      <c r="H87" s="60" t="str">
        <f t="shared" si="9"/>
        <v/>
      </c>
      <c r="I87" t="str">
        <f>IF(FT!B87&lt;&gt;"",FT!E87,"")</f>
        <v/>
      </c>
      <c r="J87" t="str">
        <f>IF(FT!B87&lt;&gt;"",FT!C87,"")</f>
        <v/>
      </c>
    </row>
    <row r="88" spans="1:10">
      <c r="A88" s="60">
        <f t="shared" si="10"/>
        <v>86</v>
      </c>
      <c r="B88" s="60">
        <f t="shared" si="8"/>
        <v>1.6496149019607844</v>
      </c>
      <c r="C88" s="60">
        <f>FH!A88*1</f>
        <v>33103</v>
      </c>
      <c r="D88" s="60">
        <f>FH!B88*1</f>
        <v>33103</v>
      </c>
      <c r="E88">
        <f t="shared" si="11"/>
        <v>86</v>
      </c>
      <c r="F88" s="60" t="str">
        <f>IF(FT!A88&lt;&gt;"",FT!A88*10,"")</f>
        <v/>
      </c>
      <c r="G88" s="60" t="str">
        <f>IF(FT!B88&lt;&gt;"",FT!B88*100,"")</f>
        <v/>
      </c>
      <c r="H88" s="60" t="str">
        <f t="shared" si="9"/>
        <v/>
      </c>
      <c r="I88" t="str">
        <f>IF(FT!B88&lt;&gt;"",FT!E88,"")</f>
        <v/>
      </c>
      <c r="J88" t="str">
        <f>IF(FT!B88&lt;&gt;"",FT!C88,"")</f>
        <v/>
      </c>
    </row>
    <row r="89" spans="1:10">
      <c r="A89" s="60">
        <f t="shared" si="10"/>
        <v>87</v>
      </c>
      <c r="B89" s="60">
        <f t="shared" si="8"/>
        <v>1.6687964705882354</v>
      </c>
      <c r="C89" s="60">
        <f>FH!A89*1</f>
        <v>0</v>
      </c>
      <c r="D89" s="60">
        <f>FH!B89*1</f>
        <v>0</v>
      </c>
      <c r="E89">
        <f t="shared" si="11"/>
        <v>87</v>
      </c>
      <c r="F89" s="60" t="str">
        <f>IF(FT!A89&lt;&gt;"",FT!A89*10,"")</f>
        <v/>
      </c>
      <c r="G89" s="60" t="str">
        <f>IF(FT!B89&lt;&gt;"",FT!B89*100,"")</f>
        <v/>
      </c>
      <c r="H89" s="60" t="str">
        <f t="shared" si="9"/>
        <v/>
      </c>
      <c r="I89" t="str">
        <f>IF(FT!B89&lt;&gt;"",FT!E89,"")</f>
        <v/>
      </c>
      <c r="J89" t="str">
        <f>IF(FT!B89&lt;&gt;"",FT!C89,"")</f>
        <v/>
      </c>
    </row>
    <row r="90" spans="1:10">
      <c r="A90" s="60">
        <f t="shared" si="10"/>
        <v>88</v>
      </c>
      <c r="B90" s="60">
        <f t="shared" si="8"/>
        <v>1.6879780392156862</v>
      </c>
      <c r="C90" s="60">
        <f>FH!A90*1</f>
        <v>30177</v>
      </c>
      <c r="D90" s="60">
        <f>FH!B90*1</f>
        <v>30177</v>
      </c>
      <c r="E90">
        <f t="shared" si="11"/>
        <v>88</v>
      </c>
      <c r="F90" s="60" t="str">
        <f>IF(FT!A90&lt;&gt;"",FT!A90*10,"")</f>
        <v/>
      </c>
      <c r="G90" s="60" t="str">
        <f>IF(FT!B90&lt;&gt;"",FT!B90*100,"")</f>
        <v/>
      </c>
      <c r="H90" s="60" t="str">
        <f t="shared" si="9"/>
        <v/>
      </c>
      <c r="I90" t="str">
        <f>IF(FT!B90&lt;&gt;"",FT!E90,"")</f>
        <v/>
      </c>
      <c r="J90" t="str">
        <f>IF(FT!B90&lt;&gt;"",FT!C90,"")</f>
        <v/>
      </c>
    </row>
    <row r="91" spans="1:10">
      <c r="A91" s="60">
        <f t="shared" si="10"/>
        <v>89</v>
      </c>
      <c r="B91" s="60">
        <f t="shared" si="8"/>
        <v>1.7071596078431373</v>
      </c>
      <c r="C91" s="60">
        <f>FH!A91*1</f>
        <v>0</v>
      </c>
      <c r="D91" s="60">
        <f>FH!B91*1</f>
        <v>0</v>
      </c>
      <c r="E91">
        <f t="shared" si="11"/>
        <v>89</v>
      </c>
      <c r="F91" s="60" t="str">
        <f>IF(FT!A91&lt;&gt;"",FT!A91*10,"")</f>
        <v/>
      </c>
      <c r="G91" s="60" t="str">
        <f>IF(FT!B91&lt;&gt;"",FT!B91*100,"")</f>
        <v/>
      </c>
      <c r="H91" s="60" t="str">
        <f t="shared" si="9"/>
        <v/>
      </c>
      <c r="I91" t="str">
        <f>IF(FT!B91&lt;&gt;"",FT!E91,"")</f>
        <v/>
      </c>
      <c r="J91" t="str">
        <f>IF(FT!B91&lt;&gt;"",FT!C91,"")</f>
        <v/>
      </c>
    </row>
    <row r="92" spans="1:10">
      <c r="A92" s="60">
        <f t="shared" si="10"/>
        <v>90</v>
      </c>
      <c r="B92" s="60">
        <f t="shared" si="8"/>
        <v>1.7263411764705885</v>
      </c>
      <c r="C92" s="60">
        <f>FH!A92*1</f>
        <v>0</v>
      </c>
      <c r="D92" s="60">
        <f>FH!B92*1</f>
        <v>0</v>
      </c>
      <c r="E92">
        <f t="shared" si="11"/>
        <v>90</v>
      </c>
      <c r="F92" s="60" t="str">
        <f>IF(FT!A92&lt;&gt;"",FT!A92*10,"")</f>
        <v/>
      </c>
      <c r="G92" s="60" t="str">
        <f>IF(FT!B92&lt;&gt;"",FT!B92*100,"")</f>
        <v/>
      </c>
      <c r="H92" s="60" t="str">
        <f t="shared" si="9"/>
        <v/>
      </c>
      <c r="I92" t="str">
        <f>IF(FT!B92&lt;&gt;"",FT!E92,"")</f>
        <v/>
      </c>
      <c r="J92" t="str">
        <f>IF(FT!B92&lt;&gt;"",FT!C92,"")</f>
        <v/>
      </c>
    </row>
    <row r="93" spans="1:10">
      <c r="A93" s="60">
        <f t="shared" si="10"/>
        <v>91</v>
      </c>
      <c r="B93" s="60">
        <f t="shared" si="8"/>
        <v>1.7455227450980393</v>
      </c>
      <c r="C93" s="60">
        <f>FH!A93*1</f>
        <v>27967</v>
      </c>
      <c r="D93" s="60">
        <f>FH!B93*1</f>
        <v>27967</v>
      </c>
      <c r="E93">
        <f t="shared" si="11"/>
        <v>91</v>
      </c>
      <c r="F93" s="60" t="str">
        <f>IF(FT!A93&lt;&gt;"",FT!A93*10,"")</f>
        <v/>
      </c>
      <c r="G93" s="60" t="str">
        <f>IF(FT!B93&lt;&gt;"",FT!B93*100,"")</f>
        <v/>
      </c>
      <c r="H93" s="60" t="str">
        <f t="shared" si="9"/>
        <v/>
      </c>
      <c r="I93" t="str">
        <f>IF(FT!B93&lt;&gt;"",FT!E93,"")</f>
        <v/>
      </c>
      <c r="J93" t="str">
        <f>IF(FT!B93&lt;&gt;"",FT!C93,"")</f>
        <v/>
      </c>
    </row>
    <row r="94" spans="1:10">
      <c r="A94" s="60">
        <f t="shared" si="10"/>
        <v>92</v>
      </c>
      <c r="B94" s="60">
        <f t="shared" si="8"/>
        <v>1.7647043137254903</v>
      </c>
      <c r="C94" s="60">
        <f>FH!A94*1</f>
        <v>0</v>
      </c>
      <c r="D94" s="60">
        <f>FH!B94*1</f>
        <v>0</v>
      </c>
      <c r="E94">
        <f t="shared" si="11"/>
        <v>92</v>
      </c>
      <c r="F94" s="60" t="str">
        <f>IF(FT!A94&lt;&gt;"",FT!A94*10,"")</f>
        <v/>
      </c>
      <c r="G94" s="60" t="str">
        <f>IF(FT!B94&lt;&gt;"",FT!B94*100,"")</f>
        <v/>
      </c>
      <c r="H94" s="60" t="str">
        <f t="shared" si="9"/>
        <v/>
      </c>
      <c r="I94" t="str">
        <f>IF(FT!B94&lt;&gt;"",FT!E94,"")</f>
        <v/>
      </c>
      <c r="J94" t="str">
        <f>IF(FT!B94&lt;&gt;"",FT!C94,"")</f>
        <v/>
      </c>
    </row>
    <row r="95" spans="1:10">
      <c r="A95" s="60">
        <f t="shared" si="10"/>
        <v>93</v>
      </c>
      <c r="B95" s="60">
        <f t="shared" si="8"/>
        <v>1.7838858823529411</v>
      </c>
      <c r="C95" s="60">
        <f>FH!A95*1</f>
        <v>28462</v>
      </c>
      <c r="D95" s="60">
        <f>FH!B95*1</f>
        <v>28462</v>
      </c>
      <c r="E95">
        <f t="shared" si="11"/>
        <v>93</v>
      </c>
      <c r="F95" s="60" t="str">
        <f>IF(FT!A95&lt;&gt;"",FT!A95*10,"")</f>
        <v/>
      </c>
      <c r="G95" s="60" t="str">
        <f>IF(FT!B95&lt;&gt;"",FT!B95*100,"")</f>
        <v/>
      </c>
      <c r="H95" s="60" t="str">
        <f t="shared" si="9"/>
        <v/>
      </c>
      <c r="I95" t="str">
        <f>IF(FT!B95&lt;&gt;"",FT!E95,"")</f>
        <v/>
      </c>
      <c r="J95" t="str">
        <f>IF(FT!B95&lt;&gt;"",FT!C95,"")</f>
        <v/>
      </c>
    </row>
    <row r="96" spans="1:10">
      <c r="A96" s="60">
        <f t="shared" si="10"/>
        <v>94</v>
      </c>
      <c r="B96" s="60">
        <f t="shared" si="8"/>
        <v>1.8030674509803923</v>
      </c>
      <c r="C96" s="60">
        <f>FH!A96*1</f>
        <v>0</v>
      </c>
      <c r="D96" s="60">
        <f>FH!B96*1</f>
        <v>0</v>
      </c>
      <c r="E96">
        <f t="shared" si="11"/>
        <v>94</v>
      </c>
      <c r="F96" s="60" t="str">
        <f>IF(FT!A96&lt;&gt;"",FT!A96*10,"")</f>
        <v/>
      </c>
      <c r="G96" s="60" t="str">
        <f>IF(FT!B96&lt;&gt;"",FT!B96*100,"")</f>
        <v/>
      </c>
      <c r="H96" s="60" t="str">
        <f t="shared" si="9"/>
        <v/>
      </c>
      <c r="I96" t="str">
        <f>IF(FT!B96&lt;&gt;"",FT!E96,"")</f>
        <v/>
      </c>
      <c r="J96" t="str">
        <f>IF(FT!B96&lt;&gt;"",FT!C96,"")</f>
        <v/>
      </c>
    </row>
    <row r="97" spans="1:10">
      <c r="A97" s="60">
        <f t="shared" si="10"/>
        <v>95</v>
      </c>
      <c r="B97" s="60">
        <f t="shared" si="8"/>
        <v>1.8222490196078434</v>
      </c>
      <c r="C97" s="60">
        <f>FH!A97*1</f>
        <v>0</v>
      </c>
      <c r="D97" s="60">
        <f>FH!B97*1</f>
        <v>0</v>
      </c>
      <c r="E97">
        <f t="shared" si="11"/>
        <v>95</v>
      </c>
      <c r="F97" s="60" t="str">
        <f>IF(FT!A97&lt;&gt;"",FT!A97*10,"")</f>
        <v/>
      </c>
      <c r="G97" s="60" t="str">
        <f>IF(FT!B97&lt;&gt;"",FT!B97*100,"")</f>
        <v/>
      </c>
      <c r="H97" s="60" t="str">
        <f t="shared" si="9"/>
        <v/>
      </c>
      <c r="I97" t="str">
        <f>IF(FT!B97&lt;&gt;"",FT!E97,"")</f>
        <v/>
      </c>
      <c r="J97" t="str">
        <f>IF(FT!B97&lt;&gt;"",FT!C97,"")</f>
        <v/>
      </c>
    </row>
    <row r="98" spans="1:10">
      <c r="A98" s="60">
        <f t="shared" si="10"/>
        <v>96</v>
      </c>
      <c r="B98" s="60">
        <f t="shared" si="8"/>
        <v>1.8414305882352942</v>
      </c>
      <c r="C98" s="60">
        <f>FH!A98*1</f>
        <v>28239</v>
      </c>
      <c r="D98" s="60">
        <f>FH!B98*1</f>
        <v>28239</v>
      </c>
      <c r="E98">
        <f t="shared" si="11"/>
        <v>96</v>
      </c>
      <c r="F98" s="60" t="str">
        <f>IF(FT!A98&lt;&gt;"",FT!A98*10,"")</f>
        <v/>
      </c>
      <c r="G98" s="60" t="str">
        <f>IF(FT!B98&lt;&gt;"",FT!B98*100,"")</f>
        <v/>
      </c>
      <c r="H98" s="60" t="str">
        <f t="shared" si="9"/>
        <v/>
      </c>
      <c r="I98" t="str">
        <f>IF(FT!B98&lt;&gt;"",FT!E98,"")</f>
        <v/>
      </c>
      <c r="J98" t="str">
        <f>IF(FT!B98&lt;&gt;"",FT!C98,"")</f>
        <v/>
      </c>
    </row>
    <row r="99" spans="1:10">
      <c r="A99" s="60">
        <f t="shared" si="10"/>
        <v>97</v>
      </c>
      <c r="B99" s="60">
        <f t="shared" si="8"/>
        <v>1.8606121568627452</v>
      </c>
      <c r="C99" s="60">
        <f>FH!A99*1</f>
        <v>0</v>
      </c>
      <c r="D99" s="60">
        <f>FH!B99*1</f>
        <v>0</v>
      </c>
      <c r="E99">
        <f t="shared" si="11"/>
        <v>97</v>
      </c>
      <c r="F99" s="60" t="str">
        <f>IF(FT!A99&lt;&gt;"",FT!A99*10,"")</f>
        <v/>
      </c>
      <c r="G99" s="60" t="str">
        <f>IF(FT!B99&lt;&gt;"",FT!B99*100,"")</f>
        <v/>
      </c>
      <c r="H99" s="60" t="str">
        <f t="shared" si="9"/>
        <v/>
      </c>
      <c r="I99" t="str">
        <f>IF(FT!B99&lt;&gt;"",FT!E99,"")</f>
        <v/>
      </c>
      <c r="J99" t="str">
        <f>IF(FT!B99&lt;&gt;"",FT!C99,"")</f>
        <v/>
      </c>
    </row>
    <row r="100" spans="1:10">
      <c r="A100" s="60">
        <f t="shared" si="10"/>
        <v>98</v>
      </c>
      <c r="B100" s="60">
        <f t="shared" si="8"/>
        <v>1.8797937254901962</v>
      </c>
      <c r="C100" s="60">
        <f>FH!A100*1</f>
        <v>28043</v>
      </c>
      <c r="D100" s="60">
        <f>FH!B100*1</f>
        <v>28043</v>
      </c>
      <c r="E100">
        <f t="shared" si="11"/>
        <v>98</v>
      </c>
      <c r="F100" s="60" t="str">
        <f>IF(FT!A100&lt;&gt;"",FT!A100*10,"")</f>
        <v/>
      </c>
      <c r="G100" s="60" t="str">
        <f>IF(FT!B100&lt;&gt;"",FT!B100*100,"")</f>
        <v/>
      </c>
      <c r="H100" s="60" t="str">
        <f t="shared" si="9"/>
        <v/>
      </c>
      <c r="I100" t="str">
        <f>IF(FT!B100&lt;&gt;"",FT!E100,"")</f>
        <v/>
      </c>
      <c r="J100" t="str">
        <f>IF(FT!B100&lt;&gt;"",FT!C100,"")</f>
        <v/>
      </c>
    </row>
    <row r="101" spans="1:10">
      <c r="A101" s="60">
        <f t="shared" si="10"/>
        <v>99</v>
      </c>
      <c r="B101" s="60">
        <f t="shared" si="8"/>
        <v>1.8989752941176472</v>
      </c>
      <c r="C101" s="60">
        <f>FH!A101*1</f>
        <v>0</v>
      </c>
      <c r="D101" s="60">
        <f>FH!B101*1</f>
        <v>0</v>
      </c>
      <c r="E101">
        <f t="shared" si="11"/>
        <v>99</v>
      </c>
      <c r="F101" s="60" t="str">
        <f>IF(FT!A101&lt;&gt;"",FT!A101*10,"")</f>
        <v/>
      </c>
      <c r="G101" s="60" t="str">
        <f>IF(FT!B101&lt;&gt;"",FT!B101*100,"")</f>
        <v/>
      </c>
      <c r="H101" s="60" t="str">
        <f t="shared" si="9"/>
        <v/>
      </c>
      <c r="I101" t="str">
        <f>IF(FT!B101&lt;&gt;"",FT!E101,"")</f>
        <v/>
      </c>
      <c r="J101" t="str">
        <f>IF(FT!B101&lt;&gt;"",FT!C101,"")</f>
        <v/>
      </c>
    </row>
    <row r="102" spans="1:10">
      <c r="A102" s="60">
        <f t="shared" si="10"/>
        <v>100</v>
      </c>
      <c r="B102" s="60">
        <f t="shared" si="8"/>
        <v>1.918156862745098</v>
      </c>
      <c r="C102" s="60">
        <f>FH!A102*1</f>
        <v>0</v>
      </c>
      <c r="D102" s="60">
        <f>FH!B102*1</f>
        <v>0</v>
      </c>
      <c r="E102">
        <f t="shared" si="11"/>
        <v>100</v>
      </c>
      <c r="F102" s="60" t="str">
        <f>IF(FT!A102&lt;&gt;"",FT!A102*10,"")</f>
        <v/>
      </c>
      <c r="G102" s="60" t="str">
        <f>IF(FT!B102&lt;&gt;"",FT!B102*100,"")</f>
        <v/>
      </c>
      <c r="H102" s="60" t="str">
        <f t="shared" si="9"/>
        <v/>
      </c>
      <c r="I102" t="str">
        <f>IF(FT!B102&lt;&gt;"",FT!E102,"")</f>
        <v/>
      </c>
      <c r="J102" t="str">
        <f>IF(FT!B102&lt;&gt;"",FT!C102,"")</f>
        <v/>
      </c>
    </row>
    <row r="103" spans="1:10">
      <c r="A103" s="60">
        <f t="shared" si="10"/>
        <v>101</v>
      </c>
      <c r="B103" s="60">
        <f t="shared" si="8"/>
        <v>1.937338431372549</v>
      </c>
      <c r="C103" s="60">
        <f>FH!A103*1</f>
        <v>25170</v>
      </c>
      <c r="D103" s="60">
        <f>FH!B103*1</f>
        <v>25170</v>
      </c>
      <c r="E103">
        <f t="shared" si="11"/>
        <v>101</v>
      </c>
      <c r="F103" s="60" t="str">
        <f>IF(FT!A103&lt;&gt;"",FT!A103*10,"")</f>
        <v/>
      </c>
      <c r="G103" s="60" t="str">
        <f>IF(FT!B103&lt;&gt;"",FT!B103*100,"")</f>
        <v/>
      </c>
      <c r="H103" s="60" t="str">
        <f t="shared" si="9"/>
        <v/>
      </c>
      <c r="I103" t="str">
        <f>IF(FT!B103&lt;&gt;"",FT!E103,"")</f>
        <v/>
      </c>
      <c r="J103" t="str">
        <f>IF(FT!B103&lt;&gt;"",FT!C103,"")</f>
        <v/>
      </c>
    </row>
    <row r="104" spans="1:10">
      <c r="A104" s="60">
        <f t="shared" si="10"/>
        <v>102</v>
      </c>
      <c r="B104" s="60">
        <f t="shared" si="8"/>
        <v>1.9565200000000003</v>
      </c>
      <c r="C104" s="60">
        <f>FH!A104*1</f>
        <v>0</v>
      </c>
      <c r="D104" s="60">
        <f>FH!B104*1</f>
        <v>0</v>
      </c>
      <c r="E104">
        <f t="shared" si="11"/>
        <v>102</v>
      </c>
      <c r="F104" s="60" t="str">
        <f>IF(FT!A104&lt;&gt;"",FT!A104*10,"")</f>
        <v/>
      </c>
      <c r="G104" s="60" t="str">
        <f>IF(FT!B104&lt;&gt;"",FT!B104*100,"")</f>
        <v/>
      </c>
      <c r="H104" s="60" t="str">
        <f t="shared" si="9"/>
        <v/>
      </c>
      <c r="I104" t="str">
        <f>IF(FT!B104&lt;&gt;"",FT!E104,"")</f>
        <v/>
      </c>
      <c r="J104" t="str">
        <f>IF(FT!B104&lt;&gt;"",FT!C104,"")</f>
        <v/>
      </c>
    </row>
    <row r="105" spans="1:10">
      <c r="A105" s="60">
        <f t="shared" si="10"/>
        <v>103</v>
      </c>
      <c r="B105" s="60">
        <f t="shared" si="8"/>
        <v>1.9757015686274511</v>
      </c>
      <c r="C105" s="60">
        <f>FH!A105*1</f>
        <v>0</v>
      </c>
      <c r="D105" s="60">
        <f>FH!B105*1</f>
        <v>0</v>
      </c>
      <c r="E105">
        <f t="shared" si="11"/>
        <v>103</v>
      </c>
      <c r="F105" s="60" t="str">
        <f>IF(FT!A105&lt;&gt;"",FT!A105*10,"")</f>
        <v/>
      </c>
      <c r="G105" s="60" t="str">
        <f>IF(FT!B105&lt;&gt;"",FT!B105*100,"")</f>
        <v/>
      </c>
      <c r="H105" s="60" t="str">
        <f t="shared" si="9"/>
        <v/>
      </c>
      <c r="I105" t="str">
        <f>IF(FT!B105&lt;&gt;"",FT!E105,"")</f>
        <v/>
      </c>
      <c r="J105" t="str">
        <f>IF(FT!B105&lt;&gt;"",FT!C105,"")</f>
        <v/>
      </c>
    </row>
    <row r="106" spans="1:10">
      <c r="A106" s="60">
        <f t="shared" si="10"/>
        <v>104</v>
      </c>
      <c r="B106" s="60">
        <f t="shared" si="8"/>
        <v>1.9948831372549021</v>
      </c>
      <c r="C106" s="60">
        <f>FH!A106*1</f>
        <v>24471</v>
      </c>
      <c r="D106" s="60">
        <f>FH!B106*1</f>
        <v>24471</v>
      </c>
      <c r="E106">
        <f t="shared" si="11"/>
        <v>104</v>
      </c>
      <c r="F106" s="60" t="str">
        <f>IF(FT!A106&lt;&gt;"",FT!A106*10,"")</f>
        <v/>
      </c>
      <c r="G106" s="60" t="str">
        <f>IF(FT!B106&lt;&gt;"",FT!B106*100,"")</f>
        <v/>
      </c>
      <c r="H106" s="60" t="str">
        <f t="shared" si="9"/>
        <v/>
      </c>
      <c r="I106" t="str">
        <f>IF(FT!B106&lt;&gt;"",FT!E106,"")</f>
        <v/>
      </c>
      <c r="J106" t="str">
        <f>IF(FT!B106&lt;&gt;"",FT!C106,"")</f>
        <v/>
      </c>
    </row>
    <row r="107" spans="1:10">
      <c r="A107" s="60">
        <f t="shared" si="10"/>
        <v>105</v>
      </c>
      <c r="B107" s="60">
        <f t="shared" si="8"/>
        <v>2.0140647058823529</v>
      </c>
      <c r="C107" s="60">
        <f>FH!A107*1</f>
        <v>0</v>
      </c>
      <c r="D107" s="60">
        <f>FH!B107*1</f>
        <v>0</v>
      </c>
      <c r="E107">
        <f t="shared" si="11"/>
        <v>105</v>
      </c>
      <c r="F107" s="60" t="str">
        <f>IF(FT!A107&lt;&gt;"",FT!A107*10,"")</f>
        <v/>
      </c>
      <c r="G107" s="60" t="str">
        <f>IF(FT!B107&lt;&gt;"",FT!B107*100,"")</f>
        <v/>
      </c>
      <c r="H107" s="60" t="str">
        <f t="shared" si="9"/>
        <v/>
      </c>
      <c r="I107" t="str">
        <f>IF(FT!B107&lt;&gt;"",FT!E107,"")</f>
        <v/>
      </c>
      <c r="J107" t="str">
        <f>IF(FT!B107&lt;&gt;"",FT!C107,"")</f>
        <v/>
      </c>
    </row>
    <row r="108" spans="1:10">
      <c r="A108" s="60">
        <f t="shared" si="10"/>
        <v>106</v>
      </c>
      <c r="B108" s="60">
        <f t="shared" si="8"/>
        <v>2.0332462745098043</v>
      </c>
      <c r="C108" s="60">
        <f>FH!A108*1</f>
        <v>21914</v>
      </c>
      <c r="D108" s="60">
        <f>FH!B108*1</f>
        <v>21914</v>
      </c>
      <c r="E108">
        <f t="shared" si="11"/>
        <v>106</v>
      </c>
      <c r="F108" s="60" t="str">
        <f>IF(FT!A108&lt;&gt;"",FT!A108*10,"")</f>
        <v/>
      </c>
      <c r="G108" s="60" t="str">
        <f>IF(FT!B108&lt;&gt;"",FT!B108*100,"")</f>
        <v/>
      </c>
      <c r="H108" s="60" t="str">
        <f t="shared" si="9"/>
        <v/>
      </c>
      <c r="I108" t="str">
        <f>IF(FT!B108&lt;&gt;"",FT!E108,"")</f>
        <v/>
      </c>
      <c r="J108" t="str">
        <f>IF(FT!B108&lt;&gt;"",FT!C108,"")</f>
        <v/>
      </c>
    </row>
    <row r="109" spans="1:10">
      <c r="A109" s="60">
        <f t="shared" si="10"/>
        <v>107</v>
      </c>
      <c r="B109" s="60">
        <f t="shared" si="8"/>
        <v>2.0524278431372549</v>
      </c>
      <c r="C109" s="60">
        <f>FH!A109*1</f>
        <v>0</v>
      </c>
      <c r="D109" s="60">
        <f>FH!B109*1</f>
        <v>0</v>
      </c>
      <c r="E109">
        <f t="shared" si="11"/>
        <v>107</v>
      </c>
      <c r="F109" s="60" t="str">
        <f>IF(FT!A109&lt;&gt;"",FT!A109*10,"")</f>
        <v/>
      </c>
      <c r="G109" s="60" t="str">
        <f>IF(FT!B109&lt;&gt;"",FT!B109*100,"")</f>
        <v/>
      </c>
      <c r="H109" s="60" t="str">
        <f t="shared" si="9"/>
        <v/>
      </c>
      <c r="I109" t="str">
        <f>IF(FT!B109&lt;&gt;"",FT!E109,"")</f>
        <v/>
      </c>
      <c r="J109" t="str">
        <f>IF(FT!B109&lt;&gt;"",FT!C109,"")</f>
        <v/>
      </c>
    </row>
    <row r="110" spans="1:10">
      <c r="A110" s="60">
        <f t="shared" si="10"/>
        <v>108</v>
      </c>
      <c r="B110" s="60">
        <f t="shared" si="8"/>
        <v>2.0716094117647059</v>
      </c>
      <c r="C110" s="60">
        <f>FH!A110*1</f>
        <v>0</v>
      </c>
      <c r="D110" s="60">
        <f>FH!B110*1</f>
        <v>0</v>
      </c>
      <c r="E110">
        <f t="shared" si="11"/>
        <v>108</v>
      </c>
      <c r="F110" s="60" t="str">
        <f>IF(FT!A110&lt;&gt;"",FT!A110*10,"")</f>
        <v/>
      </c>
      <c r="G110" s="60" t="str">
        <f>IF(FT!B110&lt;&gt;"",FT!B110*100,"")</f>
        <v/>
      </c>
      <c r="H110" s="60" t="str">
        <f t="shared" si="9"/>
        <v/>
      </c>
      <c r="I110" t="str">
        <f>IF(FT!B110&lt;&gt;"",FT!E110,"")</f>
        <v/>
      </c>
      <c r="J110" t="str">
        <f>IF(FT!B110&lt;&gt;"",FT!C110,"")</f>
        <v/>
      </c>
    </row>
    <row r="111" spans="1:10">
      <c r="A111" s="60">
        <f t="shared" si="10"/>
        <v>109</v>
      </c>
      <c r="B111" s="60">
        <f t="shared" si="8"/>
        <v>2.0907909803921569</v>
      </c>
      <c r="C111" s="60">
        <f>FH!A111*1</f>
        <v>24184</v>
      </c>
      <c r="D111" s="60">
        <f>FH!B111*1</f>
        <v>24184</v>
      </c>
      <c r="E111">
        <f t="shared" si="11"/>
        <v>109</v>
      </c>
      <c r="F111" s="60" t="str">
        <f>IF(FT!A111&lt;&gt;"",FT!A111*10,"")</f>
        <v/>
      </c>
      <c r="G111" s="60" t="str">
        <f>IF(FT!B111&lt;&gt;"",FT!B111*100,"")</f>
        <v/>
      </c>
      <c r="H111" s="60" t="str">
        <f t="shared" si="9"/>
        <v/>
      </c>
      <c r="I111" t="str">
        <f>IF(FT!B111&lt;&gt;"",FT!E111,"")</f>
        <v/>
      </c>
      <c r="J111" t="str">
        <f>IF(FT!B111&lt;&gt;"",FT!C111,"")</f>
        <v/>
      </c>
    </row>
    <row r="112" spans="1:10">
      <c r="A112" s="60">
        <f t="shared" si="10"/>
        <v>110</v>
      </c>
      <c r="B112" s="60">
        <f t="shared" si="8"/>
        <v>2.109972549019608</v>
      </c>
      <c r="C112" s="60">
        <f>FH!A112*1</f>
        <v>0</v>
      </c>
      <c r="D112" s="60">
        <f>FH!B112*1</f>
        <v>0</v>
      </c>
      <c r="E112">
        <f t="shared" si="11"/>
        <v>110</v>
      </c>
      <c r="F112" s="60" t="str">
        <f>IF(FT!A112&lt;&gt;"",FT!A112*10,"")</f>
        <v/>
      </c>
      <c r="G112" s="60" t="str">
        <f>IF(FT!B112&lt;&gt;"",FT!B112*100,"")</f>
        <v/>
      </c>
      <c r="H112" s="60" t="str">
        <f t="shared" si="9"/>
        <v/>
      </c>
      <c r="I112" t="str">
        <f>IF(FT!B112&lt;&gt;"",FT!E112,"")</f>
        <v/>
      </c>
      <c r="J112" t="str">
        <f>IF(FT!B112&lt;&gt;"",FT!C112,"")</f>
        <v/>
      </c>
    </row>
    <row r="113" spans="1:10">
      <c r="A113" s="60">
        <f t="shared" si="10"/>
        <v>111</v>
      </c>
      <c r="B113" s="60">
        <f t="shared" si="8"/>
        <v>2.129154117647059</v>
      </c>
      <c r="C113" s="60">
        <f>FH!A113*1</f>
        <v>24770</v>
      </c>
      <c r="D113" s="60">
        <f>FH!B113*1</f>
        <v>24770</v>
      </c>
      <c r="E113">
        <f t="shared" si="11"/>
        <v>111</v>
      </c>
      <c r="F113" s="60" t="str">
        <f>IF(FT!A113&lt;&gt;"",FT!A113*10,"")</f>
        <v/>
      </c>
      <c r="G113" s="60" t="str">
        <f>IF(FT!B113&lt;&gt;"",FT!B113*100,"")</f>
        <v/>
      </c>
      <c r="H113" s="60" t="str">
        <f t="shared" si="9"/>
        <v/>
      </c>
      <c r="I113" t="str">
        <f>IF(FT!B113&lt;&gt;"",FT!E113,"")</f>
        <v/>
      </c>
      <c r="J113" t="str">
        <f>IF(FT!B113&lt;&gt;"",FT!C113,"")</f>
        <v/>
      </c>
    </row>
    <row r="114" spans="1:10">
      <c r="A114" s="60">
        <f t="shared" si="10"/>
        <v>112</v>
      </c>
      <c r="B114" s="60">
        <f t="shared" si="8"/>
        <v>2.14833568627451</v>
      </c>
      <c r="C114" s="60">
        <f>FH!A114*1</f>
        <v>0</v>
      </c>
      <c r="D114" s="60">
        <f>FH!B114*1</f>
        <v>0</v>
      </c>
      <c r="E114">
        <f t="shared" si="11"/>
        <v>112</v>
      </c>
      <c r="F114" s="60" t="str">
        <f>IF(FT!A114&lt;&gt;"",FT!A114*10,"")</f>
        <v/>
      </c>
      <c r="G114" s="60" t="str">
        <f>IF(FT!B114&lt;&gt;"",FT!B114*100,"")</f>
        <v/>
      </c>
      <c r="H114" s="60" t="str">
        <f t="shared" si="9"/>
        <v/>
      </c>
      <c r="I114" t="str">
        <f>IF(FT!B114&lt;&gt;"",FT!E114,"")</f>
        <v/>
      </c>
      <c r="J114" t="str">
        <f>IF(FT!B114&lt;&gt;"",FT!C114,"")</f>
        <v/>
      </c>
    </row>
    <row r="115" spans="1:10">
      <c r="A115" s="60">
        <f t="shared" si="10"/>
        <v>113</v>
      </c>
      <c r="B115" s="60">
        <f t="shared" si="8"/>
        <v>2.1675172549019606</v>
      </c>
      <c r="C115" s="60">
        <f>FH!A115*1</f>
        <v>0</v>
      </c>
      <c r="D115" s="60">
        <f>FH!B115*1</f>
        <v>0</v>
      </c>
      <c r="E115">
        <f t="shared" si="11"/>
        <v>113</v>
      </c>
      <c r="F115" s="60" t="str">
        <f>IF(FT!A115&lt;&gt;"",FT!A115*10,"")</f>
        <v/>
      </c>
      <c r="G115" s="60" t="str">
        <f>IF(FT!B115&lt;&gt;"",FT!B115*100,"")</f>
        <v/>
      </c>
      <c r="H115" s="60" t="str">
        <f t="shared" si="9"/>
        <v/>
      </c>
      <c r="I115" t="str">
        <f>IF(FT!B115&lt;&gt;"",FT!E115,"")</f>
        <v/>
      </c>
      <c r="J115" t="str">
        <f>IF(FT!B115&lt;&gt;"",FT!C115,"")</f>
        <v/>
      </c>
    </row>
    <row r="116" spans="1:10">
      <c r="A116" s="60">
        <f t="shared" si="10"/>
        <v>114</v>
      </c>
      <c r="B116" s="60">
        <f t="shared" si="8"/>
        <v>2.186698823529412</v>
      </c>
      <c r="C116" s="60">
        <f>FH!A116*1</f>
        <v>24949</v>
      </c>
      <c r="D116" s="60">
        <f>FH!B116*1</f>
        <v>24949</v>
      </c>
      <c r="E116">
        <f t="shared" si="11"/>
        <v>114</v>
      </c>
      <c r="F116" s="60" t="str">
        <f>IF(FT!A116&lt;&gt;"",FT!A116*10,"")</f>
        <v/>
      </c>
      <c r="G116" s="60" t="str">
        <f>IF(FT!B116&lt;&gt;"",FT!B116*100,"")</f>
        <v/>
      </c>
      <c r="H116" s="60" t="str">
        <f t="shared" si="9"/>
        <v/>
      </c>
      <c r="I116" t="str">
        <f>IF(FT!B116&lt;&gt;"",FT!E116,"")</f>
        <v/>
      </c>
      <c r="J116" t="str">
        <f>IF(FT!B116&lt;&gt;"",FT!C116,"")</f>
        <v/>
      </c>
    </row>
    <row r="117" spans="1:10">
      <c r="A117" s="60">
        <f t="shared" si="10"/>
        <v>115</v>
      </c>
      <c r="B117" s="60">
        <f t="shared" si="8"/>
        <v>2.205880392156863</v>
      </c>
      <c r="C117" s="60">
        <f>FH!A117*1</f>
        <v>0</v>
      </c>
      <c r="D117" s="60">
        <f>FH!B117*1</f>
        <v>0</v>
      </c>
      <c r="E117">
        <f t="shared" si="11"/>
        <v>115</v>
      </c>
      <c r="F117" s="60" t="str">
        <f>IF(FT!A117&lt;&gt;"",FT!A117*10,"")</f>
        <v/>
      </c>
      <c r="G117" s="60" t="str">
        <f>IF(FT!B117&lt;&gt;"",FT!B117*100,"")</f>
        <v/>
      </c>
      <c r="H117" s="60" t="str">
        <f t="shared" si="9"/>
        <v/>
      </c>
      <c r="I117" t="str">
        <f>IF(FT!B117&lt;&gt;"",FT!E117,"")</f>
        <v/>
      </c>
      <c r="J117" t="str">
        <f>IF(FT!B117&lt;&gt;"",FT!C117,"")</f>
        <v/>
      </c>
    </row>
    <row r="118" spans="1:10">
      <c r="A118" s="60">
        <f t="shared" si="10"/>
        <v>116</v>
      </c>
      <c r="B118" s="60">
        <f t="shared" si="8"/>
        <v>2.2250619607843136</v>
      </c>
      <c r="C118" s="60">
        <f>FH!A118*1</f>
        <v>24822</v>
      </c>
      <c r="D118" s="60">
        <f>FH!B118*1</f>
        <v>24822</v>
      </c>
      <c r="E118">
        <f t="shared" si="11"/>
        <v>116</v>
      </c>
      <c r="F118" s="60" t="str">
        <f>IF(FT!A118&lt;&gt;"",FT!A118*10,"")</f>
        <v/>
      </c>
      <c r="G118" s="60" t="str">
        <f>IF(FT!B118&lt;&gt;"",FT!B118*100,"")</f>
        <v/>
      </c>
      <c r="H118" s="60" t="str">
        <f t="shared" si="9"/>
        <v/>
      </c>
      <c r="I118" t="str">
        <f>IF(FT!B118&lt;&gt;"",FT!E118,"")</f>
        <v/>
      </c>
      <c r="J118" t="str">
        <f>IF(FT!B118&lt;&gt;"",FT!C118,"")</f>
        <v/>
      </c>
    </row>
    <row r="119" spans="1:10">
      <c r="A119" s="60">
        <f t="shared" si="10"/>
        <v>117</v>
      </c>
      <c r="B119" s="60">
        <f t="shared" si="8"/>
        <v>2.2442435294117646</v>
      </c>
      <c r="C119" s="60">
        <f>FH!A119*1</f>
        <v>0</v>
      </c>
      <c r="D119" s="60">
        <f>FH!B119*1</f>
        <v>0</v>
      </c>
      <c r="E119">
        <f t="shared" si="11"/>
        <v>117</v>
      </c>
      <c r="F119" s="60" t="str">
        <f>IF(FT!A119&lt;&gt;"",FT!A119*10,"")</f>
        <v/>
      </c>
      <c r="G119" s="60" t="str">
        <f>IF(FT!B119&lt;&gt;"",FT!B119*100,"")</f>
        <v/>
      </c>
      <c r="H119" s="60" t="str">
        <f t="shared" si="9"/>
        <v/>
      </c>
      <c r="I119" t="str">
        <f>IF(FT!B119&lt;&gt;"",FT!E119,"")</f>
        <v/>
      </c>
      <c r="J119" t="str">
        <f>IF(FT!B119&lt;&gt;"",FT!C119,"")</f>
        <v/>
      </c>
    </row>
    <row r="120" spans="1:10">
      <c r="A120" s="60">
        <f t="shared" si="10"/>
        <v>118</v>
      </c>
      <c r="B120" s="60">
        <f t="shared" si="8"/>
        <v>2.2634250980392161</v>
      </c>
      <c r="C120" s="60">
        <f>FH!A120*1</f>
        <v>0</v>
      </c>
      <c r="D120" s="60">
        <f>FH!B120*1</f>
        <v>0</v>
      </c>
      <c r="E120">
        <f t="shared" si="11"/>
        <v>118</v>
      </c>
      <c r="F120" s="60" t="str">
        <f>IF(FT!A120&lt;&gt;"",FT!A120*10,"")</f>
        <v/>
      </c>
      <c r="G120" s="60" t="str">
        <f>IF(FT!B120&lt;&gt;"",FT!B120*100,"")</f>
        <v/>
      </c>
      <c r="H120" s="60" t="str">
        <f t="shared" si="9"/>
        <v/>
      </c>
      <c r="I120" t="str">
        <f>IF(FT!B120&lt;&gt;"",FT!E120,"")</f>
        <v/>
      </c>
      <c r="J120" t="str">
        <f>IF(FT!B120&lt;&gt;"",FT!C120,"")</f>
        <v/>
      </c>
    </row>
    <row r="121" spans="1:10">
      <c r="A121" s="60">
        <f t="shared" si="10"/>
        <v>119</v>
      </c>
      <c r="B121" s="60">
        <f t="shared" si="8"/>
        <v>2.2826066666666667</v>
      </c>
      <c r="C121" s="60">
        <f>FH!A121*1</f>
        <v>29912</v>
      </c>
      <c r="D121" s="60">
        <f>FH!B121*1</f>
        <v>29912</v>
      </c>
      <c r="E121">
        <f t="shared" si="11"/>
        <v>119</v>
      </c>
      <c r="F121" s="60" t="str">
        <f>IF(FT!A121&lt;&gt;"",FT!A121*10,"")</f>
        <v/>
      </c>
      <c r="G121" s="60" t="str">
        <f>IF(FT!B121&lt;&gt;"",FT!B121*100,"")</f>
        <v/>
      </c>
      <c r="H121" s="60" t="str">
        <f t="shared" si="9"/>
        <v/>
      </c>
      <c r="I121" t="str">
        <f>IF(FT!B121&lt;&gt;"",FT!E121,"")</f>
        <v/>
      </c>
      <c r="J121" t="str">
        <f>IF(FT!B121&lt;&gt;"",FT!C121,"")</f>
        <v/>
      </c>
    </row>
    <row r="122" spans="1:10">
      <c r="A122" s="60">
        <f t="shared" si="10"/>
        <v>120</v>
      </c>
      <c r="B122" s="60">
        <f t="shared" si="8"/>
        <v>2.3017882352941177</v>
      </c>
      <c r="C122" s="60">
        <f>FH!A122*1</f>
        <v>0</v>
      </c>
      <c r="D122" s="60">
        <f>FH!B122*1</f>
        <v>0</v>
      </c>
      <c r="E122">
        <f t="shared" si="11"/>
        <v>120</v>
      </c>
      <c r="F122" s="60" t="str">
        <f>IF(FT!A122&lt;&gt;"",FT!A122*10,"")</f>
        <v/>
      </c>
      <c r="G122" s="60" t="str">
        <f>IF(FT!B122&lt;&gt;"",FT!B122*100,"")</f>
        <v/>
      </c>
      <c r="H122" s="60" t="str">
        <f t="shared" si="9"/>
        <v/>
      </c>
      <c r="I122" t="str">
        <f>IF(FT!B122&lt;&gt;"",FT!E122,"")</f>
        <v/>
      </c>
      <c r="J122" t="str">
        <f>IF(FT!B122&lt;&gt;"",FT!C122,"")</f>
        <v/>
      </c>
    </row>
    <row r="123" spans="1:10">
      <c r="A123" s="60">
        <f t="shared" si="10"/>
        <v>121</v>
      </c>
      <c r="B123" s="60">
        <f t="shared" si="8"/>
        <v>2.3209698039215687</v>
      </c>
      <c r="C123" s="60">
        <f>FH!A123*1</f>
        <v>0</v>
      </c>
      <c r="D123" s="60">
        <f>FH!B123*1</f>
        <v>0</v>
      </c>
      <c r="E123">
        <f t="shared" si="11"/>
        <v>121</v>
      </c>
      <c r="F123" s="60" t="str">
        <f>IF(FT!A123&lt;&gt;"",FT!A123*10,"")</f>
        <v/>
      </c>
      <c r="G123" s="60" t="str">
        <f>IF(FT!B123&lt;&gt;"",FT!B123*100,"")</f>
        <v/>
      </c>
      <c r="H123" s="60" t="str">
        <f t="shared" si="9"/>
        <v/>
      </c>
      <c r="I123" t="str">
        <f>IF(FT!B123&lt;&gt;"",FT!E123,"")</f>
        <v/>
      </c>
      <c r="J123" t="str">
        <f>IF(FT!B123&lt;&gt;"",FT!C123,"")</f>
        <v/>
      </c>
    </row>
    <row r="124" spans="1:10">
      <c r="A124" s="60">
        <f t="shared" si="10"/>
        <v>122</v>
      </c>
      <c r="B124" s="60">
        <f t="shared" si="8"/>
        <v>2.3401513725490197</v>
      </c>
      <c r="C124" s="60">
        <f>FH!A124*1</f>
        <v>30445</v>
      </c>
      <c r="D124" s="60">
        <f>FH!B124*1</f>
        <v>30445</v>
      </c>
      <c r="E124">
        <f t="shared" si="11"/>
        <v>122</v>
      </c>
      <c r="F124" s="60" t="str">
        <f>IF(FT!A124&lt;&gt;"",FT!A124*10,"")</f>
        <v/>
      </c>
      <c r="G124" s="60" t="str">
        <f>IF(FT!B124&lt;&gt;"",FT!B124*100,"")</f>
        <v/>
      </c>
      <c r="H124" s="60" t="str">
        <f t="shared" si="9"/>
        <v/>
      </c>
      <c r="I124" t="str">
        <f>IF(FT!B124&lt;&gt;"",FT!E124,"")</f>
        <v/>
      </c>
      <c r="J124" t="str">
        <f>IF(FT!B124&lt;&gt;"",FT!C124,"")</f>
        <v/>
      </c>
    </row>
    <row r="125" spans="1:10">
      <c r="A125" s="60">
        <f t="shared" si="10"/>
        <v>123</v>
      </c>
      <c r="B125" s="60">
        <f t="shared" si="8"/>
        <v>2.3593329411764707</v>
      </c>
      <c r="C125" s="60">
        <f>FH!A125*1</f>
        <v>0</v>
      </c>
      <c r="D125" s="60">
        <f>FH!B125*1</f>
        <v>0</v>
      </c>
      <c r="E125">
        <f t="shared" si="11"/>
        <v>123</v>
      </c>
      <c r="F125" s="60" t="str">
        <f>IF(FT!A125&lt;&gt;"",FT!A125*10,"")</f>
        <v/>
      </c>
      <c r="G125" s="60" t="str">
        <f>IF(FT!B125&lt;&gt;"",FT!B125*100,"")</f>
        <v/>
      </c>
      <c r="H125" s="60" t="str">
        <f t="shared" si="9"/>
        <v/>
      </c>
      <c r="I125" t="str">
        <f>IF(FT!B125&lt;&gt;"",FT!E125,"")</f>
        <v/>
      </c>
      <c r="J125" t="str">
        <f>IF(FT!B125&lt;&gt;"",FT!C125,"")</f>
        <v/>
      </c>
    </row>
    <row r="126" spans="1:10">
      <c r="A126" s="60">
        <f t="shared" si="10"/>
        <v>124</v>
      </c>
      <c r="B126" s="60">
        <f t="shared" si="8"/>
        <v>2.3785145098039218</v>
      </c>
      <c r="C126" s="60">
        <f>FH!A126*1</f>
        <v>27730</v>
      </c>
      <c r="D126" s="60">
        <f>FH!B126*1</f>
        <v>27730</v>
      </c>
      <c r="E126">
        <f t="shared" si="11"/>
        <v>124</v>
      </c>
      <c r="F126" s="60" t="str">
        <f>IF(FT!A126&lt;&gt;"",FT!A126*10,"")</f>
        <v/>
      </c>
      <c r="G126" s="60" t="str">
        <f>IF(FT!B126&lt;&gt;"",FT!B126*100,"")</f>
        <v/>
      </c>
      <c r="H126" s="60" t="str">
        <f t="shared" si="9"/>
        <v/>
      </c>
      <c r="I126" t="str">
        <f>IF(FT!B126&lt;&gt;"",FT!E126,"")</f>
        <v/>
      </c>
      <c r="J126" t="str">
        <f>IF(FT!B126&lt;&gt;"",FT!C126,"")</f>
        <v/>
      </c>
    </row>
    <row r="127" spans="1:10">
      <c r="A127" s="60">
        <f t="shared" si="10"/>
        <v>125</v>
      </c>
      <c r="B127" s="60">
        <f t="shared" si="8"/>
        <v>2.3976960784313723</v>
      </c>
      <c r="C127" s="60">
        <f>FH!A127*1</f>
        <v>0</v>
      </c>
      <c r="D127" s="60">
        <f>FH!B127*1</f>
        <v>0</v>
      </c>
      <c r="E127">
        <f t="shared" si="11"/>
        <v>125</v>
      </c>
      <c r="F127" s="60" t="str">
        <f>IF(FT!A127&lt;&gt;"",FT!A127*10,"")</f>
        <v/>
      </c>
      <c r="G127" s="60" t="str">
        <f>IF(FT!B127&lt;&gt;"",FT!B127*100,"")</f>
        <v/>
      </c>
      <c r="H127" s="60" t="str">
        <f t="shared" si="9"/>
        <v/>
      </c>
      <c r="I127" t="str">
        <f>IF(FT!B127&lt;&gt;"",FT!E127,"")</f>
        <v/>
      </c>
      <c r="J127" t="str">
        <f>IF(FT!B127&lt;&gt;"",FT!C127,"")</f>
        <v/>
      </c>
    </row>
    <row r="128" spans="1:10">
      <c r="A128" s="60">
        <f t="shared" si="10"/>
        <v>126</v>
      </c>
      <c r="B128" s="60">
        <f t="shared" si="8"/>
        <v>2.4168776470588238</v>
      </c>
      <c r="C128" s="60">
        <f>FH!A128*1</f>
        <v>0</v>
      </c>
      <c r="D128" s="60">
        <f>FH!B128*1</f>
        <v>0</v>
      </c>
      <c r="E128">
        <f t="shared" si="11"/>
        <v>126</v>
      </c>
      <c r="F128" s="60" t="str">
        <f>IF(FT!A128&lt;&gt;"",FT!A128*10,"")</f>
        <v/>
      </c>
      <c r="G128" s="60" t="str">
        <f>IF(FT!B128&lt;&gt;"",FT!B128*100,"")</f>
        <v/>
      </c>
      <c r="H128" s="60" t="str">
        <f t="shared" si="9"/>
        <v/>
      </c>
      <c r="I128" t="str">
        <f>IF(FT!B128&lt;&gt;"",FT!E128,"")</f>
        <v/>
      </c>
      <c r="J128" t="str">
        <f>IF(FT!B128&lt;&gt;"",FT!C128,"")</f>
        <v/>
      </c>
    </row>
    <row r="129" spans="1:10">
      <c r="A129" s="60">
        <f t="shared" si="10"/>
        <v>127</v>
      </c>
      <c r="B129" s="60">
        <f t="shared" si="8"/>
        <v>2.4360592156862748</v>
      </c>
      <c r="C129" s="60">
        <f>FH!A129*1</f>
        <v>25771</v>
      </c>
      <c r="D129" s="60">
        <f>FH!B129*1</f>
        <v>25771</v>
      </c>
      <c r="E129">
        <f t="shared" si="11"/>
        <v>127</v>
      </c>
      <c r="F129" s="60" t="str">
        <f>IF(FT!A129&lt;&gt;"",FT!A129*10,"")</f>
        <v/>
      </c>
      <c r="G129" s="60" t="str">
        <f>IF(FT!B129&lt;&gt;"",FT!B129*100,"")</f>
        <v/>
      </c>
      <c r="H129" s="60" t="str">
        <f t="shared" si="9"/>
        <v/>
      </c>
      <c r="I129" t="str">
        <f>IF(FT!B129&lt;&gt;"",FT!E129,"")</f>
        <v/>
      </c>
      <c r="J129" t="str">
        <f>IF(FT!B129&lt;&gt;"",FT!C129,"")</f>
        <v/>
      </c>
    </row>
    <row r="130" spans="1:10">
      <c r="A130" s="60">
        <f t="shared" si="10"/>
        <v>128</v>
      </c>
      <c r="B130" s="60">
        <f t="shared" si="8"/>
        <v>2.4552407843137254</v>
      </c>
      <c r="C130" s="60">
        <f>FH!A130*1</f>
        <v>0</v>
      </c>
      <c r="D130" s="60">
        <f>FH!B130*1</f>
        <v>0</v>
      </c>
      <c r="E130">
        <f t="shared" si="11"/>
        <v>128</v>
      </c>
      <c r="F130" s="60" t="str">
        <f>IF(FT!A130&lt;&gt;"",FT!A130*10,"")</f>
        <v/>
      </c>
      <c r="G130" s="60" t="str">
        <f>IF(FT!B130&lt;&gt;"",FT!B130*100,"")</f>
        <v/>
      </c>
      <c r="H130" s="60" t="str">
        <f t="shared" si="9"/>
        <v/>
      </c>
      <c r="I130" t="str">
        <f>IF(FT!B130&lt;&gt;"",FT!E130,"")</f>
        <v/>
      </c>
      <c r="J130" t="str">
        <f>IF(FT!B130&lt;&gt;"",FT!C130,"")</f>
        <v/>
      </c>
    </row>
    <row r="131" spans="1:10">
      <c r="A131" s="60">
        <f t="shared" si="10"/>
        <v>129</v>
      </c>
      <c r="B131" s="60">
        <f t="shared" ref="B131:B194" si="12">A131/255*$L$2</f>
        <v>2.4744223529411764</v>
      </c>
      <c r="C131" s="60">
        <f>FH!A131*1</f>
        <v>29122</v>
      </c>
      <c r="D131" s="60">
        <f>FH!B131*1</f>
        <v>29122</v>
      </c>
      <c r="E131">
        <f t="shared" si="11"/>
        <v>129</v>
      </c>
      <c r="F131" s="60" t="str">
        <f>IF(FT!A131&lt;&gt;"",FT!A131*10,"")</f>
        <v/>
      </c>
      <c r="G131" s="60" t="str">
        <f>IF(FT!B131&lt;&gt;"",FT!B131*100,"")</f>
        <v/>
      </c>
      <c r="H131" s="60" t="str">
        <f t="shared" ref="H131:H194" si="13">(IF(F131&lt;&gt;"",1,""))</f>
        <v/>
      </c>
      <c r="I131" t="str">
        <f>IF(FT!B131&lt;&gt;"",FT!E131,"")</f>
        <v/>
      </c>
      <c r="J131" t="str">
        <f>IF(FT!B131&lt;&gt;"",FT!C131,"")</f>
        <v/>
      </c>
    </row>
    <row r="132" spans="1:10">
      <c r="A132" s="60">
        <f t="shared" ref="A132:A195" si="14">A131+1</f>
        <v>130</v>
      </c>
      <c r="B132" s="60">
        <f t="shared" si="12"/>
        <v>2.4936039215686274</v>
      </c>
      <c r="C132" s="60">
        <f>FH!A132*1</f>
        <v>0</v>
      </c>
      <c r="D132" s="60">
        <f>FH!B132*1</f>
        <v>0</v>
      </c>
      <c r="E132">
        <f t="shared" ref="E132:E195" si="15">E131+1</f>
        <v>130</v>
      </c>
      <c r="F132" s="60" t="str">
        <f>IF(FT!A132&lt;&gt;"",FT!A132*10,"")</f>
        <v/>
      </c>
      <c r="G132" s="60" t="str">
        <f>IF(FT!B132&lt;&gt;"",FT!B132*100,"")</f>
        <v/>
      </c>
      <c r="H132" s="60" t="str">
        <f t="shared" si="13"/>
        <v/>
      </c>
      <c r="I132" t="str">
        <f>IF(FT!B132&lt;&gt;"",FT!E132,"")</f>
        <v/>
      </c>
      <c r="J132" t="str">
        <f>IF(FT!B132&lt;&gt;"",FT!C132,"")</f>
        <v/>
      </c>
    </row>
    <row r="133" spans="1:10">
      <c r="A133" s="60">
        <f t="shared" si="14"/>
        <v>131</v>
      </c>
      <c r="B133" s="60">
        <f t="shared" si="12"/>
        <v>2.5127854901960784</v>
      </c>
      <c r="C133" s="60">
        <f>FH!A133*1</f>
        <v>0</v>
      </c>
      <c r="D133" s="60">
        <f>FH!B133*1</f>
        <v>0</v>
      </c>
      <c r="E133">
        <f t="shared" si="15"/>
        <v>131</v>
      </c>
      <c r="F133" s="60" t="str">
        <f>IF(FT!A133&lt;&gt;"",FT!A133*10,"")</f>
        <v/>
      </c>
      <c r="G133" s="60" t="str">
        <f>IF(FT!B133&lt;&gt;"",FT!B133*100,"")</f>
        <v/>
      </c>
      <c r="H133" s="60" t="str">
        <f t="shared" si="13"/>
        <v/>
      </c>
      <c r="I133" t="str">
        <f>IF(FT!B133&lt;&gt;"",FT!E133,"")</f>
        <v/>
      </c>
      <c r="J133" t="str">
        <f>IF(FT!B133&lt;&gt;"",FT!C133,"")</f>
        <v/>
      </c>
    </row>
    <row r="134" spans="1:10">
      <c r="A134" s="60">
        <f t="shared" si="14"/>
        <v>132</v>
      </c>
      <c r="B134" s="60">
        <f t="shared" si="12"/>
        <v>2.5319670588235299</v>
      </c>
      <c r="C134" s="60">
        <f>FH!A134*1</f>
        <v>30137</v>
      </c>
      <c r="D134" s="60">
        <f>FH!B134*1</f>
        <v>30137</v>
      </c>
      <c r="E134">
        <f t="shared" si="15"/>
        <v>132</v>
      </c>
      <c r="F134" s="60" t="str">
        <f>IF(FT!A134&lt;&gt;"",FT!A134*10,"")</f>
        <v/>
      </c>
      <c r="G134" s="60" t="str">
        <f>IF(FT!B134&lt;&gt;"",FT!B134*100,"")</f>
        <v/>
      </c>
      <c r="H134" s="60" t="str">
        <f t="shared" si="13"/>
        <v/>
      </c>
      <c r="I134" t="str">
        <f>IF(FT!B134&lt;&gt;"",FT!E134,"")</f>
        <v/>
      </c>
      <c r="J134" t="str">
        <f>IF(FT!B134&lt;&gt;"",FT!C134,"")</f>
        <v/>
      </c>
    </row>
    <row r="135" spans="1:10">
      <c r="A135" s="60">
        <f t="shared" si="14"/>
        <v>133</v>
      </c>
      <c r="B135" s="60">
        <f t="shared" si="12"/>
        <v>2.5511486274509805</v>
      </c>
      <c r="C135" s="60">
        <f>FH!A135*1</f>
        <v>0</v>
      </c>
      <c r="D135" s="60">
        <f>FH!B135*1</f>
        <v>0</v>
      </c>
      <c r="E135">
        <f t="shared" si="15"/>
        <v>133</v>
      </c>
      <c r="F135" s="60" t="str">
        <f>IF(FT!A135&lt;&gt;"",FT!A135*10,"")</f>
        <v/>
      </c>
      <c r="G135" s="60" t="str">
        <f>IF(FT!B135&lt;&gt;"",FT!B135*100,"")</f>
        <v/>
      </c>
      <c r="H135" s="60" t="str">
        <f t="shared" si="13"/>
        <v/>
      </c>
      <c r="I135" t="str">
        <f>IF(FT!B135&lt;&gt;"",FT!E135,"")</f>
        <v/>
      </c>
      <c r="J135" t="str">
        <f>IF(FT!B135&lt;&gt;"",FT!C135,"")</f>
        <v/>
      </c>
    </row>
    <row r="136" spans="1:10">
      <c r="A136" s="60">
        <f t="shared" si="14"/>
        <v>134</v>
      </c>
      <c r="B136" s="60">
        <f t="shared" si="12"/>
        <v>2.5703301960784315</v>
      </c>
      <c r="C136" s="60">
        <f>FH!A136*1</f>
        <v>32322</v>
      </c>
      <c r="D136" s="60">
        <f>FH!B136*1</f>
        <v>32322</v>
      </c>
      <c r="E136">
        <f t="shared" si="15"/>
        <v>134</v>
      </c>
      <c r="F136" s="60" t="str">
        <f>IF(FT!A136&lt;&gt;"",FT!A136*10,"")</f>
        <v/>
      </c>
      <c r="G136" s="60" t="str">
        <f>IF(FT!B136&lt;&gt;"",FT!B136*100,"")</f>
        <v/>
      </c>
      <c r="H136" s="60" t="str">
        <f t="shared" si="13"/>
        <v/>
      </c>
      <c r="I136" t="str">
        <f>IF(FT!B136&lt;&gt;"",FT!E136,"")</f>
        <v/>
      </c>
      <c r="J136" t="str">
        <f>IF(FT!B136&lt;&gt;"",FT!C136,"")</f>
        <v/>
      </c>
    </row>
    <row r="137" spans="1:10">
      <c r="A137" s="60">
        <f t="shared" si="14"/>
        <v>135</v>
      </c>
      <c r="B137" s="60">
        <f t="shared" si="12"/>
        <v>2.5895117647058825</v>
      </c>
      <c r="C137" s="60">
        <f>FH!A137*1</f>
        <v>0</v>
      </c>
      <c r="D137" s="60">
        <f>FH!B137*1</f>
        <v>0</v>
      </c>
      <c r="E137">
        <f t="shared" si="15"/>
        <v>135</v>
      </c>
      <c r="F137" s="60" t="str">
        <f>IF(FT!A137&lt;&gt;"",FT!A137*10,"")</f>
        <v/>
      </c>
      <c r="G137" s="60" t="str">
        <f>IF(FT!B137&lt;&gt;"",FT!B137*100,"")</f>
        <v/>
      </c>
      <c r="H137" s="60" t="str">
        <f t="shared" si="13"/>
        <v/>
      </c>
      <c r="I137" t="str">
        <f>IF(FT!B137&lt;&gt;"",FT!E137,"")</f>
        <v/>
      </c>
      <c r="J137" t="str">
        <f>IF(FT!B137&lt;&gt;"",FT!C137,"")</f>
        <v/>
      </c>
    </row>
    <row r="138" spans="1:10">
      <c r="A138" s="60">
        <f t="shared" si="14"/>
        <v>136</v>
      </c>
      <c r="B138" s="60">
        <f t="shared" si="12"/>
        <v>2.6086933333333335</v>
      </c>
      <c r="C138" s="60">
        <f>FH!A138*1</f>
        <v>0</v>
      </c>
      <c r="D138" s="60">
        <f>FH!B138*1</f>
        <v>0</v>
      </c>
      <c r="E138">
        <f t="shared" si="15"/>
        <v>136</v>
      </c>
      <c r="F138" s="60" t="str">
        <f>IF(FT!A138&lt;&gt;"",FT!A138*10,"")</f>
        <v/>
      </c>
      <c r="G138" s="60" t="str">
        <f>IF(FT!B138&lt;&gt;"",FT!B138*100,"")</f>
        <v/>
      </c>
      <c r="H138" s="60" t="str">
        <f t="shared" si="13"/>
        <v/>
      </c>
      <c r="I138" t="str">
        <f>IF(FT!B138&lt;&gt;"",FT!E138,"")</f>
        <v/>
      </c>
      <c r="J138" t="str">
        <f>IF(FT!B138&lt;&gt;"",FT!C138,"")</f>
        <v/>
      </c>
    </row>
    <row r="139" spans="1:10">
      <c r="A139" s="60">
        <f t="shared" si="14"/>
        <v>137</v>
      </c>
      <c r="B139" s="60">
        <f t="shared" si="12"/>
        <v>2.6278749019607841</v>
      </c>
      <c r="C139" s="60">
        <f>FH!A139*1</f>
        <v>31141</v>
      </c>
      <c r="D139" s="60">
        <f>FH!B139*1</f>
        <v>31141</v>
      </c>
      <c r="E139">
        <f t="shared" si="15"/>
        <v>137</v>
      </c>
      <c r="F139" s="60" t="str">
        <f>IF(FT!A139&lt;&gt;"",FT!A139*10,"")</f>
        <v/>
      </c>
      <c r="G139" s="60" t="str">
        <f>IF(FT!B139&lt;&gt;"",FT!B139*100,"")</f>
        <v/>
      </c>
      <c r="H139" s="60" t="str">
        <f t="shared" si="13"/>
        <v/>
      </c>
      <c r="I139" t="str">
        <f>IF(FT!B139&lt;&gt;"",FT!E139,"")</f>
        <v/>
      </c>
      <c r="J139" t="str">
        <f>IF(FT!B139&lt;&gt;"",FT!C139,"")</f>
        <v/>
      </c>
    </row>
    <row r="140" spans="1:10">
      <c r="A140" s="60">
        <f t="shared" si="14"/>
        <v>138</v>
      </c>
      <c r="B140" s="60">
        <f t="shared" si="12"/>
        <v>2.6470564705882351</v>
      </c>
      <c r="C140" s="60">
        <f>FH!A140*1</f>
        <v>0</v>
      </c>
      <c r="D140" s="60">
        <f>FH!B140*1</f>
        <v>0</v>
      </c>
      <c r="E140">
        <f t="shared" si="15"/>
        <v>138</v>
      </c>
      <c r="F140" s="60" t="str">
        <f>IF(FT!A140&lt;&gt;"",FT!A140*10,"")</f>
        <v/>
      </c>
      <c r="G140" s="60" t="str">
        <f>IF(FT!B140&lt;&gt;"",FT!B140*100,"")</f>
        <v/>
      </c>
      <c r="H140" s="60" t="str">
        <f t="shared" si="13"/>
        <v/>
      </c>
      <c r="I140" t="str">
        <f>IF(FT!B140&lt;&gt;"",FT!E140,"")</f>
        <v/>
      </c>
      <c r="J140" t="str">
        <f>IF(FT!B140&lt;&gt;"",FT!C140,"")</f>
        <v/>
      </c>
    </row>
    <row r="141" spans="1:10">
      <c r="A141" s="60">
        <f t="shared" si="14"/>
        <v>139</v>
      </c>
      <c r="B141" s="60">
        <f t="shared" si="12"/>
        <v>2.6662380392156861</v>
      </c>
      <c r="C141" s="60">
        <f>FH!A141*1</f>
        <v>0</v>
      </c>
      <c r="D141" s="60">
        <f>FH!B141*1</f>
        <v>0</v>
      </c>
      <c r="E141">
        <f t="shared" si="15"/>
        <v>139</v>
      </c>
      <c r="F141" s="60" t="str">
        <f>IF(FT!A141&lt;&gt;"",FT!A141*10,"")</f>
        <v/>
      </c>
      <c r="G141" s="60" t="str">
        <f>IF(FT!B141&lt;&gt;"",FT!B141*100,"")</f>
        <v/>
      </c>
      <c r="H141" s="60" t="str">
        <f t="shared" si="13"/>
        <v/>
      </c>
      <c r="I141" t="str">
        <f>IF(FT!B141&lt;&gt;"",FT!E141,"")</f>
        <v/>
      </c>
      <c r="J141" t="str">
        <f>IF(FT!B141&lt;&gt;"",FT!C141,"")</f>
        <v/>
      </c>
    </row>
    <row r="142" spans="1:10">
      <c r="A142" s="60">
        <f t="shared" si="14"/>
        <v>140</v>
      </c>
      <c r="B142" s="60">
        <f t="shared" si="12"/>
        <v>2.6854196078431376</v>
      </c>
      <c r="C142" s="60">
        <f>FH!A142*1</f>
        <v>28490</v>
      </c>
      <c r="D142" s="60">
        <f>FH!B142*1</f>
        <v>28490</v>
      </c>
      <c r="E142">
        <f t="shared" si="15"/>
        <v>140</v>
      </c>
      <c r="F142" s="60" t="str">
        <f>IF(FT!A142&lt;&gt;"",FT!A142*10,"")</f>
        <v/>
      </c>
      <c r="G142" s="60" t="str">
        <f>IF(FT!B142&lt;&gt;"",FT!B142*100,"")</f>
        <v/>
      </c>
      <c r="H142" s="60" t="str">
        <f t="shared" si="13"/>
        <v/>
      </c>
      <c r="I142" t="str">
        <f>IF(FT!B142&lt;&gt;"",FT!E142,"")</f>
        <v/>
      </c>
      <c r="J142" t="str">
        <f>IF(FT!B142&lt;&gt;"",FT!C142,"")</f>
        <v/>
      </c>
    </row>
    <row r="143" spans="1:10">
      <c r="A143" s="60">
        <f t="shared" si="14"/>
        <v>141</v>
      </c>
      <c r="B143" s="60">
        <f t="shared" si="12"/>
        <v>2.7046011764705886</v>
      </c>
      <c r="C143" s="60">
        <f>FH!A143*1</f>
        <v>0</v>
      </c>
      <c r="D143" s="60">
        <f>FH!B143*1</f>
        <v>0</v>
      </c>
      <c r="E143">
        <f t="shared" si="15"/>
        <v>141</v>
      </c>
      <c r="F143" s="60" t="str">
        <f>IF(FT!A143&lt;&gt;"",FT!A143*10,"")</f>
        <v/>
      </c>
      <c r="G143" s="60" t="str">
        <f>IF(FT!B143&lt;&gt;"",FT!B143*100,"")</f>
        <v/>
      </c>
      <c r="H143" s="60" t="str">
        <f t="shared" si="13"/>
        <v/>
      </c>
      <c r="I143" t="str">
        <f>IF(FT!B143&lt;&gt;"",FT!E143,"")</f>
        <v/>
      </c>
      <c r="J143" t="str">
        <f>IF(FT!B143&lt;&gt;"",FT!C143,"")</f>
        <v/>
      </c>
    </row>
    <row r="144" spans="1:10">
      <c r="A144" s="60">
        <f t="shared" si="14"/>
        <v>142</v>
      </c>
      <c r="B144" s="60">
        <f t="shared" si="12"/>
        <v>2.7237827450980396</v>
      </c>
      <c r="C144" s="60">
        <f>FH!A144*1</f>
        <v>26092</v>
      </c>
      <c r="D144" s="60">
        <f>FH!B144*1</f>
        <v>26092</v>
      </c>
      <c r="E144">
        <f t="shared" si="15"/>
        <v>142</v>
      </c>
      <c r="F144" s="60" t="str">
        <f>IF(FT!A144&lt;&gt;"",FT!A144*10,"")</f>
        <v/>
      </c>
      <c r="G144" s="60" t="str">
        <f>IF(FT!B144&lt;&gt;"",FT!B144*100,"")</f>
        <v/>
      </c>
      <c r="H144" s="60" t="str">
        <f t="shared" si="13"/>
        <v/>
      </c>
      <c r="I144" t="str">
        <f>IF(FT!B144&lt;&gt;"",FT!E144,"")</f>
        <v/>
      </c>
      <c r="J144" t="str">
        <f>IF(FT!B144&lt;&gt;"",FT!C144,"")</f>
        <v/>
      </c>
    </row>
    <row r="145" spans="1:10">
      <c r="A145" s="60">
        <f t="shared" si="14"/>
        <v>143</v>
      </c>
      <c r="B145" s="60">
        <f t="shared" si="12"/>
        <v>2.7429643137254902</v>
      </c>
      <c r="C145" s="60">
        <f>FH!A145*1</f>
        <v>0</v>
      </c>
      <c r="D145" s="60">
        <f>FH!B145*1</f>
        <v>0</v>
      </c>
      <c r="E145">
        <f t="shared" si="15"/>
        <v>143</v>
      </c>
      <c r="F145" s="60" t="str">
        <f>IF(FT!A145&lt;&gt;"",FT!A145*10,"")</f>
        <v/>
      </c>
      <c r="G145" s="60" t="str">
        <f>IF(FT!B145&lt;&gt;"",FT!B145*100,"")</f>
        <v/>
      </c>
      <c r="H145" s="60" t="str">
        <f t="shared" si="13"/>
        <v/>
      </c>
      <c r="I145" t="str">
        <f>IF(FT!B145&lt;&gt;"",FT!E145,"")</f>
        <v/>
      </c>
      <c r="J145" t="str">
        <f>IF(FT!B145&lt;&gt;"",FT!C145,"")</f>
        <v/>
      </c>
    </row>
    <row r="146" spans="1:10">
      <c r="A146" s="60">
        <f t="shared" si="14"/>
        <v>144</v>
      </c>
      <c r="B146" s="60">
        <f t="shared" si="12"/>
        <v>2.7621458823529412</v>
      </c>
      <c r="C146" s="60">
        <f>FH!A146*1</f>
        <v>0</v>
      </c>
      <c r="D146" s="60">
        <f>FH!B146*1</f>
        <v>0</v>
      </c>
      <c r="E146">
        <f t="shared" si="15"/>
        <v>144</v>
      </c>
      <c r="F146" s="60" t="str">
        <f>IF(FT!A146&lt;&gt;"",FT!A146*10,"")</f>
        <v/>
      </c>
      <c r="G146" s="60" t="str">
        <f>IF(FT!B146&lt;&gt;"",FT!B146*100,"")</f>
        <v/>
      </c>
      <c r="H146" s="60" t="str">
        <f t="shared" si="13"/>
        <v/>
      </c>
      <c r="I146" t="str">
        <f>IF(FT!B146&lt;&gt;"",FT!E146,"")</f>
        <v/>
      </c>
      <c r="J146" t="str">
        <f>IF(FT!B146&lt;&gt;"",FT!C146,"")</f>
        <v/>
      </c>
    </row>
    <row r="147" spans="1:10">
      <c r="A147" s="60">
        <f t="shared" si="14"/>
        <v>145</v>
      </c>
      <c r="B147" s="60">
        <f t="shared" si="12"/>
        <v>2.7813274509803922</v>
      </c>
      <c r="C147" s="60">
        <f>FH!A147*1</f>
        <v>29660</v>
      </c>
      <c r="D147" s="60">
        <f>FH!B147*1</f>
        <v>29660</v>
      </c>
      <c r="E147">
        <f t="shared" si="15"/>
        <v>145</v>
      </c>
      <c r="F147" s="60" t="str">
        <f>IF(FT!A147&lt;&gt;"",FT!A147*10,"")</f>
        <v/>
      </c>
      <c r="G147" s="60" t="str">
        <f>IF(FT!B147&lt;&gt;"",FT!B147*100,"")</f>
        <v/>
      </c>
      <c r="H147" s="60" t="str">
        <f t="shared" si="13"/>
        <v/>
      </c>
      <c r="I147" t="str">
        <f>IF(FT!B147&lt;&gt;"",FT!E147,"")</f>
        <v/>
      </c>
      <c r="J147" t="str">
        <f>IF(FT!B147&lt;&gt;"",FT!C147,"")</f>
        <v/>
      </c>
    </row>
    <row r="148" spans="1:10">
      <c r="A148" s="60">
        <f t="shared" si="14"/>
        <v>146</v>
      </c>
      <c r="B148" s="60">
        <f t="shared" si="12"/>
        <v>2.8005090196078433</v>
      </c>
      <c r="C148" s="60">
        <f>FH!A148*1</f>
        <v>0</v>
      </c>
      <c r="D148" s="60">
        <f>FH!B148*1</f>
        <v>0</v>
      </c>
      <c r="E148">
        <f t="shared" si="15"/>
        <v>146</v>
      </c>
      <c r="F148" s="60" t="str">
        <f>IF(FT!A148&lt;&gt;"",FT!A148*10,"")</f>
        <v/>
      </c>
      <c r="G148" s="60" t="str">
        <f>IF(FT!B148&lt;&gt;"",FT!B148*100,"")</f>
        <v/>
      </c>
      <c r="H148" s="60" t="str">
        <f t="shared" si="13"/>
        <v/>
      </c>
      <c r="I148" t="str">
        <f>IF(FT!B148&lt;&gt;"",FT!E148,"")</f>
        <v/>
      </c>
      <c r="J148" t="str">
        <f>IF(FT!B148&lt;&gt;"",FT!C148,"")</f>
        <v/>
      </c>
    </row>
    <row r="149" spans="1:10">
      <c r="A149" s="60">
        <f t="shared" si="14"/>
        <v>147</v>
      </c>
      <c r="B149" s="60">
        <f t="shared" si="12"/>
        <v>2.8196905882352938</v>
      </c>
      <c r="C149" s="60">
        <f>FH!A149*1</f>
        <v>29256</v>
      </c>
      <c r="D149" s="60">
        <f>FH!B149*1</f>
        <v>29256</v>
      </c>
      <c r="E149">
        <f t="shared" si="15"/>
        <v>147</v>
      </c>
      <c r="F149" s="60" t="str">
        <f>IF(FT!A149&lt;&gt;"",FT!A149*10,"")</f>
        <v/>
      </c>
      <c r="G149" s="60" t="str">
        <f>IF(FT!B149&lt;&gt;"",FT!B149*100,"")</f>
        <v/>
      </c>
      <c r="H149" s="60" t="str">
        <f t="shared" si="13"/>
        <v/>
      </c>
      <c r="I149" t="str">
        <f>IF(FT!B149&lt;&gt;"",FT!E149,"")</f>
        <v/>
      </c>
      <c r="J149" t="str">
        <f>IF(FT!B149&lt;&gt;"",FT!C149,"")</f>
        <v/>
      </c>
    </row>
    <row r="150" spans="1:10">
      <c r="A150" s="60">
        <f t="shared" si="14"/>
        <v>148</v>
      </c>
      <c r="B150" s="60">
        <f t="shared" si="12"/>
        <v>2.8388721568627453</v>
      </c>
      <c r="C150" s="60">
        <f>FH!A150*1</f>
        <v>0</v>
      </c>
      <c r="D150" s="60">
        <f>FH!B150*1</f>
        <v>0</v>
      </c>
      <c r="E150">
        <f t="shared" si="15"/>
        <v>148</v>
      </c>
      <c r="F150" s="60" t="str">
        <f>IF(FT!A150&lt;&gt;"",FT!A150*10,"")</f>
        <v/>
      </c>
      <c r="G150" s="60" t="str">
        <f>IF(FT!B150&lt;&gt;"",FT!B150*100,"")</f>
        <v/>
      </c>
      <c r="H150" s="60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0">
        <f t="shared" si="14"/>
        <v>149</v>
      </c>
      <c r="B151" s="60">
        <f t="shared" si="12"/>
        <v>2.8580537254901963</v>
      </c>
      <c r="C151" s="60">
        <f>FH!A151*1</f>
        <v>0</v>
      </c>
      <c r="D151" s="60">
        <f>FH!B151*1</f>
        <v>0</v>
      </c>
      <c r="E151">
        <f t="shared" si="15"/>
        <v>149</v>
      </c>
      <c r="F151" s="60" t="str">
        <f>IF(FT!A151&lt;&gt;"",FT!A151*10,"")</f>
        <v/>
      </c>
      <c r="G151" s="60" t="str">
        <f>IF(FT!B151&lt;&gt;"",FT!B151*100,"")</f>
        <v/>
      </c>
      <c r="H151" s="60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0">
        <f t="shared" si="14"/>
        <v>150</v>
      </c>
      <c r="B152" s="60">
        <f t="shared" si="12"/>
        <v>2.8772352941176473</v>
      </c>
      <c r="C152" s="60">
        <f>FH!A152*1</f>
        <v>23820</v>
      </c>
      <c r="D152" s="60">
        <f>FH!B152*1</f>
        <v>23820</v>
      </c>
      <c r="E152">
        <f t="shared" si="15"/>
        <v>150</v>
      </c>
      <c r="F152" s="60" t="str">
        <f>IF(FT!A152&lt;&gt;"",FT!A152*10,"")</f>
        <v/>
      </c>
      <c r="G152" s="60" t="str">
        <f>IF(FT!B152&lt;&gt;"",FT!B152*100,"")</f>
        <v/>
      </c>
      <c r="H152" s="60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0">
        <f t="shared" si="14"/>
        <v>151</v>
      </c>
      <c r="B153" s="60">
        <f t="shared" si="12"/>
        <v>2.8964168627450984</v>
      </c>
      <c r="C153" s="60">
        <f>FH!A153*1</f>
        <v>0</v>
      </c>
      <c r="D153" s="60">
        <f>FH!B153*1</f>
        <v>0</v>
      </c>
      <c r="E153">
        <f t="shared" si="15"/>
        <v>151</v>
      </c>
      <c r="F153" s="60" t="str">
        <f>IF(FT!A153&lt;&gt;"",FT!A153*10,"")</f>
        <v/>
      </c>
      <c r="G153" s="60" t="str">
        <f>IF(FT!B153&lt;&gt;"",FT!B153*100,"")</f>
        <v/>
      </c>
      <c r="H153" s="60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0">
        <f t="shared" si="14"/>
        <v>152</v>
      </c>
      <c r="B154" s="60">
        <f t="shared" si="12"/>
        <v>2.9155984313725489</v>
      </c>
      <c r="C154" s="60">
        <f>FH!A154*1</f>
        <v>26604</v>
      </c>
      <c r="D154" s="60">
        <f>FH!B154*1</f>
        <v>26604</v>
      </c>
      <c r="E154">
        <f t="shared" si="15"/>
        <v>152</v>
      </c>
      <c r="F154" s="60" t="str">
        <f>IF(FT!A154&lt;&gt;"",FT!A154*10,"")</f>
        <v/>
      </c>
      <c r="G154" s="60" t="str">
        <f>IF(FT!B154&lt;&gt;"",FT!B154*100,"")</f>
        <v/>
      </c>
      <c r="H154" s="60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0">
        <f t="shared" si="14"/>
        <v>153</v>
      </c>
      <c r="B155" s="60">
        <f t="shared" si="12"/>
        <v>2.9347799999999999</v>
      </c>
      <c r="C155" s="60">
        <f>FH!A155*1</f>
        <v>0</v>
      </c>
      <c r="D155" s="60">
        <f>FH!B155*1</f>
        <v>0</v>
      </c>
      <c r="E155">
        <f t="shared" si="15"/>
        <v>153</v>
      </c>
      <c r="F155" s="60" t="str">
        <f>IF(FT!A155&lt;&gt;"",FT!A155*10,"")</f>
        <v/>
      </c>
      <c r="G155" s="60" t="str">
        <f>IF(FT!B155&lt;&gt;"",FT!B155*100,"")</f>
        <v/>
      </c>
      <c r="H155" s="60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0">
        <f t="shared" si="14"/>
        <v>154</v>
      </c>
      <c r="B156" s="60">
        <f t="shared" si="12"/>
        <v>2.953961568627451</v>
      </c>
      <c r="C156" s="60">
        <f>FH!A156*1</f>
        <v>0</v>
      </c>
      <c r="D156" s="60">
        <f>FH!B156*1</f>
        <v>0</v>
      </c>
      <c r="E156">
        <f t="shared" si="15"/>
        <v>154</v>
      </c>
      <c r="F156" s="60" t="str">
        <f>IF(FT!A156&lt;&gt;"",FT!A156*10,"")</f>
        <v/>
      </c>
      <c r="G156" s="60" t="str">
        <f>IF(FT!B156&lt;&gt;"",FT!B156*100,"")</f>
        <v/>
      </c>
      <c r="H156" s="60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0">
        <f t="shared" si="14"/>
        <v>155</v>
      </c>
      <c r="B157" s="60">
        <f t="shared" si="12"/>
        <v>2.973143137254902</v>
      </c>
      <c r="C157" s="60">
        <f>FH!A157*1</f>
        <v>22483</v>
      </c>
      <c r="D157" s="60">
        <f>FH!B157*1</f>
        <v>22483</v>
      </c>
      <c r="E157">
        <f t="shared" si="15"/>
        <v>155</v>
      </c>
      <c r="F157" s="60" t="str">
        <f>IF(FT!A157&lt;&gt;"",FT!A157*10,"")</f>
        <v/>
      </c>
      <c r="G157" s="60" t="str">
        <f>IF(FT!B157&lt;&gt;"",FT!B157*100,"")</f>
        <v/>
      </c>
      <c r="H157" s="60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0">
        <f t="shared" si="14"/>
        <v>156</v>
      </c>
      <c r="B158" s="60">
        <f t="shared" si="12"/>
        <v>2.9923247058823534</v>
      </c>
      <c r="C158" s="60">
        <f>FH!A158*1</f>
        <v>0</v>
      </c>
      <c r="D158" s="60">
        <f>FH!B158*1</f>
        <v>0</v>
      </c>
      <c r="E158">
        <f t="shared" si="15"/>
        <v>156</v>
      </c>
      <c r="F158" s="60" t="str">
        <f>IF(FT!A158&lt;&gt;"",FT!A158*10,"")</f>
        <v/>
      </c>
      <c r="G158" s="60" t="str">
        <f>IF(FT!B158&lt;&gt;"",FT!B158*100,"")</f>
        <v/>
      </c>
      <c r="H158" s="60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0">
        <f t="shared" si="14"/>
        <v>157</v>
      </c>
      <c r="B159" s="60">
        <f t="shared" si="12"/>
        <v>3.011506274509804</v>
      </c>
      <c r="C159" s="60">
        <f>FH!A159*1</f>
        <v>0</v>
      </c>
      <c r="D159" s="60">
        <f>FH!B159*1</f>
        <v>0</v>
      </c>
      <c r="E159">
        <f t="shared" si="15"/>
        <v>157</v>
      </c>
      <c r="F159" s="60" t="str">
        <f>IF(FT!A159&lt;&gt;"",FT!A159*10,"")</f>
        <v/>
      </c>
      <c r="G159" s="60" t="str">
        <f>IF(FT!B159&lt;&gt;"",FT!B159*100,"")</f>
        <v/>
      </c>
      <c r="H159" s="60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0">
        <f t="shared" si="14"/>
        <v>158</v>
      </c>
      <c r="B160" s="60">
        <f t="shared" si="12"/>
        <v>3.030687843137255</v>
      </c>
      <c r="C160" s="60">
        <f>FH!A160*1</f>
        <v>23535</v>
      </c>
      <c r="D160" s="60">
        <f>FH!B160*1</f>
        <v>23535</v>
      </c>
      <c r="E160">
        <f t="shared" si="15"/>
        <v>158</v>
      </c>
      <c r="F160" s="60" t="str">
        <f>IF(FT!A160&lt;&gt;"",FT!A160*10,"")</f>
        <v/>
      </c>
      <c r="G160" s="60" t="str">
        <f>IF(FT!B160&lt;&gt;"",FT!B160*100,"")</f>
        <v/>
      </c>
      <c r="H160" s="60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0">
        <f t="shared" si="14"/>
        <v>159</v>
      </c>
      <c r="B161" s="60">
        <f t="shared" si="12"/>
        <v>3.0498694117647061</v>
      </c>
      <c r="C161" s="60">
        <f>FH!A161*1</f>
        <v>0</v>
      </c>
      <c r="D161" s="60">
        <f>FH!B161*1</f>
        <v>0</v>
      </c>
      <c r="E161">
        <f t="shared" si="15"/>
        <v>159</v>
      </c>
      <c r="F161" s="60" t="str">
        <f>IF(FT!A161&lt;&gt;"",FT!A161*10,"")</f>
        <v/>
      </c>
      <c r="G161" s="60" t="str">
        <f>IF(FT!B161&lt;&gt;"",FT!B161*100,"")</f>
        <v/>
      </c>
      <c r="H161" s="60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0">
        <f t="shared" si="14"/>
        <v>160</v>
      </c>
      <c r="B162" s="60">
        <f t="shared" si="12"/>
        <v>3.0690509803921571</v>
      </c>
      <c r="C162" s="60">
        <f>FH!A162*1</f>
        <v>22347</v>
      </c>
      <c r="D162" s="60">
        <f>FH!B162*1</f>
        <v>22347</v>
      </c>
      <c r="E162">
        <f t="shared" si="15"/>
        <v>160</v>
      </c>
      <c r="F162" s="60" t="str">
        <f>IF(FT!A162&lt;&gt;"",FT!A162*10,"")</f>
        <v/>
      </c>
      <c r="G162" s="60" t="str">
        <f>IF(FT!B162&lt;&gt;"",FT!B162*100,"")</f>
        <v/>
      </c>
      <c r="H162" s="60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0">
        <f t="shared" si="14"/>
        <v>161</v>
      </c>
      <c r="B163" s="60">
        <f t="shared" si="12"/>
        <v>3.0882325490196076</v>
      </c>
      <c r="C163" s="60">
        <f>FH!A163*1</f>
        <v>0</v>
      </c>
      <c r="D163" s="60">
        <f>FH!B163*1</f>
        <v>0</v>
      </c>
      <c r="E163">
        <f t="shared" si="15"/>
        <v>161</v>
      </c>
      <c r="F163" s="60" t="str">
        <f>IF(FT!A163&lt;&gt;"",FT!A163*10,"")</f>
        <v/>
      </c>
      <c r="G163" s="60" t="str">
        <f>IF(FT!B163&lt;&gt;"",FT!B163*100,"")</f>
        <v/>
      </c>
      <c r="H163" s="60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0">
        <f t="shared" si="14"/>
        <v>162</v>
      </c>
      <c r="B164" s="60">
        <f t="shared" si="12"/>
        <v>3.1074141176470587</v>
      </c>
      <c r="C164" s="60">
        <f>FH!A164*1</f>
        <v>0</v>
      </c>
      <c r="D164" s="60">
        <f>FH!B164*1</f>
        <v>0</v>
      </c>
      <c r="E164">
        <f t="shared" si="15"/>
        <v>162</v>
      </c>
      <c r="F164" s="60" t="str">
        <f>IF(FT!A164&lt;&gt;"",FT!A164*10,"")</f>
        <v/>
      </c>
      <c r="G164" s="60" t="str">
        <f>IF(FT!B164&lt;&gt;"",FT!B164*100,"")</f>
        <v/>
      </c>
      <c r="H164" s="60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0">
        <f t="shared" si="14"/>
        <v>163</v>
      </c>
      <c r="B165" s="60">
        <f t="shared" si="12"/>
        <v>3.1265956862745097</v>
      </c>
      <c r="C165" s="60">
        <f>FH!A165*1</f>
        <v>23599</v>
      </c>
      <c r="D165" s="60">
        <f>FH!B165*1</f>
        <v>23599</v>
      </c>
      <c r="E165">
        <f t="shared" si="15"/>
        <v>163</v>
      </c>
      <c r="F165" s="60" t="str">
        <f>IF(FT!A165&lt;&gt;"",FT!A165*10,"")</f>
        <v/>
      </c>
      <c r="G165" s="60" t="str">
        <f>IF(FT!B165&lt;&gt;"",FT!B165*100,"")</f>
        <v/>
      </c>
      <c r="H165" s="60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0">
        <f t="shared" si="14"/>
        <v>164</v>
      </c>
      <c r="B166" s="60">
        <f t="shared" si="12"/>
        <v>3.1457772549019611</v>
      </c>
      <c r="C166" s="60">
        <f>FH!A166*1</f>
        <v>0</v>
      </c>
      <c r="D166" s="60">
        <f>FH!B166*1</f>
        <v>0</v>
      </c>
      <c r="E166">
        <f t="shared" si="15"/>
        <v>164</v>
      </c>
      <c r="F166" s="60" t="str">
        <f>IF(FT!A166&lt;&gt;"",FT!A166*10,"")</f>
        <v/>
      </c>
      <c r="G166" s="60" t="str">
        <f>IF(FT!B166&lt;&gt;"",FT!B166*100,"")</f>
        <v/>
      </c>
      <c r="H166" s="60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0">
        <f t="shared" si="14"/>
        <v>165</v>
      </c>
      <c r="B167" s="60">
        <f t="shared" si="12"/>
        <v>3.1649588235294122</v>
      </c>
      <c r="C167" s="60">
        <f>FH!A167*1</f>
        <v>18172</v>
      </c>
      <c r="D167" s="60">
        <f>FH!B167*1</f>
        <v>18172</v>
      </c>
      <c r="E167">
        <f t="shared" si="15"/>
        <v>165</v>
      </c>
      <c r="F167" s="60" t="str">
        <f>IF(FT!A167&lt;&gt;"",FT!A167*10,"")</f>
        <v/>
      </c>
      <c r="G167" s="60" t="str">
        <f>IF(FT!B167&lt;&gt;"",FT!B167*100,"")</f>
        <v/>
      </c>
      <c r="H167" s="60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0">
        <f t="shared" si="14"/>
        <v>166</v>
      </c>
      <c r="B168" s="60">
        <f t="shared" si="12"/>
        <v>3.1841403921568632</v>
      </c>
      <c r="C168" s="60">
        <f>FH!A168*1</f>
        <v>0</v>
      </c>
      <c r="D168" s="60">
        <f>FH!B168*1</f>
        <v>0</v>
      </c>
      <c r="E168">
        <f t="shared" si="15"/>
        <v>166</v>
      </c>
      <c r="F168" s="60" t="str">
        <f>IF(FT!A168&lt;&gt;"",FT!A168*10,"")</f>
        <v/>
      </c>
      <c r="G168" s="60" t="str">
        <f>IF(FT!B168&lt;&gt;"",FT!B168*100,"")</f>
        <v/>
      </c>
      <c r="H168" s="60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0">
        <f t="shared" si="14"/>
        <v>167</v>
      </c>
      <c r="B169" s="60">
        <f t="shared" si="12"/>
        <v>3.2033219607843137</v>
      </c>
      <c r="C169" s="60">
        <f>FH!A169*1</f>
        <v>0</v>
      </c>
      <c r="D169" s="60">
        <f>FH!B169*1</f>
        <v>0</v>
      </c>
      <c r="E169">
        <f t="shared" si="15"/>
        <v>167</v>
      </c>
      <c r="F169" s="60" t="str">
        <f>IF(FT!A169&lt;&gt;"",FT!A169*10,"")</f>
        <v/>
      </c>
      <c r="G169" s="60" t="str">
        <f>IF(FT!B169&lt;&gt;"",FT!B169*100,"")</f>
        <v/>
      </c>
      <c r="H169" s="60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0">
        <f t="shared" si="14"/>
        <v>168</v>
      </c>
      <c r="B170" s="60">
        <f t="shared" si="12"/>
        <v>3.2225035294117648</v>
      </c>
      <c r="C170" s="60">
        <f>FH!A170*1</f>
        <v>23247</v>
      </c>
      <c r="D170" s="60">
        <f>FH!B170*1</f>
        <v>23247</v>
      </c>
      <c r="E170">
        <f t="shared" si="15"/>
        <v>168</v>
      </c>
      <c r="F170" s="60" t="str">
        <f>IF(FT!A170&lt;&gt;"",FT!A170*10,"")</f>
        <v/>
      </c>
      <c r="G170" s="60" t="str">
        <f>IF(FT!B170&lt;&gt;"",FT!B170*100,"")</f>
        <v/>
      </c>
      <c r="H170" s="60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0">
        <f t="shared" si="14"/>
        <v>169</v>
      </c>
      <c r="B171" s="60">
        <f t="shared" si="12"/>
        <v>3.2416850980392158</v>
      </c>
      <c r="C171" s="60">
        <f>FH!A171*1</f>
        <v>0</v>
      </c>
      <c r="D171" s="60">
        <f>FH!B171*1</f>
        <v>0</v>
      </c>
      <c r="E171">
        <f t="shared" si="15"/>
        <v>169</v>
      </c>
      <c r="F171" s="60" t="str">
        <f>IF(FT!A171&lt;&gt;"",FT!A171*10,"")</f>
        <v/>
      </c>
      <c r="G171" s="60" t="str">
        <f>IF(FT!B171&lt;&gt;"",FT!B171*100,"")</f>
        <v/>
      </c>
      <c r="H171" s="60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0">
        <f t="shared" si="14"/>
        <v>170</v>
      </c>
      <c r="B172" s="60">
        <f t="shared" si="12"/>
        <v>3.2608666666666668</v>
      </c>
      <c r="C172" s="60">
        <f>FH!A172*1</f>
        <v>0</v>
      </c>
      <c r="D172" s="60">
        <f>FH!B172*1</f>
        <v>0</v>
      </c>
      <c r="E172">
        <f t="shared" si="15"/>
        <v>170</v>
      </c>
      <c r="F172" s="60" t="str">
        <f>IF(FT!A172&lt;&gt;"",FT!A172*10,"")</f>
        <v/>
      </c>
      <c r="G172" s="60" t="str">
        <f>IF(FT!B172&lt;&gt;"",FT!B172*100,"")</f>
        <v/>
      </c>
      <c r="H172" s="60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0">
        <f t="shared" si="14"/>
        <v>171</v>
      </c>
      <c r="B173" s="60">
        <f t="shared" si="12"/>
        <v>3.2800482352941174</v>
      </c>
      <c r="C173" s="60">
        <f>FH!A173*1</f>
        <v>21319</v>
      </c>
      <c r="D173" s="60">
        <f>FH!B173*1</f>
        <v>21319</v>
      </c>
      <c r="E173">
        <f t="shared" si="15"/>
        <v>171</v>
      </c>
      <c r="F173" s="60" t="str">
        <f>IF(FT!A173&lt;&gt;"",FT!A173*10,"")</f>
        <v/>
      </c>
      <c r="G173" s="60" t="str">
        <f>IF(FT!B173&lt;&gt;"",FT!B173*100,"")</f>
        <v/>
      </c>
      <c r="H173" s="60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0">
        <f t="shared" si="14"/>
        <v>172</v>
      </c>
      <c r="B174" s="60">
        <f t="shared" si="12"/>
        <v>3.2992298039215688</v>
      </c>
      <c r="C174" s="60">
        <f>FH!A174*1</f>
        <v>0</v>
      </c>
      <c r="D174" s="60">
        <f>FH!B174*1</f>
        <v>0</v>
      </c>
      <c r="E174">
        <f t="shared" si="15"/>
        <v>172</v>
      </c>
      <c r="F174" s="60" t="str">
        <f>IF(FT!A174&lt;&gt;"",FT!A174*10,"")</f>
        <v/>
      </c>
      <c r="G174" s="60" t="str">
        <f>IF(FT!B174&lt;&gt;"",FT!B174*100,"")</f>
        <v/>
      </c>
      <c r="H174" s="60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0">
        <f t="shared" si="14"/>
        <v>173</v>
      </c>
      <c r="B175" s="60">
        <f t="shared" si="12"/>
        <v>3.3184113725490199</v>
      </c>
      <c r="C175" s="60">
        <f>FH!A175*1</f>
        <v>22443</v>
      </c>
      <c r="D175" s="60">
        <f>FH!B175*1</f>
        <v>22443</v>
      </c>
      <c r="E175">
        <f t="shared" si="15"/>
        <v>173</v>
      </c>
      <c r="F175" s="60" t="str">
        <f>IF(FT!A175&lt;&gt;"",FT!A175*10,"")</f>
        <v/>
      </c>
      <c r="G175" s="60" t="str">
        <f>IF(FT!B175&lt;&gt;"",FT!B175*100,"")</f>
        <v/>
      </c>
      <c r="H175" s="60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0">
        <f t="shared" si="14"/>
        <v>174</v>
      </c>
      <c r="B176" s="60">
        <f t="shared" si="12"/>
        <v>3.3375929411764709</v>
      </c>
      <c r="C176" s="60">
        <f>FH!A176*1</f>
        <v>0</v>
      </c>
      <c r="D176" s="60">
        <f>FH!B176*1</f>
        <v>0</v>
      </c>
      <c r="E176">
        <f t="shared" si="15"/>
        <v>174</v>
      </c>
      <c r="F176" s="60" t="str">
        <f>IF(FT!A176&lt;&gt;"",FT!A176*10,"")</f>
        <v/>
      </c>
      <c r="G176" s="60" t="str">
        <f>IF(FT!B176&lt;&gt;"",FT!B176*100,"")</f>
        <v/>
      </c>
      <c r="H176" s="60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0">
        <f t="shared" si="14"/>
        <v>175</v>
      </c>
      <c r="B177" s="60">
        <f t="shared" si="12"/>
        <v>3.3567745098039219</v>
      </c>
      <c r="C177" s="60">
        <f>FH!A177*1</f>
        <v>0</v>
      </c>
      <c r="D177" s="60">
        <f>FH!B177*1</f>
        <v>0</v>
      </c>
      <c r="E177">
        <f t="shared" si="15"/>
        <v>175</v>
      </c>
      <c r="F177" s="60" t="str">
        <f>IF(FT!A177&lt;&gt;"",FT!A177*10,"")</f>
        <v/>
      </c>
      <c r="G177" s="60" t="str">
        <f>IF(FT!B177&lt;&gt;"",FT!B177*100,"")</f>
        <v/>
      </c>
      <c r="H177" s="60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0">
        <f t="shared" si="14"/>
        <v>176</v>
      </c>
      <c r="B178" s="60">
        <f t="shared" si="12"/>
        <v>3.3759560784313725</v>
      </c>
      <c r="C178" s="60">
        <f>FH!A178*1</f>
        <v>23969</v>
      </c>
      <c r="D178" s="60">
        <f>FH!B178*1</f>
        <v>23969</v>
      </c>
      <c r="E178">
        <f t="shared" si="15"/>
        <v>176</v>
      </c>
      <c r="F178" s="60" t="str">
        <f>IF(FT!A178&lt;&gt;"",FT!A178*10,"")</f>
        <v/>
      </c>
      <c r="G178" s="60" t="str">
        <f>IF(FT!B178&lt;&gt;"",FT!B178*100,"")</f>
        <v/>
      </c>
      <c r="H178" s="60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0">
        <f t="shared" si="14"/>
        <v>177</v>
      </c>
      <c r="B179" s="60">
        <f t="shared" si="12"/>
        <v>3.3951376470588235</v>
      </c>
      <c r="C179" s="60">
        <f>FH!A179*1</f>
        <v>0</v>
      </c>
      <c r="D179" s="60">
        <f>FH!B179*1</f>
        <v>0</v>
      </c>
      <c r="E179">
        <f t="shared" si="15"/>
        <v>177</v>
      </c>
      <c r="F179" s="60" t="str">
        <f>IF(FT!A179&lt;&gt;"",FT!A179*10,"")</f>
        <v/>
      </c>
      <c r="G179" s="60" t="str">
        <f>IF(FT!B179&lt;&gt;"",FT!B179*100,"")</f>
        <v/>
      </c>
      <c r="H179" s="60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0">
        <f t="shared" si="14"/>
        <v>178</v>
      </c>
      <c r="B180" s="60">
        <f t="shared" si="12"/>
        <v>3.4143192156862745</v>
      </c>
      <c r="C180" s="60">
        <f>FH!A180*1</f>
        <v>22706</v>
      </c>
      <c r="D180" s="60">
        <f>FH!B180*1</f>
        <v>22706</v>
      </c>
      <c r="E180">
        <f t="shared" si="15"/>
        <v>178</v>
      </c>
      <c r="F180" s="60" t="str">
        <f>IF(FT!A180&lt;&gt;"",FT!A180*10,"")</f>
        <v/>
      </c>
      <c r="G180" s="60" t="str">
        <f>IF(FT!B180&lt;&gt;"",FT!B180*100,"")</f>
        <v/>
      </c>
      <c r="H180" s="60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0">
        <f t="shared" si="14"/>
        <v>179</v>
      </c>
      <c r="B181" s="60">
        <f t="shared" si="12"/>
        <v>3.4335007843137255</v>
      </c>
      <c r="C181" s="60">
        <f>FH!A181*1</f>
        <v>0</v>
      </c>
      <c r="D181" s="60">
        <f>FH!B181*1</f>
        <v>0</v>
      </c>
      <c r="E181">
        <f t="shared" si="15"/>
        <v>179</v>
      </c>
      <c r="F181" s="60" t="str">
        <f>IF(FT!A181&lt;&gt;"",FT!A181*10,"")</f>
        <v/>
      </c>
      <c r="G181" s="60" t="str">
        <f>IF(FT!B181&lt;&gt;"",FT!B181*100,"")</f>
        <v/>
      </c>
      <c r="H181" s="60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0">
        <f t="shared" si="14"/>
        <v>180</v>
      </c>
      <c r="B182" s="60">
        <f t="shared" si="12"/>
        <v>3.452682352941177</v>
      </c>
      <c r="C182" s="60">
        <f>FH!A182*1</f>
        <v>0</v>
      </c>
      <c r="D182" s="60">
        <f>FH!B182*1</f>
        <v>0</v>
      </c>
      <c r="E182">
        <f t="shared" si="15"/>
        <v>180</v>
      </c>
      <c r="F182" s="60" t="str">
        <f>IF(FT!A182&lt;&gt;"",FT!A182*10,"")</f>
        <v/>
      </c>
      <c r="G182" s="60" t="str">
        <f>IF(FT!B182&lt;&gt;"",FT!B182*100,"")</f>
        <v/>
      </c>
      <c r="H182" s="60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0">
        <f t="shared" si="14"/>
        <v>181</v>
      </c>
      <c r="B183" s="60">
        <f t="shared" si="12"/>
        <v>3.4718639215686276</v>
      </c>
      <c r="C183" s="60">
        <f>FH!A183*1</f>
        <v>14920</v>
      </c>
      <c r="D183" s="60">
        <f>FH!B183*1</f>
        <v>14920</v>
      </c>
      <c r="E183">
        <f t="shared" si="15"/>
        <v>181</v>
      </c>
      <c r="F183" s="60" t="str">
        <f>IF(FT!A183&lt;&gt;"",FT!A183*10,"")</f>
        <v/>
      </c>
      <c r="G183" s="60" t="str">
        <f>IF(FT!B183&lt;&gt;"",FT!B183*100,"")</f>
        <v/>
      </c>
      <c r="H183" s="60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0">
        <f t="shared" si="14"/>
        <v>182</v>
      </c>
      <c r="B184" s="60">
        <f t="shared" si="12"/>
        <v>3.4910454901960786</v>
      </c>
      <c r="C184" s="60">
        <f>FH!A184*1</f>
        <v>0</v>
      </c>
      <c r="D184" s="60">
        <f>FH!B184*1</f>
        <v>0</v>
      </c>
      <c r="E184">
        <f t="shared" si="15"/>
        <v>182</v>
      </c>
      <c r="F184" s="60" t="str">
        <f>IF(FT!A184&lt;&gt;"",FT!A184*10,"")</f>
        <v/>
      </c>
      <c r="G184" s="60" t="str">
        <f>IF(FT!B184&lt;&gt;"",FT!B184*100,"")</f>
        <v/>
      </c>
      <c r="H184" s="60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0">
        <f t="shared" si="14"/>
        <v>183</v>
      </c>
      <c r="B185" s="60">
        <f t="shared" si="12"/>
        <v>3.5102270588235296</v>
      </c>
      <c r="C185" s="60">
        <f>FH!A185*1</f>
        <v>14865</v>
      </c>
      <c r="D185" s="60">
        <f>FH!B185*1</f>
        <v>14865</v>
      </c>
      <c r="E185">
        <f t="shared" si="15"/>
        <v>183</v>
      </c>
      <c r="F185" s="60" t="str">
        <f>IF(FT!A185&lt;&gt;"",FT!A185*10,"")</f>
        <v/>
      </c>
      <c r="G185" s="60" t="str">
        <f>IF(FT!B185&lt;&gt;"",FT!B185*100,"")</f>
        <v/>
      </c>
      <c r="H185" s="60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0">
        <f t="shared" si="14"/>
        <v>184</v>
      </c>
      <c r="B186" s="60">
        <f t="shared" si="12"/>
        <v>3.5294086274509806</v>
      </c>
      <c r="C186" s="60">
        <f>FH!A186*1</f>
        <v>0</v>
      </c>
      <c r="D186" s="60">
        <f>FH!B186*1</f>
        <v>0</v>
      </c>
      <c r="E186">
        <f t="shared" si="15"/>
        <v>184</v>
      </c>
      <c r="F186" s="60" t="str">
        <f>IF(FT!A186&lt;&gt;"",FT!A186*10,"")</f>
        <v/>
      </c>
      <c r="G186" s="60" t="str">
        <f>IF(FT!B186&lt;&gt;"",FT!B186*100,"")</f>
        <v/>
      </c>
      <c r="H186" s="60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0">
        <f t="shared" si="14"/>
        <v>185</v>
      </c>
      <c r="B187" s="60">
        <f t="shared" si="12"/>
        <v>3.5485901960784316</v>
      </c>
      <c r="C187" s="60">
        <f>FH!A187*1</f>
        <v>0</v>
      </c>
      <c r="D187" s="60">
        <f>FH!B187*1</f>
        <v>0</v>
      </c>
      <c r="E187">
        <f t="shared" si="15"/>
        <v>185</v>
      </c>
      <c r="F187" s="60" t="str">
        <f>IF(FT!A187&lt;&gt;"",FT!A187*10,"")</f>
        <v/>
      </c>
      <c r="G187" s="60" t="str">
        <f>IF(FT!B187&lt;&gt;"",FT!B187*100,"")</f>
        <v/>
      </c>
      <c r="H187" s="60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0">
        <f t="shared" si="14"/>
        <v>186</v>
      </c>
      <c r="B188" s="60">
        <f t="shared" si="12"/>
        <v>3.5677717647058822</v>
      </c>
      <c r="C188" s="60">
        <f>FH!A188*1</f>
        <v>12875</v>
      </c>
      <c r="D188" s="60">
        <f>FH!B188*1</f>
        <v>12875</v>
      </c>
      <c r="E188">
        <f t="shared" si="15"/>
        <v>186</v>
      </c>
      <c r="F188" s="60" t="str">
        <f>IF(FT!A188&lt;&gt;"",FT!A188*10,"")</f>
        <v/>
      </c>
      <c r="G188" s="60" t="str">
        <f>IF(FT!B188&lt;&gt;"",FT!B188*100,"")</f>
        <v/>
      </c>
      <c r="H188" s="60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0">
        <f t="shared" si="14"/>
        <v>187</v>
      </c>
      <c r="B189" s="60">
        <f t="shared" si="12"/>
        <v>3.5869533333333332</v>
      </c>
      <c r="C189" s="60">
        <f>FH!A189*1</f>
        <v>0</v>
      </c>
      <c r="D189" s="60">
        <f>FH!B189*1</f>
        <v>0</v>
      </c>
      <c r="E189">
        <f t="shared" si="15"/>
        <v>187</v>
      </c>
      <c r="F189" s="60" t="str">
        <f>IF(FT!A189&lt;&gt;"",FT!A189*10,"")</f>
        <v/>
      </c>
      <c r="G189" s="60" t="str">
        <f>IF(FT!B189&lt;&gt;"",FT!B189*100,"")</f>
        <v/>
      </c>
      <c r="H189" s="60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0">
        <f t="shared" si="14"/>
        <v>188</v>
      </c>
      <c r="B190" s="60">
        <f t="shared" si="12"/>
        <v>3.6061349019607847</v>
      </c>
      <c r="C190" s="60">
        <f>FH!A190*1</f>
        <v>0</v>
      </c>
      <c r="D190" s="60">
        <f>FH!B190*1</f>
        <v>0</v>
      </c>
      <c r="E190">
        <f t="shared" si="15"/>
        <v>188</v>
      </c>
      <c r="F190" s="60" t="str">
        <f>IF(FT!A190&lt;&gt;"",FT!A190*10,"")</f>
        <v/>
      </c>
      <c r="G190" s="60" t="str">
        <f>IF(FT!B190&lt;&gt;"",FT!B190*100,"")</f>
        <v/>
      </c>
      <c r="H190" s="60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0">
        <f t="shared" si="14"/>
        <v>189</v>
      </c>
      <c r="B191" s="60">
        <f t="shared" si="12"/>
        <v>3.6253164705882357</v>
      </c>
      <c r="C191" s="60">
        <f>FH!A191*1</f>
        <v>11243</v>
      </c>
      <c r="D191" s="60">
        <f>FH!B191*1</f>
        <v>11243</v>
      </c>
      <c r="E191">
        <f t="shared" si="15"/>
        <v>189</v>
      </c>
      <c r="F191" s="60" t="str">
        <f>IF(FT!A191&lt;&gt;"",FT!A191*10,"")</f>
        <v/>
      </c>
      <c r="G191" s="60" t="str">
        <f>IF(FT!B191&lt;&gt;"",FT!B191*100,"")</f>
        <v/>
      </c>
      <c r="H191" s="60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0">
        <f t="shared" si="14"/>
        <v>190</v>
      </c>
      <c r="B192" s="60">
        <f t="shared" si="12"/>
        <v>3.6444980392156867</v>
      </c>
      <c r="C192" s="60">
        <f>FH!A192*1</f>
        <v>0</v>
      </c>
      <c r="D192" s="60">
        <f>FH!B192*1</f>
        <v>0</v>
      </c>
      <c r="E192">
        <f t="shared" si="15"/>
        <v>190</v>
      </c>
      <c r="F192" s="60" t="str">
        <f>IF(FT!A192&lt;&gt;"",FT!A192*10,"")</f>
        <v/>
      </c>
      <c r="G192" s="60" t="str">
        <f>IF(FT!B192&lt;&gt;"",FT!B192*100,"")</f>
        <v/>
      </c>
      <c r="H192" s="60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0">
        <f t="shared" si="14"/>
        <v>191</v>
      </c>
      <c r="B193" s="60">
        <f t="shared" si="12"/>
        <v>3.6636796078431373</v>
      </c>
      <c r="C193" s="60">
        <f>FH!A193*1</f>
        <v>5584</v>
      </c>
      <c r="D193" s="60">
        <f>FH!B193*1</f>
        <v>5584</v>
      </c>
      <c r="E193">
        <f t="shared" si="15"/>
        <v>191</v>
      </c>
      <c r="F193" s="60" t="str">
        <f>IF(FT!A193&lt;&gt;"",FT!A193*10,"")</f>
        <v/>
      </c>
      <c r="G193" s="60" t="str">
        <f>IF(FT!B193&lt;&gt;"",FT!B193*100,"")</f>
        <v/>
      </c>
      <c r="H193" s="60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0">
        <f t="shared" si="14"/>
        <v>192</v>
      </c>
      <c r="B194" s="60">
        <f t="shared" si="12"/>
        <v>3.6828611764705883</v>
      </c>
      <c r="C194" s="60">
        <f>FH!A194*1</f>
        <v>0</v>
      </c>
      <c r="D194" s="60">
        <f>FH!B194*1</f>
        <v>0</v>
      </c>
      <c r="E194">
        <f t="shared" si="15"/>
        <v>192</v>
      </c>
      <c r="F194" s="60" t="str">
        <f>IF(FT!A194&lt;&gt;"",FT!A194*10,"")</f>
        <v/>
      </c>
      <c r="G194" s="60" t="str">
        <f>IF(FT!B194&lt;&gt;"",FT!B194*100,"")</f>
        <v/>
      </c>
      <c r="H194" s="60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0">
        <f t="shared" si="14"/>
        <v>193</v>
      </c>
      <c r="B195" s="60">
        <f t="shared" ref="B195:B257" si="16">A195/255*$L$2</f>
        <v>3.7020427450980393</v>
      </c>
      <c r="C195" s="60">
        <f>FH!A195*1</f>
        <v>0</v>
      </c>
      <c r="D195" s="60">
        <f>FH!B195*1</f>
        <v>0</v>
      </c>
      <c r="E195">
        <f t="shared" si="15"/>
        <v>193</v>
      </c>
      <c r="F195" s="60" t="str">
        <f>IF(FT!A195&lt;&gt;"",FT!A195*10,"")</f>
        <v/>
      </c>
      <c r="G195" s="60" t="str">
        <f>IF(FT!B195&lt;&gt;"",FT!B195*100,"")</f>
        <v/>
      </c>
      <c r="H195" s="60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0">
        <f t="shared" ref="A196:A257" si="18">A195+1</f>
        <v>194</v>
      </c>
      <c r="B196" s="60">
        <f t="shared" si="16"/>
        <v>3.7212243137254903</v>
      </c>
      <c r="C196" s="60">
        <f>FH!A196*1</f>
        <v>2806</v>
      </c>
      <c r="D196" s="60">
        <f>FH!B196*1</f>
        <v>2806</v>
      </c>
      <c r="E196">
        <f t="shared" ref="E196:E259" si="19">E195+1</f>
        <v>194</v>
      </c>
      <c r="F196" s="60" t="str">
        <f>IF(FT!A196&lt;&gt;"",FT!A196*10,"")</f>
        <v/>
      </c>
      <c r="G196" s="60" t="str">
        <f>IF(FT!B196&lt;&gt;"",FT!B196*100,"")</f>
        <v/>
      </c>
      <c r="H196" s="60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0">
        <f t="shared" si="18"/>
        <v>195</v>
      </c>
      <c r="B197" s="60">
        <f t="shared" si="16"/>
        <v>3.7404058823529409</v>
      </c>
      <c r="C197" s="60">
        <f>FH!A197*1</f>
        <v>0</v>
      </c>
      <c r="D197" s="60">
        <f>FH!B197*1</f>
        <v>0</v>
      </c>
      <c r="E197">
        <f t="shared" si="19"/>
        <v>195</v>
      </c>
      <c r="F197" s="60" t="str">
        <f>IF(FT!A197&lt;&gt;"",FT!A197*10,"")</f>
        <v/>
      </c>
      <c r="G197" s="60" t="str">
        <f>IF(FT!B197&lt;&gt;"",FT!B197*100,"")</f>
        <v/>
      </c>
      <c r="H197" s="60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0">
        <f t="shared" si="18"/>
        <v>196</v>
      </c>
      <c r="B198" s="60">
        <f t="shared" si="16"/>
        <v>3.7595874509803924</v>
      </c>
      <c r="C198" s="60">
        <f>FH!A198*1</f>
        <v>265</v>
      </c>
      <c r="D198" s="60">
        <f>FH!B198*1</f>
        <v>265</v>
      </c>
      <c r="E198">
        <f t="shared" si="19"/>
        <v>196</v>
      </c>
      <c r="F198" s="60" t="str">
        <f>IF(FT!A198&lt;&gt;"",FT!A198*10,"")</f>
        <v/>
      </c>
      <c r="G198" s="60" t="str">
        <f>IF(FT!B198&lt;&gt;"",FT!B198*100,"")</f>
        <v/>
      </c>
      <c r="H198" s="60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0">
        <f t="shared" si="18"/>
        <v>197</v>
      </c>
      <c r="B199" s="60">
        <f t="shared" si="16"/>
        <v>3.7787690196078434</v>
      </c>
      <c r="C199" s="60">
        <f>FH!A199*1</f>
        <v>0</v>
      </c>
      <c r="D199" s="60">
        <f>FH!B199*1</f>
        <v>0</v>
      </c>
      <c r="E199">
        <f t="shared" si="19"/>
        <v>197</v>
      </c>
      <c r="F199" s="60" t="str">
        <f>IF(FT!A199&lt;&gt;"",FT!A199*10,"")</f>
        <v/>
      </c>
      <c r="G199" s="60" t="str">
        <f>IF(FT!B199&lt;&gt;"",FT!B199*100,"")</f>
        <v/>
      </c>
      <c r="H199" s="60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0">
        <f t="shared" si="18"/>
        <v>198</v>
      </c>
      <c r="B200" s="60">
        <f t="shared" si="16"/>
        <v>3.7979505882352944</v>
      </c>
      <c r="C200" s="60">
        <f>FH!A200*1</f>
        <v>0</v>
      </c>
      <c r="D200" s="60">
        <f>FH!B200*1</f>
        <v>0</v>
      </c>
      <c r="E200">
        <f t="shared" si="19"/>
        <v>198</v>
      </c>
      <c r="F200" s="60" t="str">
        <f>IF(FT!A200&lt;&gt;"",FT!A200*10,"")</f>
        <v/>
      </c>
      <c r="G200" s="60" t="str">
        <f>IF(FT!B200&lt;&gt;"",FT!B200*100,"")</f>
        <v/>
      </c>
      <c r="H200" s="60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0">
        <f t="shared" si="18"/>
        <v>199</v>
      </c>
      <c r="B201" s="60">
        <f t="shared" si="16"/>
        <v>3.8171321568627454</v>
      </c>
      <c r="C201" s="60">
        <f>FH!A201*1</f>
        <v>159</v>
      </c>
      <c r="D201" s="60">
        <f>FH!B201*1</f>
        <v>159</v>
      </c>
      <c r="E201">
        <f t="shared" si="19"/>
        <v>199</v>
      </c>
      <c r="F201" s="60" t="str">
        <f>IF(FT!A201&lt;&gt;"",FT!A201*10,"")</f>
        <v/>
      </c>
      <c r="G201" s="60" t="str">
        <f>IF(FT!B201&lt;&gt;"",FT!B201*100,"")</f>
        <v/>
      </c>
      <c r="H201" s="60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0">
        <f t="shared" si="18"/>
        <v>200</v>
      </c>
      <c r="B202" s="60">
        <f t="shared" si="16"/>
        <v>3.836313725490196</v>
      </c>
      <c r="C202" s="60">
        <f>FH!A202*1</f>
        <v>0</v>
      </c>
      <c r="D202" s="60">
        <f>FH!B202*1</f>
        <v>0</v>
      </c>
      <c r="E202">
        <f t="shared" si="19"/>
        <v>200</v>
      </c>
      <c r="F202" s="60" t="str">
        <f>IF(FT!A202&lt;&gt;"",FT!A202*10,"")</f>
        <v/>
      </c>
      <c r="G202" s="60" t="str">
        <f>IF(FT!B202&lt;&gt;"",FT!B202*100,"")</f>
        <v/>
      </c>
      <c r="H202" s="60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0">
        <f t="shared" si="18"/>
        <v>201</v>
      </c>
      <c r="B203" s="60">
        <f t="shared" si="16"/>
        <v>3.855495294117647</v>
      </c>
      <c r="C203" s="60">
        <f>FH!A203*1</f>
        <v>719</v>
      </c>
      <c r="D203" s="60">
        <f>FH!B203*1</f>
        <v>719</v>
      </c>
      <c r="E203">
        <f t="shared" si="19"/>
        <v>201</v>
      </c>
      <c r="F203" s="60" t="str">
        <f>IF(FT!A203&lt;&gt;"",FT!A203*10,"")</f>
        <v/>
      </c>
      <c r="G203" s="60" t="str">
        <f>IF(FT!B203&lt;&gt;"",FT!B203*100,"")</f>
        <v/>
      </c>
      <c r="H203" s="60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0">
        <f t="shared" si="18"/>
        <v>202</v>
      </c>
      <c r="B204" s="60">
        <f t="shared" si="16"/>
        <v>3.874676862745098</v>
      </c>
      <c r="C204" s="60">
        <f>FH!A204*1</f>
        <v>0</v>
      </c>
      <c r="D204" s="60">
        <f>FH!B204*1</f>
        <v>0</v>
      </c>
      <c r="E204">
        <f t="shared" si="19"/>
        <v>202</v>
      </c>
      <c r="F204" s="60" t="str">
        <f>IF(FT!A204&lt;&gt;"",FT!A204*10,"")</f>
        <v/>
      </c>
      <c r="G204" s="60" t="str">
        <f>IF(FT!B204&lt;&gt;"",FT!B204*100,"")</f>
        <v/>
      </c>
      <c r="H204" s="60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0">
        <f t="shared" si="18"/>
        <v>203</v>
      </c>
      <c r="B205" s="60">
        <f t="shared" si="16"/>
        <v>3.8938584313725491</v>
      </c>
      <c r="C205" s="60">
        <f>FH!A205*1</f>
        <v>0</v>
      </c>
      <c r="D205" s="60">
        <f>FH!B205*1</f>
        <v>0</v>
      </c>
      <c r="E205">
        <f t="shared" si="19"/>
        <v>203</v>
      </c>
      <c r="F205" s="60" t="str">
        <f>IF(FT!A205&lt;&gt;"",FT!A205*10,"")</f>
        <v/>
      </c>
      <c r="G205" s="60" t="str">
        <f>IF(FT!B205&lt;&gt;"",FT!B205*100,"")</f>
        <v/>
      </c>
      <c r="H205" s="60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0">
        <f t="shared" si="18"/>
        <v>204</v>
      </c>
      <c r="B206" s="60">
        <f t="shared" si="16"/>
        <v>3.9130400000000005</v>
      </c>
      <c r="C206" s="60">
        <f>FH!A206*1</f>
        <v>323</v>
      </c>
      <c r="D206" s="60">
        <f>FH!B206*1</f>
        <v>323</v>
      </c>
      <c r="E206">
        <f t="shared" si="19"/>
        <v>204</v>
      </c>
      <c r="F206" s="60" t="str">
        <f>IF(FT!A206&lt;&gt;"",FT!A206*10,"")</f>
        <v/>
      </c>
      <c r="G206" s="60" t="str">
        <f>IF(FT!B206&lt;&gt;"",FT!B206*100,"")</f>
        <v/>
      </c>
      <c r="H206" s="60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0">
        <f t="shared" si="18"/>
        <v>205</v>
      </c>
      <c r="B207" s="60">
        <f t="shared" si="16"/>
        <v>3.9322215686274511</v>
      </c>
      <c r="C207" s="60">
        <f>FH!A207*1</f>
        <v>0</v>
      </c>
      <c r="D207" s="60">
        <f>FH!B207*1</f>
        <v>0</v>
      </c>
      <c r="E207">
        <f t="shared" si="19"/>
        <v>205</v>
      </c>
      <c r="F207" s="60" t="str">
        <f>IF(FT!A207&lt;&gt;"",FT!A207*10,"")</f>
        <v/>
      </c>
      <c r="G207" s="60" t="str">
        <f>IF(FT!B207&lt;&gt;"",FT!B207*100,"")</f>
        <v/>
      </c>
      <c r="H207" s="60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0">
        <f t="shared" si="18"/>
        <v>206</v>
      </c>
      <c r="B208" s="60">
        <f t="shared" si="16"/>
        <v>3.9514031372549021</v>
      </c>
      <c r="C208" s="60">
        <f>FH!A208*1</f>
        <v>0</v>
      </c>
      <c r="D208" s="60">
        <f>FH!B208*1</f>
        <v>0</v>
      </c>
      <c r="E208">
        <f t="shared" si="19"/>
        <v>206</v>
      </c>
      <c r="F208" s="60" t="str">
        <f>IF(FT!A208&lt;&gt;"",FT!A208*10,"")</f>
        <v/>
      </c>
      <c r="G208" s="60" t="str">
        <f>IF(FT!B208&lt;&gt;"",FT!B208*100,"")</f>
        <v/>
      </c>
      <c r="H208" s="60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0">
        <f t="shared" si="18"/>
        <v>207</v>
      </c>
      <c r="B209" s="60">
        <f t="shared" si="16"/>
        <v>3.9705847058823531</v>
      </c>
      <c r="C209" s="60">
        <f>FH!A209*1</f>
        <v>405</v>
      </c>
      <c r="D209" s="60">
        <f>FH!B209*1</f>
        <v>405</v>
      </c>
      <c r="E209">
        <f t="shared" si="19"/>
        <v>207</v>
      </c>
      <c r="F209" s="60" t="str">
        <f>IF(FT!A209&lt;&gt;"",FT!A209*10,"")</f>
        <v/>
      </c>
      <c r="G209" s="60" t="str">
        <f>IF(FT!B209&lt;&gt;"",FT!B209*100,"")</f>
        <v/>
      </c>
      <c r="H209" s="60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0">
        <f t="shared" si="18"/>
        <v>208</v>
      </c>
      <c r="B210" s="60">
        <f t="shared" si="16"/>
        <v>3.9897662745098041</v>
      </c>
      <c r="C210" s="60">
        <f>FH!A210*1</f>
        <v>0</v>
      </c>
      <c r="D210" s="60">
        <f>FH!B210*1</f>
        <v>0</v>
      </c>
      <c r="E210">
        <f t="shared" si="19"/>
        <v>208</v>
      </c>
      <c r="F210" s="60" t="str">
        <f>IF(FT!A210&lt;&gt;"",FT!A210*10,"")</f>
        <v/>
      </c>
      <c r="G210" s="60" t="str">
        <f>IF(FT!B210&lt;&gt;"",FT!B210*100,"")</f>
        <v/>
      </c>
      <c r="H210" s="60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0">
        <f t="shared" si="18"/>
        <v>209</v>
      </c>
      <c r="B211" s="60">
        <f t="shared" si="16"/>
        <v>4.0089478431372552</v>
      </c>
      <c r="C211" s="60">
        <f>FH!A211*1</f>
        <v>487</v>
      </c>
      <c r="D211" s="60">
        <f>FH!B211*1</f>
        <v>487</v>
      </c>
      <c r="E211">
        <f t="shared" si="19"/>
        <v>209</v>
      </c>
      <c r="F211" s="60" t="str">
        <f>IF(FT!A211&lt;&gt;"",FT!A211*10,"")</f>
        <v/>
      </c>
      <c r="G211" s="60" t="str">
        <f>IF(FT!B211&lt;&gt;"",FT!B211*100,"")</f>
        <v/>
      </c>
      <c r="H211" s="60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0">
        <f t="shared" si="18"/>
        <v>210</v>
      </c>
      <c r="B212" s="60">
        <f t="shared" si="16"/>
        <v>4.0281294117647057</v>
      </c>
      <c r="C212" s="60">
        <f>FH!A212*1</f>
        <v>0</v>
      </c>
      <c r="D212" s="60">
        <f>FH!B212*1</f>
        <v>0</v>
      </c>
      <c r="E212">
        <f t="shared" si="19"/>
        <v>210</v>
      </c>
      <c r="F212" s="60" t="str">
        <f>IF(FT!A212&lt;&gt;"",FT!A212*10,"")</f>
        <v/>
      </c>
      <c r="G212" s="60" t="str">
        <f>IF(FT!B212&lt;&gt;"",FT!B212*100,"")</f>
        <v/>
      </c>
      <c r="H212" s="60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0">
        <f t="shared" si="18"/>
        <v>211</v>
      </c>
      <c r="B213" s="60">
        <f t="shared" si="16"/>
        <v>4.0473109803921572</v>
      </c>
      <c r="C213" s="60">
        <f>FH!A213*1</f>
        <v>0</v>
      </c>
      <c r="D213" s="60">
        <f>FH!B213*1</f>
        <v>0</v>
      </c>
      <c r="E213">
        <f t="shared" si="19"/>
        <v>211</v>
      </c>
      <c r="F213" s="60" t="str">
        <f>IF(FT!A213&lt;&gt;"",FT!A213*10,"")</f>
        <v/>
      </c>
      <c r="G213" s="60" t="str">
        <f>IF(FT!B213&lt;&gt;"",FT!B213*100,"")</f>
        <v/>
      </c>
      <c r="H213" s="60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0">
        <f t="shared" si="18"/>
        <v>212</v>
      </c>
      <c r="B214" s="60">
        <f t="shared" si="16"/>
        <v>4.0664925490196087</v>
      </c>
      <c r="C214" s="60">
        <f>FH!A214*1</f>
        <v>0</v>
      </c>
      <c r="D214" s="60">
        <f>FH!B214*1</f>
        <v>0</v>
      </c>
      <c r="E214">
        <f t="shared" si="19"/>
        <v>212</v>
      </c>
      <c r="F214" s="60" t="str">
        <f>IF(FT!A214&lt;&gt;"",FT!A214*10,"")</f>
        <v/>
      </c>
      <c r="G214" s="60" t="str">
        <f>IF(FT!B214&lt;&gt;"",FT!B214*100,"")</f>
        <v/>
      </c>
      <c r="H214" s="60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0">
        <f t="shared" si="18"/>
        <v>213</v>
      </c>
      <c r="B215" s="60">
        <f t="shared" si="16"/>
        <v>4.0856741176470592</v>
      </c>
      <c r="C215" s="60">
        <f>FH!A215*1</f>
        <v>0</v>
      </c>
      <c r="D215" s="60">
        <f>FH!B215*1</f>
        <v>0</v>
      </c>
      <c r="E215">
        <f t="shared" si="19"/>
        <v>213</v>
      </c>
      <c r="F215" s="60" t="str">
        <f>IF(FT!A215&lt;&gt;"",FT!A215*10,"")</f>
        <v/>
      </c>
      <c r="G215" s="60" t="str">
        <f>IF(FT!B215&lt;&gt;"",FT!B215*100,"")</f>
        <v/>
      </c>
      <c r="H215" s="60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0">
        <f t="shared" si="18"/>
        <v>214</v>
      </c>
      <c r="B216" s="60">
        <f t="shared" si="16"/>
        <v>4.1048556862745098</v>
      </c>
      <c r="C216" s="60">
        <f>FH!A216*1</f>
        <v>0</v>
      </c>
      <c r="D216" s="60">
        <f>FH!B216*1</f>
        <v>0</v>
      </c>
      <c r="E216">
        <f t="shared" si="19"/>
        <v>214</v>
      </c>
      <c r="F216" s="60" t="str">
        <f>IF(FT!A216&lt;&gt;"",FT!A216*10,"")</f>
        <v/>
      </c>
      <c r="G216" s="60" t="str">
        <f>IF(FT!B216&lt;&gt;"",FT!B216*100,"")</f>
        <v/>
      </c>
      <c r="H216" s="60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0">
        <f t="shared" si="18"/>
        <v>215</v>
      </c>
      <c r="B217" s="60">
        <f t="shared" si="16"/>
        <v>4.1240372549019613</v>
      </c>
      <c r="C217" s="60">
        <f>FH!A217*1</f>
        <v>0</v>
      </c>
      <c r="D217" s="60">
        <f>FH!B217*1</f>
        <v>0</v>
      </c>
      <c r="E217">
        <f t="shared" si="19"/>
        <v>215</v>
      </c>
      <c r="F217" s="60" t="str">
        <f>IF(FT!A217&lt;&gt;"",FT!A217*10,"")</f>
        <v/>
      </c>
      <c r="G217" s="60" t="str">
        <f>IF(FT!B217&lt;&gt;"",FT!B217*100,"")</f>
        <v/>
      </c>
      <c r="H217" s="60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0">
        <f t="shared" si="18"/>
        <v>216</v>
      </c>
      <c r="B218" s="60">
        <f t="shared" si="16"/>
        <v>4.1432188235294118</v>
      </c>
      <c r="C218" s="60">
        <f>FH!A218*1</f>
        <v>0</v>
      </c>
      <c r="D218" s="60">
        <f>FH!B218*1</f>
        <v>0</v>
      </c>
      <c r="E218">
        <f t="shared" si="19"/>
        <v>216</v>
      </c>
      <c r="F218" s="60" t="str">
        <f>IF(FT!A218&lt;&gt;"",FT!A218*10,"")</f>
        <v/>
      </c>
      <c r="G218" s="60" t="str">
        <f>IF(FT!B218&lt;&gt;"",FT!B218*100,"")</f>
        <v/>
      </c>
      <c r="H218" s="60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0">
        <f t="shared" si="18"/>
        <v>217</v>
      </c>
      <c r="B219" s="60">
        <f t="shared" si="16"/>
        <v>4.1624003921568624</v>
      </c>
      <c r="C219" s="60">
        <f>FH!A219*1</f>
        <v>0</v>
      </c>
      <c r="D219" s="60">
        <f>FH!B219*1</f>
        <v>0</v>
      </c>
      <c r="E219">
        <f t="shared" si="19"/>
        <v>217</v>
      </c>
      <c r="F219" s="60" t="str">
        <f>IF(FT!A219&lt;&gt;"",FT!A219*10,"")</f>
        <v/>
      </c>
      <c r="G219" s="60" t="str">
        <f>IF(FT!B219&lt;&gt;"",FT!B219*100,"")</f>
        <v/>
      </c>
      <c r="H219" s="60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0">
        <f t="shared" si="18"/>
        <v>218</v>
      </c>
      <c r="B220" s="60">
        <f t="shared" si="16"/>
        <v>4.1815819607843139</v>
      </c>
      <c r="C220" s="60">
        <f>FH!A220*1</f>
        <v>0</v>
      </c>
      <c r="D220" s="60">
        <f>FH!B220*1</f>
        <v>0</v>
      </c>
      <c r="E220">
        <f t="shared" si="19"/>
        <v>218</v>
      </c>
      <c r="F220" s="60" t="str">
        <f>IF(FT!A220&lt;&gt;"",FT!A220*10,"")</f>
        <v/>
      </c>
      <c r="G220" s="60" t="str">
        <f>IF(FT!B220&lt;&gt;"",FT!B220*100,"")</f>
        <v/>
      </c>
      <c r="H220" s="60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0">
        <f t="shared" si="18"/>
        <v>219</v>
      </c>
      <c r="B221" s="60">
        <f t="shared" si="16"/>
        <v>4.2007635294117645</v>
      </c>
      <c r="C221" s="60">
        <f>FH!A221*1</f>
        <v>0</v>
      </c>
      <c r="D221" s="60">
        <f>FH!B221*1</f>
        <v>0</v>
      </c>
      <c r="E221">
        <f t="shared" si="19"/>
        <v>219</v>
      </c>
      <c r="F221" s="60" t="str">
        <f>IF(FT!A221&lt;&gt;"",FT!A221*10,"")</f>
        <v/>
      </c>
      <c r="G221" s="60" t="str">
        <f>IF(FT!B221&lt;&gt;"",FT!B221*100,"")</f>
        <v/>
      </c>
      <c r="H221" s="60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0">
        <f t="shared" si="18"/>
        <v>220</v>
      </c>
      <c r="B222" s="60">
        <f t="shared" si="16"/>
        <v>4.2199450980392159</v>
      </c>
      <c r="C222" s="60">
        <f>FH!A222*1</f>
        <v>0</v>
      </c>
      <c r="D222" s="60">
        <f>FH!B222*1</f>
        <v>0</v>
      </c>
      <c r="E222">
        <f t="shared" si="19"/>
        <v>220</v>
      </c>
      <c r="F222" s="60" t="str">
        <f>IF(FT!A222&lt;&gt;"",FT!A222*10,"")</f>
        <v/>
      </c>
      <c r="G222" s="60" t="str">
        <f>IF(FT!B222&lt;&gt;"",FT!B222*100,"")</f>
        <v/>
      </c>
      <c r="H222" s="60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0">
        <f t="shared" si="18"/>
        <v>221</v>
      </c>
      <c r="B223" s="60">
        <f t="shared" si="16"/>
        <v>4.2391266666666674</v>
      </c>
      <c r="C223" s="60">
        <f>FH!A223*1</f>
        <v>0</v>
      </c>
      <c r="D223" s="60">
        <f>FH!B223*1</f>
        <v>0</v>
      </c>
      <c r="E223">
        <f t="shared" si="19"/>
        <v>221</v>
      </c>
      <c r="F223" s="60" t="str">
        <f>IF(FT!A223&lt;&gt;"",FT!A223*10,"")</f>
        <v/>
      </c>
      <c r="G223" s="60" t="str">
        <f>IF(FT!B223&lt;&gt;"",FT!B223*100,"")</f>
        <v/>
      </c>
      <c r="H223" s="60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0">
        <f t="shared" si="18"/>
        <v>222</v>
      </c>
      <c r="B224" s="60">
        <f t="shared" si="16"/>
        <v>4.2583082352941179</v>
      </c>
      <c r="C224" s="60">
        <f>FH!A224*1</f>
        <v>0</v>
      </c>
      <c r="D224" s="60">
        <f>FH!B224*1</f>
        <v>0</v>
      </c>
      <c r="E224">
        <f t="shared" si="19"/>
        <v>222</v>
      </c>
      <c r="F224" s="60" t="str">
        <f>IF(FT!A224&lt;&gt;"",FT!A224*10,"")</f>
        <v/>
      </c>
      <c r="G224" s="60" t="str">
        <f>IF(FT!B224&lt;&gt;"",FT!B224*100,"")</f>
        <v/>
      </c>
      <c r="H224" s="60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0">
        <f t="shared" si="18"/>
        <v>223</v>
      </c>
      <c r="B225" s="60">
        <f t="shared" si="16"/>
        <v>4.2774898039215685</v>
      </c>
      <c r="C225" s="60">
        <f>FH!A225*1</f>
        <v>0</v>
      </c>
      <c r="D225" s="60">
        <f>FH!B225*1</f>
        <v>0</v>
      </c>
      <c r="E225">
        <f t="shared" si="19"/>
        <v>223</v>
      </c>
      <c r="F225" s="60" t="str">
        <f>IF(FT!A225&lt;&gt;"",FT!A225*10,"")</f>
        <v/>
      </c>
      <c r="G225" s="60" t="str">
        <f>IF(FT!B225&lt;&gt;"",FT!B225*100,"")</f>
        <v/>
      </c>
      <c r="H225" s="60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0">
        <f t="shared" si="18"/>
        <v>224</v>
      </c>
      <c r="B226" s="60">
        <f t="shared" si="16"/>
        <v>4.29667137254902</v>
      </c>
      <c r="C226" s="60">
        <f>FH!A226*1</f>
        <v>0</v>
      </c>
      <c r="D226" s="60">
        <f>FH!B226*1</f>
        <v>0</v>
      </c>
      <c r="E226">
        <f t="shared" si="19"/>
        <v>224</v>
      </c>
      <c r="F226" s="60" t="str">
        <f>IF(FT!A226&lt;&gt;"",FT!A226*10,"")</f>
        <v/>
      </c>
      <c r="G226" s="60" t="str">
        <f>IF(FT!B226&lt;&gt;"",FT!B226*100,"")</f>
        <v/>
      </c>
      <c r="H226" s="60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0">
        <f t="shared" si="18"/>
        <v>225</v>
      </c>
      <c r="B227" s="60">
        <f t="shared" si="16"/>
        <v>4.3158529411764706</v>
      </c>
      <c r="C227" s="60">
        <f>FH!A227*1</f>
        <v>0</v>
      </c>
      <c r="D227" s="60">
        <f>FH!B227*1</f>
        <v>0</v>
      </c>
      <c r="E227">
        <f t="shared" si="19"/>
        <v>225</v>
      </c>
      <c r="F227" s="60" t="str">
        <f>IF(FT!A227&lt;&gt;"",FT!A227*10,"")</f>
        <v/>
      </c>
      <c r="G227" s="60" t="str">
        <f>IF(FT!B227&lt;&gt;"",FT!B227*100,"")</f>
        <v/>
      </c>
      <c r="H227" s="60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0">
        <f t="shared" si="18"/>
        <v>226</v>
      </c>
      <c r="B228" s="60">
        <f t="shared" si="16"/>
        <v>4.3350345098039211</v>
      </c>
      <c r="C228" s="60">
        <f>FH!A228*1</f>
        <v>0</v>
      </c>
      <c r="D228" s="60">
        <f>FH!B228*1</f>
        <v>0</v>
      </c>
      <c r="E228">
        <f t="shared" si="19"/>
        <v>226</v>
      </c>
      <c r="F228" s="60" t="str">
        <f>IF(FT!A228&lt;&gt;"",FT!A228*10,"")</f>
        <v/>
      </c>
      <c r="G228" s="60" t="str">
        <f>IF(FT!B228&lt;&gt;"",FT!B228*100,"")</f>
        <v/>
      </c>
      <c r="H228" s="60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0">
        <f t="shared" si="18"/>
        <v>227</v>
      </c>
      <c r="B229" s="60">
        <f t="shared" si="16"/>
        <v>4.3542160784313726</v>
      </c>
      <c r="C229" s="60">
        <f>FH!A229*1</f>
        <v>0</v>
      </c>
      <c r="D229" s="60">
        <f>FH!B229*1</f>
        <v>0</v>
      </c>
      <c r="E229">
        <f t="shared" si="19"/>
        <v>227</v>
      </c>
      <c r="F229" s="60" t="str">
        <f>IF(FT!A229&lt;&gt;"",FT!A229*10,"")</f>
        <v/>
      </c>
      <c r="G229" s="60" t="str">
        <f>IF(FT!B229&lt;&gt;"",FT!B229*100,"")</f>
        <v/>
      </c>
      <c r="H229" s="60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0">
        <f t="shared" si="18"/>
        <v>228</v>
      </c>
      <c r="B230" s="60">
        <f t="shared" si="16"/>
        <v>4.3733976470588241</v>
      </c>
      <c r="C230" s="60">
        <f>FH!A230*1</f>
        <v>0</v>
      </c>
      <c r="D230" s="60">
        <f>FH!B230*1</f>
        <v>0</v>
      </c>
      <c r="E230">
        <f t="shared" si="19"/>
        <v>228</v>
      </c>
      <c r="F230" s="60" t="str">
        <f>IF(FT!A230&lt;&gt;"",FT!A230*10,"")</f>
        <v/>
      </c>
      <c r="G230" s="60" t="str">
        <f>IF(FT!B230&lt;&gt;"",FT!B230*100,"")</f>
        <v/>
      </c>
      <c r="H230" s="60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0">
        <f t="shared" si="18"/>
        <v>229</v>
      </c>
      <c r="B231" s="60">
        <f t="shared" si="16"/>
        <v>4.3925792156862746</v>
      </c>
      <c r="C231" s="60">
        <f>FH!A231*1</f>
        <v>0</v>
      </c>
      <c r="D231" s="60">
        <f>FH!B231*1</f>
        <v>0</v>
      </c>
      <c r="E231">
        <f t="shared" si="19"/>
        <v>229</v>
      </c>
      <c r="F231" s="60" t="str">
        <f>IF(FT!A231&lt;&gt;"",FT!A231*10,"")</f>
        <v/>
      </c>
      <c r="G231" s="60" t="str">
        <f>IF(FT!B231&lt;&gt;"",FT!B231*100,"")</f>
        <v/>
      </c>
      <c r="H231" s="60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0">
        <f t="shared" si="18"/>
        <v>230</v>
      </c>
      <c r="B232" s="60">
        <f t="shared" si="16"/>
        <v>4.4117607843137261</v>
      </c>
      <c r="C232" s="60">
        <f>FH!A232*1</f>
        <v>0</v>
      </c>
      <c r="D232" s="60">
        <f>FH!B232*1</f>
        <v>0</v>
      </c>
      <c r="E232">
        <f t="shared" si="19"/>
        <v>230</v>
      </c>
      <c r="F232" s="60" t="str">
        <f>IF(FT!A232&lt;&gt;"",FT!A232*10,"")</f>
        <v/>
      </c>
      <c r="G232" s="60" t="str">
        <f>IF(FT!B232&lt;&gt;"",FT!B232*100,"")</f>
        <v/>
      </c>
      <c r="H232" s="60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0">
        <f t="shared" si="18"/>
        <v>231</v>
      </c>
      <c r="B233" s="60">
        <f t="shared" si="16"/>
        <v>4.4309423529411767</v>
      </c>
      <c r="C233" s="60">
        <f>FH!A233*1</f>
        <v>0</v>
      </c>
      <c r="D233" s="60">
        <f>FH!B233*1</f>
        <v>0</v>
      </c>
      <c r="E233">
        <f t="shared" si="19"/>
        <v>231</v>
      </c>
      <c r="F233" s="60" t="str">
        <f>IF(FT!A233&lt;&gt;"",FT!A233*10,"")</f>
        <v/>
      </c>
      <c r="G233" s="60" t="str">
        <f>IF(FT!B233&lt;&gt;"",FT!B233*100,"")</f>
        <v/>
      </c>
      <c r="H233" s="60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0">
        <f t="shared" si="18"/>
        <v>232</v>
      </c>
      <c r="B234" s="60">
        <f t="shared" si="16"/>
        <v>4.4501239215686272</v>
      </c>
      <c r="C234" s="60">
        <f>FH!A234*1</f>
        <v>0</v>
      </c>
      <c r="D234" s="60">
        <f>FH!B234*1</f>
        <v>0</v>
      </c>
      <c r="E234">
        <f t="shared" si="19"/>
        <v>232</v>
      </c>
      <c r="F234" s="60" t="str">
        <f>IF(FT!A234&lt;&gt;"",FT!A234*10,"")</f>
        <v/>
      </c>
      <c r="G234" s="60" t="str">
        <f>IF(FT!B234&lt;&gt;"",FT!B234*100,"")</f>
        <v/>
      </c>
      <c r="H234" s="60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0">
        <f t="shared" si="18"/>
        <v>233</v>
      </c>
      <c r="B235" s="60">
        <f t="shared" si="16"/>
        <v>4.4693054901960787</v>
      </c>
      <c r="C235" s="60">
        <f>FH!A235*1</f>
        <v>0</v>
      </c>
      <c r="D235" s="60">
        <f>FH!B235*1</f>
        <v>0</v>
      </c>
      <c r="E235">
        <f t="shared" si="19"/>
        <v>233</v>
      </c>
      <c r="F235" s="60" t="str">
        <f>IF(FT!A235&lt;&gt;"",FT!A235*10,"")</f>
        <v/>
      </c>
      <c r="G235" s="60" t="str">
        <f>IF(FT!B235&lt;&gt;"",FT!B235*100,"")</f>
        <v/>
      </c>
      <c r="H235" s="60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0">
        <f t="shared" si="18"/>
        <v>234</v>
      </c>
      <c r="B236" s="60">
        <f t="shared" si="16"/>
        <v>4.4884870588235293</v>
      </c>
      <c r="C236" s="60">
        <f>FH!A236*1</f>
        <v>0</v>
      </c>
      <c r="D236" s="60">
        <f>FH!B236*1</f>
        <v>0</v>
      </c>
      <c r="E236">
        <f t="shared" si="19"/>
        <v>234</v>
      </c>
      <c r="F236" s="60" t="str">
        <f>IF(FT!A236&lt;&gt;"",FT!A236*10,"")</f>
        <v/>
      </c>
      <c r="G236" s="60" t="str">
        <f>IF(FT!B236&lt;&gt;"",FT!B236*100,"")</f>
        <v/>
      </c>
      <c r="H236" s="60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0">
        <f t="shared" si="18"/>
        <v>235</v>
      </c>
      <c r="B237" s="60">
        <f t="shared" si="16"/>
        <v>4.5076686274509807</v>
      </c>
      <c r="C237" s="60">
        <f>FH!A237*1</f>
        <v>0</v>
      </c>
      <c r="D237" s="60">
        <f>FH!B237*1</f>
        <v>0</v>
      </c>
      <c r="E237">
        <f t="shared" si="19"/>
        <v>235</v>
      </c>
      <c r="F237" s="60" t="str">
        <f>IF(FT!A237&lt;&gt;"",FT!A237*10,"")</f>
        <v/>
      </c>
      <c r="G237" s="60" t="str">
        <f>IF(FT!B237&lt;&gt;"",FT!B237*100,"")</f>
        <v/>
      </c>
      <c r="H237" s="60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0">
        <f t="shared" si="18"/>
        <v>236</v>
      </c>
      <c r="B238" s="60">
        <f t="shared" si="16"/>
        <v>4.5268501960784322</v>
      </c>
      <c r="C238" s="60">
        <f>FH!A238*1</f>
        <v>0</v>
      </c>
      <c r="D238" s="60">
        <f>FH!B238*1</f>
        <v>0</v>
      </c>
      <c r="E238">
        <f t="shared" si="19"/>
        <v>236</v>
      </c>
      <c r="F238" s="60" t="str">
        <f>IF(FT!A238&lt;&gt;"",FT!A238*10,"")</f>
        <v/>
      </c>
      <c r="G238" s="60" t="str">
        <f>IF(FT!B238&lt;&gt;"",FT!B238*100,"")</f>
        <v/>
      </c>
      <c r="H238" s="60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0">
        <f t="shared" si="18"/>
        <v>237</v>
      </c>
      <c r="B239" s="60">
        <f t="shared" si="16"/>
        <v>4.5460317647058828</v>
      </c>
      <c r="C239" s="60">
        <f>FH!A239*1</f>
        <v>0</v>
      </c>
      <c r="D239" s="60">
        <f>FH!B239*1</f>
        <v>0</v>
      </c>
      <c r="E239">
        <f t="shared" si="19"/>
        <v>237</v>
      </c>
      <c r="F239" s="60" t="str">
        <f>IF(FT!A239&lt;&gt;"",FT!A239*10,"")</f>
        <v/>
      </c>
      <c r="G239" s="60" t="str">
        <f>IF(FT!B239&lt;&gt;"",FT!B239*100,"")</f>
        <v/>
      </c>
      <c r="H239" s="60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0">
        <f t="shared" si="18"/>
        <v>238</v>
      </c>
      <c r="B240" s="60">
        <f t="shared" si="16"/>
        <v>4.5652133333333333</v>
      </c>
      <c r="C240" s="60">
        <f>FH!A240*1</f>
        <v>0</v>
      </c>
      <c r="D240" s="60">
        <f>FH!B240*1</f>
        <v>0</v>
      </c>
      <c r="E240">
        <f t="shared" si="19"/>
        <v>238</v>
      </c>
      <c r="F240" s="60" t="str">
        <f>IF(FT!A240&lt;&gt;"",FT!A240*10,"")</f>
        <v/>
      </c>
      <c r="G240" s="60" t="str">
        <f>IF(FT!B240&lt;&gt;"",FT!B240*100,"")</f>
        <v/>
      </c>
      <c r="H240" s="60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0">
        <f t="shared" si="18"/>
        <v>239</v>
      </c>
      <c r="B241" s="60">
        <f t="shared" si="16"/>
        <v>4.5843949019607848</v>
      </c>
      <c r="C241" s="60">
        <f>FH!A241*1</f>
        <v>0</v>
      </c>
      <c r="D241" s="60">
        <f>FH!B241*1</f>
        <v>0</v>
      </c>
      <c r="E241">
        <f t="shared" si="19"/>
        <v>239</v>
      </c>
      <c r="F241" s="60" t="str">
        <f>IF(FT!A241&lt;&gt;"",FT!A241*10,"")</f>
        <v/>
      </c>
      <c r="G241" s="60" t="str">
        <f>IF(FT!B241&lt;&gt;"",FT!B241*100,"")</f>
        <v/>
      </c>
      <c r="H241" s="60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0">
        <f t="shared" si="18"/>
        <v>240</v>
      </c>
      <c r="B242" s="60">
        <f t="shared" si="16"/>
        <v>4.6035764705882354</v>
      </c>
      <c r="C242" s="60">
        <f>FH!A242*1</f>
        <v>0</v>
      </c>
      <c r="D242" s="60">
        <f>FH!B242*1</f>
        <v>0</v>
      </c>
      <c r="E242">
        <f t="shared" si="19"/>
        <v>240</v>
      </c>
      <c r="F242" s="60" t="str">
        <f>IF(FT!A242&lt;&gt;"",FT!A242*10,"")</f>
        <v/>
      </c>
      <c r="G242" s="60" t="str">
        <f>IF(FT!B242&lt;&gt;"",FT!B242*100,"")</f>
        <v/>
      </c>
      <c r="H242" s="60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0">
        <f t="shared" si="18"/>
        <v>241</v>
      </c>
      <c r="B243" s="60">
        <f t="shared" si="16"/>
        <v>4.622758039215686</v>
      </c>
      <c r="C243" s="60">
        <f>FH!A243*1</f>
        <v>0</v>
      </c>
      <c r="D243" s="60">
        <f>FH!B243*1</f>
        <v>0</v>
      </c>
      <c r="E243">
        <f t="shared" si="19"/>
        <v>241</v>
      </c>
      <c r="F243" s="60" t="str">
        <f>IF(FT!A243&lt;&gt;"",FT!A243*10,"")</f>
        <v/>
      </c>
      <c r="G243" s="60" t="str">
        <f>IF(FT!B243&lt;&gt;"",FT!B243*100,"")</f>
        <v/>
      </c>
      <c r="H243" s="60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0">
        <f t="shared" si="18"/>
        <v>242</v>
      </c>
      <c r="B244" s="60">
        <f t="shared" si="16"/>
        <v>4.6419396078431374</v>
      </c>
      <c r="C244" s="60">
        <f>FH!A244*1</f>
        <v>0</v>
      </c>
      <c r="D244" s="60">
        <f>FH!B244*1</f>
        <v>0</v>
      </c>
      <c r="E244">
        <f t="shared" si="19"/>
        <v>242</v>
      </c>
      <c r="F244" s="60" t="str">
        <f>IF(FT!A244&lt;&gt;"",FT!A244*10,"")</f>
        <v/>
      </c>
      <c r="G244" s="60" t="str">
        <f>IF(FT!B244&lt;&gt;"",FT!B244*100,"")</f>
        <v/>
      </c>
      <c r="H244" s="60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0">
        <f t="shared" si="18"/>
        <v>243</v>
      </c>
      <c r="B245" s="60">
        <f t="shared" si="16"/>
        <v>4.661121176470588</v>
      </c>
      <c r="C245" s="60">
        <f>FH!A245*1</f>
        <v>0</v>
      </c>
      <c r="D245" s="60">
        <f>FH!B245*1</f>
        <v>0</v>
      </c>
      <c r="E245">
        <f t="shared" si="19"/>
        <v>243</v>
      </c>
      <c r="F245" s="60" t="str">
        <f>IF(FT!A245&lt;&gt;"",FT!A245*10,"")</f>
        <v/>
      </c>
      <c r="G245" s="60" t="str">
        <f>IF(FT!B245&lt;&gt;"",FT!B245*100,"")</f>
        <v/>
      </c>
      <c r="H245" s="60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0">
        <f t="shared" si="18"/>
        <v>244</v>
      </c>
      <c r="B246" s="60">
        <f t="shared" si="16"/>
        <v>4.6803027450980395</v>
      </c>
      <c r="C246" s="60">
        <f>FH!A246*1</f>
        <v>0</v>
      </c>
      <c r="D246" s="60">
        <f>FH!B246*1</f>
        <v>0</v>
      </c>
      <c r="E246">
        <f t="shared" si="19"/>
        <v>244</v>
      </c>
      <c r="F246" s="60" t="str">
        <f>IF(FT!A246&lt;&gt;"",FT!A246*10,"")</f>
        <v/>
      </c>
      <c r="G246" s="60" t="str">
        <f>IF(FT!B246&lt;&gt;"",FT!B246*100,"")</f>
        <v/>
      </c>
      <c r="H246" s="60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0">
        <f t="shared" si="18"/>
        <v>245</v>
      </c>
      <c r="B247" s="60">
        <f t="shared" si="16"/>
        <v>4.6994843137254909</v>
      </c>
      <c r="C247" s="60">
        <f>FH!A247*1</f>
        <v>0</v>
      </c>
      <c r="D247" s="60">
        <f>FH!B247*1</f>
        <v>0</v>
      </c>
      <c r="E247">
        <f t="shared" si="19"/>
        <v>245</v>
      </c>
      <c r="F247" s="60" t="str">
        <f>IF(FT!A247&lt;&gt;"",FT!A247*10,"")</f>
        <v/>
      </c>
      <c r="G247" s="60" t="str">
        <f>IF(FT!B247&lt;&gt;"",FT!B247*100,"")</f>
        <v/>
      </c>
      <c r="H247" s="60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0">
        <f t="shared" si="18"/>
        <v>246</v>
      </c>
      <c r="B248" s="60">
        <f t="shared" si="16"/>
        <v>4.7186658823529415</v>
      </c>
      <c r="C248" s="60">
        <f>FH!A248*1</f>
        <v>0</v>
      </c>
      <c r="D248" s="60">
        <f>FH!B248*1</f>
        <v>0</v>
      </c>
      <c r="E248">
        <f t="shared" si="19"/>
        <v>246</v>
      </c>
      <c r="F248" s="60" t="str">
        <f>IF(FT!A248&lt;&gt;"",FT!A248*10,"")</f>
        <v/>
      </c>
      <c r="G248" s="60" t="str">
        <f>IF(FT!B248&lt;&gt;"",FT!B248*100,"")</f>
        <v/>
      </c>
      <c r="H248" s="60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0">
        <f t="shared" si="18"/>
        <v>247</v>
      </c>
      <c r="B249" s="60">
        <f t="shared" si="16"/>
        <v>4.7378474509803921</v>
      </c>
      <c r="C249" s="60">
        <f>FH!A249*1</f>
        <v>0</v>
      </c>
      <c r="D249" s="60">
        <f>FH!B249*1</f>
        <v>0</v>
      </c>
      <c r="E249">
        <f t="shared" si="19"/>
        <v>247</v>
      </c>
      <c r="F249" s="60" t="str">
        <f>IF(FT!A249&lt;&gt;"",FT!A249*10,"")</f>
        <v/>
      </c>
      <c r="G249" s="60" t="str">
        <f>IF(FT!B249&lt;&gt;"",FT!B249*100,"")</f>
        <v/>
      </c>
      <c r="H249" s="60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0">
        <f t="shared" si="18"/>
        <v>248</v>
      </c>
      <c r="B250" s="60">
        <f t="shared" si="16"/>
        <v>4.7570290196078435</v>
      </c>
      <c r="C250" s="60">
        <f>FH!A250*1</f>
        <v>0</v>
      </c>
      <c r="D250" s="60">
        <f>FH!B250*1</f>
        <v>0</v>
      </c>
      <c r="E250">
        <f t="shared" si="19"/>
        <v>248</v>
      </c>
      <c r="F250" s="60" t="str">
        <f>IF(FT!A250&lt;&gt;"",FT!A250*10,"")</f>
        <v/>
      </c>
      <c r="G250" s="60" t="str">
        <f>IF(FT!B250&lt;&gt;"",FT!B250*100,"")</f>
        <v/>
      </c>
      <c r="H250" s="60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0">
        <f t="shared" si="18"/>
        <v>249</v>
      </c>
      <c r="B251" s="60">
        <f t="shared" si="16"/>
        <v>4.7762105882352941</v>
      </c>
      <c r="C251" s="60">
        <f>FH!A251*1</f>
        <v>0</v>
      </c>
      <c r="D251" s="60">
        <f>FH!B251*1</f>
        <v>0</v>
      </c>
      <c r="E251">
        <f t="shared" si="19"/>
        <v>249</v>
      </c>
      <c r="F251" s="60" t="str">
        <f>IF(FT!A251&lt;&gt;"",FT!A251*10,"")</f>
        <v/>
      </c>
      <c r="G251" s="60" t="str">
        <f>IF(FT!B251&lt;&gt;"",FT!B251*100,"")</f>
        <v/>
      </c>
      <c r="H251" s="60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0">
        <f t="shared" si="18"/>
        <v>250</v>
      </c>
      <c r="B252" s="60">
        <f t="shared" si="16"/>
        <v>4.7953921568627447</v>
      </c>
      <c r="C252" s="60">
        <f>FH!A252*1</f>
        <v>0</v>
      </c>
      <c r="D252" s="60">
        <f>FH!B252*1</f>
        <v>0</v>
      </c>
      <c r="E252">
        <f t="shared" si="19"/>
        <v>250</v>
      </c>
      <c r="F252" s="60" t="str">
        <f>IF(FT!A252&lt;&gt;"",FT!A252*10,"")</f>
        <v/>
      </c>
      <c r="G252" s="60" t="str">
        <f>IF(FT!B252&lt;&gt;"",FT!B252*100,"")</f>
        <v/>
      </c>
      <c r="H252" s="60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0">
        <f t="shared" si="18"/>
        <v>251</v>
      </c>
      <c r="B253" s="60">
        <f t="shared" si="16"/>
        <v>4.8145737254901961</v>
      </c>
      <c r="C253" s="60">
        <f>FH!A253*1</f>
        <v>0</v>
      </c>
      <c r="D253" s="60">
        <f>FH!B253*1</f>
        <v>0</v>
      </c>
      <c r="E253">
        <f t="shared" si="19"/>
        <v>251</v>
      </c>
      <c r="F253" s="60" t="str">
        <f>IF(FT!A253&lt;&gt;"",FT!A253*10,"")</f>
        <v/>
      </c>
      <c r="G253" s="60" t="str">
        <f>IF(FT!B253&lt;&gt;"",FT!B253*100,"")</f>
        <v/>
      </c>
      <c r="H253" s="60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0">
        <f t="shared" si="18"/>
        <v>252</v>
      </c>
      <c r="B254" s="60">
        <f t="shared" si="16"/>
        <v>4.8337552941176476</v>
      </c>
      <c r="C254" s="60">
        <f>FH!A254*1</f>
        <v>0</v>
      </c>
      <c r="D254" s="60">
        <f>FH!B254*1</f>
        <v>0</v>
      </c>
      <c r="E254">
        <f t="shared" si="19"/>
        <v>252</v>
      </c>
      <c r="F254" s="60" t="str">
        <f>IF(FT!A254&lt;&gt;"",FT!A254*10,"")</f>
        <v/>
      </c>
      <c r="G254" s="60" t="str">
        <f>IF(FT!B254&lt;&gt;"",FT!B254*100,"")</f>
        <v/>
      </c>
      <c r="H254" s="60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0">
        <f t="shared" si="18"/>
        <v>253</v>
      </c>
      <c r="B255" s="60">
        <f t="shared" si="16"/>
        <v>4.8529368627450982</v>
      </c>
      <c r="C255" s="60">
        <f>FH!A255*1</f>
        <v>0</v>
      </c>
      <c r="D255" s="60">
        <f>FH!B255*1</f>
        <v>0</v>
      </c>
      <c r="E255">
        <f t="shared" si="19"/>
        <v>253</v>
      </c>
      <c r="F255" s="60" t="str">
        <f>IF(FT!A255&lt;&gt;"",FT!A255*10,"")</f>
        <v/>
      </c>
      <c r="G255" s="60" t="str">
        <f>IF(FT!B255&lt;&gt;"",FT!B255*100,"")</f>
        <v/>
      </c>
      <c r="H255" s="60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0">
        <f t="shared" si="18"/>
        <v>254</v>
      </c>
      <c r="B256" s="60">
        <f t="shared" si="16"/>
        <v>4.8721184313725496</v>
      </c>
      <c r="C256" s="60">
        <f>FH!A256*1</f>
        <v>0</v>
      </c>
      <c r="D256" s="60">
        <f>FH!B256*1</f>
        <v>0</v>
      </c>
      <c r="E256">
        <f t="shared" si="19"/>
        <v>254</v>
      </c>
      <c r="F256" s="60" t="str">
        <f>IF(FT!A256&lt;&gt;"",FT!A256*10,"")</f>
        <v/>
      </c>
      <c r="G256" s="60" t="str">
        <f>IF(FT!B256&lt;&gt;"",FT!B256*100,"")</f>
        <v/>
      </c>
      <c r="H256" s="60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0">
        <f t="shared" si="18"/>
        <v>255</v>
      </c>
      <c r="B257" s="60">
        <f t="shared" si="16"/>
        <v>4.8913000000000002</v>
      </c>
      <c r="C257" s="60">
        <f>FH!A257*1</f>
        <v>0</v>
      </c>
      <c r="D257" s="60">
        <f>FH!B257*1</f>
        <v>0</v>
      </c>
      <c r="E257">
        <f t="shared" si="19"/>
        <v>255</v>
      </c>
      <c r="F257" s="60" t="str">
        <f>IF(FT!A257&lt;&gt;"",FT!A257*10,"")</f>
        <v/>
      </c>
      <c r="G257" s="60" t="str">
        <f>IF(FT!B257&lt;&gt;"",FT!B257*100,"")</f>
        <v/>
      </c>
      <c r="H257" s="60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0" t="str">
        <f>IF(FT!A258&lt;&gt;"",FT!A258*10,"")</f>
        <v/>
      </c>
      <c r="G258" s="60" t="str">
        <f>IF(FT!B258&lt;&gt;"",FT!B258*100,"")</f>
        <v/>
      </c>
      <c r="H258" s="60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0" t="str">
        <f>IF(FT!A259&lt;&gt;"",FT!A259*10,"")</f>
        <v/>
      </c>
      <c r="G259" s="60" t="str">
        <f>IF(FT!B259&lt;&gt;"",FT!B259*100,"")</f>
        <v/>
      </c>
      <c r="H259" s="60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0" t="str">
        <f>IF(FT!A260&lt;&gt;"",FT!A260*10,"")</f>
        <v/>
      </c>
      <c r="G260" s="60" t="str">
        <f>IF(FT!B260&lt;&gt;"",FT!B260*100,"")</f>
        <v/>
      </c>
      <c r="H260" s="60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0" t="str">
        <f>IF(FT!A261&lt;&gt;"",FT!A261*10,"")</f>
        <v/>
      </c>
      <c r="G261" s="60" t="str">
        <f>IF(FT!B261&lt;&gt;"",FT!B261*100,"")</f>
        <v/>
      </c>
      <c r="H261" s="60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0" t="str">
        <f>IF(FT!A262&lt;&gt;"",FT!A262*10,"")</f>
        <v/>
      </c>
      <c r="G262" s="60" t="str">
        <f>IF(FT!B262&lt;&gt;"",FT!B262*100,"")</f>
        <v/>
      </c>
      <c r="H262" s="60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0" t="str">
        <f>IF(FT!A263&lt;&gt;"",FT!A263*10,"")</f>
        <v/>
      </c>
      <c r="G263" s="60" t="str">
        <f>IF(FT!B263&lt;&gt;"",FT!B263*100,"")</f>
        <v/>
      </c>
      <c r="H263" s="60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0" t="str">
        <f>IF(FT!A264&lt;&gt;"",FT!A264*10,"")</f>
        <v/>
      </c>
      <c r="G264" s="60" t="str">
        <f>IF(FT!B264&lt;&gt;"",FT!B264*100,"")</f>
        <v/>
      </c>
      <c r="H264" s="60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0" t="str">
        <f>IF(FT!A265&lt;&gt;"",FT!A265*10,"")</f>
        <v/>
      </c>
      <c r="G265" s="60" t="str">
        <f>IF(FT!B265&lt;&gt;"",FT!B265*100,"")</f>
        <v/>
      </c>
      <c r="H265" s="60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0" t="str">
        <f>IF(FT!A266&lt;&gt;"",FT!A266*10,"")</f>
        <v/>
      </c>
      <c r="G266" s="60" t="str">
        <f>IF(FT!B266&lt;&gt;"",FT!B266*100,"")</f>
        <v/>
      </c>
      <c r="H266" s="60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0" t="str">
        <f>IF(FT!A267&lt;&gt;"",FT!A267*10,"")</f>
        <v/>
      </c>
      <c r="G267" s="60" t="str">
        <f>IF(FT!B267&lt;&gt;"",FT!B267*100,"")</f>
        <v/>
      </c>
      <c r="H267" s="60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0" t="str">
        <f>IF(FT!A268&lt;&gt;"",FT!A268*10,"")</f>
        <v/>
      </c>
      <c r="G268" s="60" t="str">
        <f>IF(FT!B268&lt;&gt;"",FT!B268*100,"")</f>
        <v/>
      </c>
      <c r="H268" s="60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0" t="str">
        <f>IF(FT!A269&lt;&gt;"",FT!A269*10,"")</f>
        <v/>
      </c>
      <c r="G269" s="60" t="str">
        <f>IF(FT!B269&lt;&gt;"",FT!B269*100,"")</f>
        <v/>
      </c>
      <c r="H269" s="60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0" t="str">
        <f>IF(FT!A270&lt;&gt;"",FT!A270*10,"")</f>
        <v/>
      </c>
      <c r="G270" s="60" t="str">
        <f>IF(FT!B270&lt;&gt;"",FT!B270*100,"")</f>
        <v/>
      </c>
      <c r="H270" s="60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0" t="str">
        <f>IF(FT!A271&lt;&gt;"",FT!A271*10,"")</f>
        <v/>
      </c>
      <c r="G271" s="60" t="str">
        <f>IF(FT!B271&lt;&gt;"",FT!B271*100,"")</f>
        <v/>
      </c>
      <c r="H271" s="60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0" t="str">
        <f>IF(FT!A272&lt;&gt;"",FT!A272*10,"")</f>
        <v/>
      </c>
      <c r="G272" s="60" t="str">
        <f>IF(FT!B272&lt;&gt;"",FT!B272*100,"")</f>
        <v/>
      </c>
      <c r="H272" s="60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0" t="str">
        <f>IF(FT!A273&lt;&gt;"",FT!A273*10,"")</f>
        <v/>
      </c>
      <c r="G273" s="60" t="str">
        <f>IF(FT!B273&lt;&gt;"",FT!B273*100,"")</f>
        <v/>
      </c>
      <c r="H273" s="60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0" t="str">
        <f>IF(FT!A274&lt;&gt;"",FT!A274*10,"")</f>
        <v/>
      </c>
      <c r="G274" s="60" t="str">
        <f>IF(FT!B274&lt;&gt;"",FT!B274*100,"")</f>
        <v/>
      </c>
      <c r="H274" s="60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0" t="str">
        <f>IF(FT!A275&lt;&gt;"",FT!A275*10,"")</f>
        <v/>
      </c>
      <c r="G275" s="60" t="str">
        <f>IF(FT!B275&lt;&gt;"",FT!B275*100,"")</f>
        <v/>
      </c>
      <c r="H275" s="60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0" t="str">
        <f>IF(FT!A276&lt;&gt;"",FT!A276*10,"")</f>
        <v/>
      </c>
      <c r="G276" s="60" t="str">
        <f>IF(FT!B276&lt;&gt;"",FT!B276*100,"")</f>
        <v/>
      </c>
      <c r="H276" s="60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0" t="str">
        <f>IF(FT!A277&lt;&gt;"",FT!A277*10,"")</f>
        <v/>
      </c>
      <c r="G277" s="60" t="str">
        <f>IF(FT!B277&lt;&gt;"",FT!B277*100,"")</f>
        <v/>
      </c>
      <c r="H277" s="60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0" t="str">
        <f>IF(FT!A278&lt;&gt;"",FT!A278*10,"")</f>
        <v/>
      </c>
      <c r="G278" s="60" t="str">
        <f>IF(FT!B278&lt;&gt;"",FT!B278*100,"")</f>
        <v/>
      </c>
      <c r="H278" s="60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0" t="str">
        <f>IF(FT!A279&lt;&gt;"",FT!A279*10,"")</f>
        <v/>
      </c>
      <c r="G279" s="60" t="str">
        <f>IF(FT!B279&lt;&gt;"",FT!B279*100,"")</f>
        <v/>
      </c>
      <c r="H279" s="60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0" t="str">
        <f>IF(FT!A280&lt;&gt;"",FT!A280*10,"")</f>
        <v/>
      </c>
      <c r="G280" s="60" t="str">
        <f>IF(FT!B280&lt;&gt;"",FT!B280*100,"")</f>
        <v/>
      </c>
      <c r="H280" s="60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0" t="str">
        <f>IF(FT!A281&lt;&gt;"",FT!A281*10,"")</f>
        <v/>
      </c>
      <c r="G281" s="60" t="str">
        <f>IF(FT!B281&lt;&gt;"",FT!B281*100,"")</f>
        <v/>
      </c>
      <c r="H281" s="60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0" t="str">
        <f>IF(FT!A282&lt;&gt;"",FT!A282*10,"")</f>
        <v/>
      </c>
      <c r="G282" s="60" t="str">
        <f>IF(FT!B282&lt;&gt;"",FT!B282*100,"")</f>
        <v/>
      </c>
      <c r="H282" s="60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0" t="str">
        <f>IF(FT!A283&lt;&gt;"",FT!A283*10,"")</f>
        <v/>
      </c>
      <c r="G283" s="60" t="str">
        <f>IF(FT!B283&lt;&gt;"",FT!B283*100,"")</f>
        <v/>
      </c>
      <c r="H283" s="60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0" t="str">
        <f>IF(FT!A284&lt;&gt;"",FT!A284*10,"")</f>
        <v/>
      </c>
      <c r="G284" s="60" t="str">
        <f>IF(FT!B284&lt;&gt;"",FT!B284*100,"")</f>
        <v/>
      </c>
      <c r="H284" s="60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0" t="str">
        <f>IF(FT!A285&lt;&gt;"",FT!A285*10,"")</f>
        <v/>
      </c>
      <c r="G285" s="60" t="str">
        <f>IF(FT!B285&lt;&gt;"",FT!B285*100,"")</f>
        <v/>
      </c>
      <c r="H285" s="60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0" t="str">
        <f>IF(FT!A286&lt;&gt;"",FT!A286*10,"")</f>
        <v/>
      </c>
      <c r="G286" s="60" t="str">
        <f>IF(FT!B286&lt;&gt;"",FT!B286*100,"")</f>
        <v/>
      </c>
      <c r="H286" s="60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0" t="str">
        <f>IF(FT!A287&lt;&gt;"",FT!A287*10,"")</f>
        <v/>
      </c>
      <c r="G287" s="60" t="str">
        <f>IF(FT!B287&lt;&gt;"",FT!B287*100,"")</f>
        <v/>
      </c>
      <c r="H287" s="60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0" t="str">
        <f>IF(FT!A288&lt;&gt;"",FT!A288*10,"")</f>
        <v/>
      </c>
      <c r="G288" s="60" t="str">
        <f>IF(FT!B288&lt;&gt;"",FT!B288*100,"")</f>
        <v/>
      </c>
      <c r="H288" s="60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0" t="str">
        <f>IF(FT!A289&lt;&gt;"",FT!A289*10,"")</f>
        <v/>
      </c>
      <c r="G289" s="60" t="str">
        <f>IF(FT!B289&lt;&gt;"",FT!B289*100,"")</f>
        <v/>
      </c>
      <c r="H289" s="60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0" t="str">
        <f>IF(FT!A290&lt;&gt;"",FT!A290*10,"")</f>
        <v/>
      </c>
      <c r="G290" s="60" t="str">
        <f>IF(FT!B290&lt;&gt;"",FT!B290*100,"")</f>
        <v/>
      </c>
      <c r="H290" s="60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0" t="str">
        <f>IF(FT!A291&lt;&gt;"",FT!A291*10,"")</f>
        <v/>
      </c>
      <c r="G291" s="60" t="str">
        <f>IF(FT!B291&lt;&gt;"",FT!B291*100,"")</f>
        <v/>
      </c>
      <c r="H291" s="60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0" t="str">
        <f>IF(FT!A292&lt;&gt;"",FT!A292*10,"")</f>
        <v/>
      </c>
      <c r="G292" s="60" t="str">
        <f>IF(FT!B292&lt;&gt;"",FT!B292*100,"")</f>
        <v/>
      </c>
      <c r="H292" s="60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0" t="str">
        <f>IF(FT!A293&lt;&gt;"",FT!A293*10,"")</f>
        <v/>
      </c>
      <c r="G293" s="60" t="str">
        <f>IF(FT!B293&lt;&gt;"",FT!B293*100,"")</f>
        <v/>
      </c>
      <c r="H293" s="60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0" t="str">
        <f>IF(FT!A294&lt;&gt;"",FT!A294*10,"")</f>
        <v/>
      </c>
      <c r="G294" s="60" t="str">
        <f>IF(FT!B294&lt;&gt;"",FT!B294*100,"")</f>
        <v/>
      </c>
      <c r="H294" s="60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0" t="str">
        <f>IF(FT!A295&lt;&gt;"",FT!A295*10,"")</f>
        <v/>
      </c>
      <c r="G295" s="60" t="str">
        <f>IF(FT!B295&lt;&gt;"",FT!B295*100,"")</f>
        <v/>
      </c>
      <c r="H295" s="60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0" t="str">
        <f>IF(FT!A296&lt;&gt;"",FT!A296*10,"")</f>
        <v/>
      </c>
      <c r="G296" s="60" t="str">
        <f>IF(FT!B296&lt;&gt;"",FT!B296*100,"")</f>
        <v/>
      </c>
      <c r="H296" s="60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0" t="str">
        <f>IF(FT!A297&lt;&gt;"",FT!A297*10,"")</f>
        <v/>
      </c>
      <c r="G297" s="60" t="str">
        <f>IF(FT!B297&lt;&gt;"",FT!B297*100,"")</f>
        <v/>
      </c>
      <c r="H297" s="60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0" t="str">
        <f>IF(FT!A298&lt;&gt;"",FT!A298*10,"")</f>
        <v/>
      </c>
      <c r="G298" s="60" t="str">
        <f>IF(FT!B298&lt;&gt;"",FT!B298*100,"")</f>
        <v/>
      </c>
      <c r="H298" s="60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0" t="str">
        <f>IF(FT!A299&lt;&gt;"",FT!A299*10,"")</f>
        <v/>
      </c>
      <c r="G299" s="60" t="str">
        <f>IF(FT!B299&lt;&gt;"",FT!B299*100,"")</f>
        <v/>
      </c>
      <c r="H299" s="60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0" t="str">
        <f>IF(FT!A300&lt;&gt;"",FT!A300*10,"")</f>
        <v/>
      </c>
      <c r="G300" s="60" t="str">
        <f>IF(FT!B300&lt;&gt;"",FT!B300*100,"")</f>
        <v/>
      </c>
      <c r="H300" s="60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0" t="str">
        <f>IF(FT!A301&lt;&gt;"",FT!A301*10,"")</f>
        <v/>
      </c>
      <c r="G301" s="60" t="str">
        <f>IF(FT!B301&lt;&gt;"",FT!B301*100,"")</f>
        <v/>
      </c>
      <c r="H301" s="60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0" t="str">
        <f>IF(FT!A302&lt;&gt;"",FT!A302*10,"")</f>
        <v/>
      </c>
      <c r="G302" s="60" t="str">
        <f>IF(FT!B302&lt;&gt;"",FT!B302*100,"")</f>
        <v/>
      </c>
      <c r="H302" s="60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0" t="str">
        <f>IF(FT!A303&lt;&gt;"",FT!A303*10,"")</f>
        <v/>
      </c>
      <c r="G303" s="60" t="str">
        <f>IF(FT!B303&lt;&gt;"",FT!B303*100,"")</f>
        <v/>
      </c>
      <c r="H303" s="60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0" t="str">
        <f>IF(FT!A304&lt;&gt;"",FT!A304*10,"")</f>
        <v/>
      </c>
      <c r="G304" s="60" t="str">
        <f>IF(FT!B304&lt;&gt;"",FT!B304*100,"")</f>
        <v/>
      </c>
      <c r="H304" s="60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0" t="str">
        <f>IF(FT!A305&lt;&gt;"",FT!A305*10,"")</f>
        <v/>
      </c>
      <c r="G305" s="60" t="str">
        <f>IF(FT!B305&lt;&gt;"",FT!B305*100,"")</f>
        <v/>
      </c>
      <c r="H305" s="60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0" t="str">
        <f>IF(FT!A306&lt;&gt;"",FT!A306*10,"")</f>
        <v/>
      </c>
      <c r="G306" s="60" t="str">
        <f>IF(FT!B306&lt;&gt;"",FT!B306*100,"")</f>
        <v/>
      </c>
      <c r="H306" s="60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0" t="str">
        <f>IF(FT!A307&lt;&gt;"",FT!A307*10,"")</f>
        <v/>
      </c>
      <c r="G307" s="60" t="str">
        <f>IF(FT!B307&lt;&gt;"",FT!B307*100,"")</f>
        <v/>
      </c>
      <c r="H307" s="60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0" t="str">
        <f>IF(FT!A308&lt;&gt;"",FT!A308*10,"")</f>
        <v/>
      </c>
      <c r="G308" s="60" t="str">
        <f>IF(FT!B308&lt;&gt;"",FT!B308*100,"")</f>
        <v/>
      </c>
      <c r="H308" s="60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0" t="str">
        <f>IF(FT!A309&lt;&gt;"",FT!A309*10,"")</f>
        <v/>
      </c>
      <c r="G309" s="60" t="str">
        <f>IF(FT!B309&lt;&gt;"",FT!B309*100,"")</f>
        <v/>
      </c>
      <c r="H309" s="60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0" t="str">
        <f>IF(FT!A310&lt;&gt;"",FT!A310*10,"")</f>
        <v/>
      </c>
      <c r="G310" s="60" t="str">
        <f>IF(FT!B310&lt;&gt;"",FT!B310*100,"")</f>
        <v/>
      </c>
      <c r="H310" s="60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0" t="str">
        <f>IF(FT!A311&lt;&gt;"",FT!A311*10,"")</f>
        <v/>
      </c>
      <c r="G311" s="60" t="str">
        <f>IF(FT!B311&lt;&gt;"",FT!B311*100,"")</f>
        <v/>
      </c>
      <c r="H311" s="60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0" t="str">
        <f>IF(FT!A312&lt;&gt;"",FT!A312*10,"")</f>
        <v/>
      </c>
      <c r="G312" s="60" t="str">
        <f>IF(FT!B312&lt;&gt;"",FT!B312*100,"")</f>
        <v/>
      </c>
      <c r="H312" s="60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0" t="str">
        <f>IF(FT!A313&lt;&gt;"",FT!A313*10,"")</f>
        <v/>
      </c>
      <c r="G313" s="60" t="str">
        <f>IF(FT!B313&lt;&gt;"",FT!B313*100,"")</f>
        <v/>
      </c>
      <c r="H313" s="60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0" t="str">
        <f>IF(FT!A314&lt;&gt;"",FT!A314*10,"")</f>
        <v/>
      </c>
      <c r="G314" s="60" t="str">
        <f>IF(FT!B314&lt;&gt;"",FT!B314*100,"")</f>
        <v/>
      </c>
      <c r="H314" s="60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0" t="str">
        <f>IF(FT!A315&lt;&gt;"",FT!A315*10,"")</f>
        <v/>
      </c>
      <c r="G315" s="60" t="str">
        <f>IF(FT!B315&lt;&gt;"",FT!B315*100,"")</f>
        <v/>
      </c>
      <c r="H315" s="60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0" t="str">
        <f>IF(FT!A316&lt;&gt;"",FT!A316*10,"")</f>
        <v/>
      </c>
      <c r="G316" s="60" t="str">
        <f>IF(FT!B316&lt;&gt;"",FT!B316*100,"")</f>
        <v/>
      </c>
      <c r="H316" s="60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0" t="str">
        <f>IF(FT!A317&lt;&gt;"",FT!A317*10,"")</f>
        <v/>
      </c>
      <c r="G317" s="60" t="str">
        <f>IF(FT!B317&lt;&gt;"",FT!B317*100,"")</f>
        <v/>
      </c>
      <c r="H317" s="60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0" t="str">
        <f>IF(FT!A318&lt;&gt;"",FT!A318*10,"")</f>
        <v/>
      </c>
      <c r="G318" s="60" t="str">
        <f>IF(FT!B318&lt;&gt;"",FT!B318*100,"")</f>
        <v/>
      </c>
      <c r="H318" s="60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0" t="str">
        <f>IF(FT!A319&lt;&gt;"",FT!A319*10,"")</f>
        <v/>
      </c>
      <c r="G319" s="60" t="str">
        <f>IF(FT!B319&lt;&gt;"",FT!B319*100,"")</f>
        <v/>
      </c>
      <c r="H319" s="60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0" t="str">
        <f>IF(FT!A320&lt;&gt;"",FT!A320*10,"")</f>
        <v/>
      </c>
      <c r="G320" s="60" t="str">
        <f>IF(FT!B320&lt;&gt;"",FT!B320*100,"")</f>
        <v/>
      </c>
      <c r="H320" s="60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0" t="str">
        <f>IF(FT!A321&lt;&gt;"",FT!A321*10,"")</f>
        <v/>
      </c>
      <c r="G321" s="60" t="str">
        <f>IF(FT!B321&lt;&gt;"",FT!B321*100,"")</f>
        <v/>
      </c>
      <c r="H321" s="60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0" t="str">
        <f>IF(FT!A322&lt;&gt;"",FT!A322*10,"")</f>
        <v/>
      </c>
      <c r="G322" s="60" t="str">
        <f>IF(FT!B322&lt;&gt;"",FT!B322*100,"")</f>
        <v/>
      </c>
      <c r="H322" s="60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0" t="str">
        <f>IF(FT!A323&lt;&gt;"",FT!A323*10,"")</f>
        <v/>
      </c>
      <c r="G323" s="60" t="str">
        <f>IF(FT!B323&lt;&gt;"",FT!B323*100,"")</f>
        <v/>
      </c>
      <c r="H323" s="60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0" t="str">
        <f>IF(FT!A324&lt;&gt;"",FT!A324*10,"")</f>
        <v/>
      </c>
      <c r="G324" s="60" t="str">
        <f>IF(FT!B324&lt;&gt;"",FT!B324*100,"")</f>
        <v/>
      </c>
      <c r="H324" s="60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0" t="str">
        <f>IF(FT!A325&lt;&gt;"",FT!A325*10,"")</f>
        <v/>
      </c>
      <c r="G325" s="60" t="str">
        <f>IF(FT!B325&lt;&gt;"",FT!B325*100,"")</f>
        <v/>
      </c>
      <c r="H325" s="60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0" t="str">
        <f>IF(FT!A326&lt;&gt;"",FT!A326*10,"")</f>
        <v/>
      </c>
      <c r="G326" s="60" t="str">
        <f>IF(FT!B326&lt;&gt;"",FT!B326*100,"")</f>
        <v/>
      </c>
      <c r="H326" s="60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0" t="str">
        <f>IF(FT!A327&lt;&gt;"",FT!A327*10,"")</f>
        <v/>
      </c>
      <c r="G327" s="60" t="str">
        <f>IF(FT!B327&lt;&gt;"",FT!B327*100,"")</f>
        <v/>
      </c>
      <c r="H327" s="60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0" t="str">
        <f>IF(FT!A328&lt;&gt;"",FT!A328*10,"")</f>
        <v/>
      </c>
      <c r="G328" s="60" t="str">
        <f>IF(FT!B328&lt;&gt;"",FT!B328*100,"")</f>
        <v/>
      </c>
      <c r="H328" s="60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0" t="str">
        <f>IF(FT!A329&lt;&gt;"",FT!A329*10,"")</f>
        <v/>
      </c>
      <c r="G329" s="60" t="str">
        <f>IF(FT!B329&lt;&gt;"",FT!B329*100,"")</f>
        <v/>
      </c>
      <c r="H329" s="60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0" t="str">
        <f>IF(FT!A330&lt;&gt;"",FT!A330*10,"")</f>
        <v/>
      </c>
      <c r="G330" s="60" t="str">
        <f>IF(FT!B330&lt;&gt;"",FT!B330*100,"")</f>
        <v/>
      </c>
      <c r="H330" s="60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0" t="str">
        <f>IF(FT!A331&lt;&gt;"",FT!A331*10,"")</f>
        <v/>
      </c>
      <c r="G331" s="60" t="str">
        <f>IF(FT!B331&lt;&gt;"",FT!B331*100,"")</f>
        <v/>
      </c>
      <c r="H331" s="60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0" t="str">
        <f>IF(FT!A332&lt;&gt;"",FT!A332*10,"")</f>
        <v/>
      </c>
      <c r="G332" s="60" t="str">
        <f>IF(FT!B332&lt;&gt;"",FT!B332*100,"")</f>
        <v/>
      </c>
      <c r="H332" s="60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0" t="str">
        <f>IF(FT!A333&lt;&gt;"",FT!A333*10,"")</f>
        <v/>
      </c>
      <c r="G333" s="60" t="str">
        <f>IF(FT!B333&lt;&gt;"",FT!B333*100,"")</f>
        <v/>
      </c>
      <c r="H333" s="60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0" t="str">
        <f>IF(FT!A334&lt;&gt;"",FT!A334*10,"")</f>
        <v/>
      </c>
      <c r="G334" s="60" t="str">
        <f>IF(FT!B334&lt;&gt;"",FT!B334*100,"")</f>
        <v/>
      </c>
      <c r="H334" s="60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0" t="str">
        <f>IF(FT!A335&lt;&gt;"",FT!A335*10,"")</f>
        <v/>
      </c>
      <c r="G335" s="60" t="str">
        <f>IF(FT!B335&lt;&gt;"",FT!B335*100,"")</f>
        <v/>
      </c>
      <c r="H335" s="60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0" t="str">
        <f>IF(FT!A336&lt;&gt;"",FT!A336*10,"")</f>
        <v/>
      </c>
      <c r="G336" s="60" t="str">
        <f>IF(FT!B336&lt;&gt;"",FT!B336*100,"")</f>
        <v/>
      </c>
      <c r="H336" s="60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0" t="str">
        <f>IF(FT!A337&lt;&gt;"",FT!A337*10,"")</f>
        <v/>
      </c>
      <c r="G337" s="60" t="str">
        <f>IF(FT!B337&lt;&gt;"",FT!B337*100,"")</f>
        <v/>
      </c>
      <c r="H337" s="60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0" t="str">
        <f>IF(FT!A338&lt;&gt;"",FT!A338*10,"")</f>
        <v/>
      </c>
      <c r="G338" s="60" t="str">
        <f>IF(FT!B338&lt;&gt;"",FT!B338*100,"")</f>
        <v/>
      </c>
      <c r="H338" s="60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0" t="str">
        <f>IF(FT!A339&lt;&gt;"",FT!A339*10,"")</f>
        <v/>
      </c>
      <c r="G339" s="60" t="str">
        <f>IF(FT!B339&lt;&gt;"",FT!B339*100,"")</f>
        <v/>
      </c>
      <c r="H339" s="60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0" t="str">
        <f>IF(FT!A340&lt;&gt;"",FT!A340*10,"")</f>
        <v/>
      </c>
      <c r="G340" s="60" t="str">
        <f>IF(FT!B340&lt;&gt;"",FT!B340*100,"")</f>
        <v/>
      </c>
      <c r="H340" s="60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0" t="str">
        <f>IF(FT!A341&lt;&gt;"",FT!A341*10,"")</f>
        <v/>
      </c>
      <c r="G341" s="60" t="str">
        <f>IF(FT!B341&lt;&gt;"",FT!B341*100,"")</f>
        <v/>
      </c>
      <c r="H341" s="60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0" t="str">
        <f>IF(FT!A342&lt;&gt;"",FT!A342*10,"")</f>
        <v/>
      </c>
      <c r="G342" s="60" t="str">
        <f>IF(FT!B342&lt;&gt;"",FT!B342*100,"")</f>
        <v/>
      </c>
      <c r="H342" s="60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0" t="str">
        <f>IF(FT!A343&lt;&gt;"",FT!A343*10,"")</f>
        <v/>
      </c>
      <c r="G343" s="60" t="str">
        <f>IF(FT!B343&lt;&gt;"",FT!B343*100,"")</f>
        <v/>
      </c>
      <c r="H343" s="60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0" t="str">
        <f>IF(FT!A344&lt;&gt;"",FT!A344*10,"")</f>
        <v/>
      </c>
      <c r="G344" s="60" t="str">
        <f>IF(FT!B344&lt;&gt;"",FT!B344*100,"")</f>
        <v/>
      </c>
      <c r="H344" s="60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0" t="str">
        <f>IF(FT!A345&lt;&gt;"",FT!A345*10,"")</f>
        <v/>
      </c>
      <c r="G345" s="60" t="str">
        <f>IF(FT!B345&lt;&gt;"",FT!B345*100,"")</f>
        <v/>
      </c>
      <c r="H345" s="60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0" t="str">
        <f>IF(FT!A346&lt;&gt;"",FT!A346*10,"")</f>
        <v/>
      </c>
      <c r="G346" s="60" t="str">
        <f>IF(FT!B346&lt;&gt;"",FT!B346*100,"")</f>
        <v/>
      </c>
      <c r="H346" s="60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0" t="str">
        <f>IF(FT!A347&lt;&gt;"",FT!A347*10,"")</f>
        <v/>
      </c>
      <c r="G347" s="60" t="str">
        <f>IF(FT!B347&lt;&gt;"",FT!B347*100,"")</f>
        <v/>
      </c>
      <c r="H347" s="60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0" t="str">
        <f>IF(FT!A348&lt;&gt;"",FT!A348*10,"")</f>
        <v/>
      </c>
      <c r="G348" s="60" t="str">
        <f>IF(FT!B348&lt;&gt;"",FT!B348*100,"")</f>
        <v/>
      </c>
      <c r="H348" s="60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0" t="str">
        <f>IF(FT!A349&lt;&gt;"",FT!A349*10,"")</f>
        <v/>
      </c>
      <c r="G349" s="60" t="str">
        <f>IF(FT!B349&lt;&gt;"",FT!B349*100,"")</f>
        <v/>
      </c>
      <c r="H349" s="60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0" t="str">
        <f>IF(FT!A350&lt;&gt;"",FT!A350*10,"")</f>
        <v/>
      </c>
      <c r="G350" s="60" t="str">
        <f>IF(FT!B350&lt;&gt;"",FT!B350*100,"")</f>
        <v/>
      </c>
      <c r="H350" s="60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0" t="str">
        <f>IF(FT!A351&lt;&gt;"",FT!A351*10,"")</f>
        <v/>
      </c>
      <c r="G351" s="60" t="str">
        <f>IF(FT!B351&lt;&gt;"",FT!B351*100,"")</f>
        <v/>
      </c>
      <c r="H351" s="60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0" t="str">
        <f>IF(FT!A352&lt;&gt;"",FT!A352*10,"")</f>
        <v/>
      </c>
      <c r="G352" s="60" t="str">
        <f>IF(FT!B352&lt;&gt;"",FT!B352*100,"")</f>
        <v/>
      </c>
      <c r="H352" s="60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0" t="str">
        <f>IF(FT!A353&lt;&gt;"",FT!A353*10,"")</f>
        <v/>
      </c>
      <c r="G353" s="60" t="str">
        <f>IF(FT!B353&lt;&gt;"",FT!B353*100,"")</f>
        <v/>
      </c>
      <c r="H353" s="60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0" t="str">
        <f>IF(FT!A354&lt;&gt;"",FT!A354*10,"")</f>
        <v/>
      </c>
      <c r="G354" s="60" t="str">
        <f>IF(FT!B354&lt;&gt;"",FT!B354*100,"")</f>
        <v/>
      </c>
      <c r="H354" s="60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0" t="str">
        <f>IF(FT!A355&lt;&gt;"",FT!A355*10,"")</f>
        <v/>
      </c>
      <c r="G355" s="60" t="str">
        <f>IF(FT!B355&lt;&gt;"",FT!B355*100,"")</f>
        <v/>
      </c>
      <c r="H355" s="60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0" t="str">
        <f>IF(FT!A356&lt;&gt;"",FT!A356*10,"")</f>
        <v/>
      </c>
      <c r="G356" s="60" t="str">
        <f>IF(FT!B356&lt;&gt;"",FT!B356*100,"")</f>
        <v/>
      </c>
      <c r="H356" s="60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0" t="str">
        <f>IF(FT!A357&lt;&gt;"",FT!A357*10,"")</f>
        <v/>
      </c>
      <c r="G357" s="60" t="str">
        <f>IF(FT!B357&lt;&gt;"",FT!B357*100,"")</f>
        <v/>
      </c>
      <c r="H357" s="60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0" t="str">
        <f>IF(FT!A358&lt;&gt;"",FT!A358*10,"")</f>
        <v/>
      </c>
      <c r="G358" s="60" t="str">
        <f>IF(FT!B358&lt;&gt;"",FT!B358*100,"")</f>
        <v/>
      </c>
      <c r="H358" s="60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0" t="str">
        <f>IF(FT!A359&lt;&gt;"",FT!A359*10,"")</f>
        <v/>
      </c>
      <c r="G359" s="60" t="str">
        <f>IF(FT!B359&lt;&gt;"",FT!B359*100,"")</f>
        <v/>
      </c>
      <c r="H359" s="60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0" t="str">
        <f>IF(FT!A360&lt;&gt;"",FT!A360*10,"")</f>
        <v/>
      </c>
      <c r="G360" s="60" t="str">
        <f>IF(FT!B360&lt;&gt;"",FT!B360*100,"")</f>
        <v/>
      </c>
      <c r="H360" s="60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0" t="str">
        <f>IF(FT!A361&lt;&gt;"",FT!A361*10,"")</f>
        <v/>
      </c>
      <c r="G361" s="60" t="str">
        <f>IF(FT!B361&lt;&gt;"",FT!B361*100,"")</f>
        <v/>
      </c>
      <c r="H361" s="60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0" t="str">
        <f>IF(FT!A362&lt;&gt;"",FT!A362*10,"")</f>
        <v/>
      </c>
      <c r="G362" s="60" t="str">
        <f>IF(FT!B362&lt;&gt;"",FT!B362*100,"")</f>
        <v/>
      </c>
      <c r="H362" s="60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0" t="str">
        <f>IF(FT!A363&lt;&gt;"",FT!A363*10,"")</f>
        <v/>
      </c>
      <c r="G363" s="60" t="str">
        <f>IF(FT!B363&lt;&gt;"",FT!B363*100,"")</f>
        <v/>
      </c>
      <c r="H363" s="60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0" t="str">
        <f>IF(FT!A364&lt;&gt;"",FT!A364*10,"")</f>
        <v/>
      </c>
      <c r="G364" s="60" t="str">
        <f>IF(FT!B364&lt;&gt;"",FT!B364*100,"")</f>
        <v/>
      </c>
      <c r="H364" s="60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0" t="str">
        <f>IF(FT!A365&lt;&gt;"",FT!A365*10,"")</f>
        <v/>
      </c>
      <c r="G365" s="60" t="str">
        <f>IF(FT!B365&lt;&gt;"",FT!B365*100,"")</f>
        <v/>
      </c>
      <c r="H365" s="60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0" t="str">
        <f>IF(FT!A366&lt;&gt;"",FT!A366*10,"")</f>
        <v/>
      </c>
      <c r="G366" s="60" t="str">
        <f>IF(FT!B366&lt;&gt;"",FT!B366*100,"")</f>
        <v/>
      </c>
      <c r="H366" s="60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0" t="str">
        <f>IF(FT!A367&lt;&gt;"",FT!A367*10,"")</f>
        <v/>
      </c>
      <c r="G367" s="60" t="str">
        <f>IF(FT!B367&lt;&gt;"",FT!B367*100,"")</f>
        <v/>
      </c>
      <c r="H367" s="60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0" t="str">
        <f>IF(FT!A368&lt;&gt;"",FT!A368*10,"")</f>
        <v/>
      </c>
      <c r="G368" s="60" t="str">
        <f>IF(FT!B368&lt;&gt;"",FT!B368*100,"")</f>
        <v/>
      </c>
      <c r="H368" s="60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0" t="str">
        <f>IF(FT!A369&lt;&gt;"",FT!A369*10,"")</f>
        <v/>
      </c>
      <c r="G369" s="60" t="str">
        <f>IF(FT!B369&lt;&gt;"",FT!B369*100,"")</f>
        <v/>
      </c>
      <c r="H369" s="60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0" t="str">
        <f>IF(FT!A370&lt;&gt;"",FT!A370*10,"")</f>
        <v/>
      </c>
      <c r="G370" s="60" t="str">
        <f>IF(FT!B370&lt;&gt;"",FT!B370*100,"")</f>
        <v/>
      </c>
      <c r="H370" s="60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0" t="str">
        <f>IF(FT!A371&lt;&gt;"",FT!A371*10,"")</f>
        <v/>
      </c>
      <c r="G371" s="60" t="str">
        <f>IF(FT!B371&lt;&gt;"",FT!B371*100,"")</f>
        <v/>
      </c>
      <c r="H371" s="60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0" t="str">
        <f>IF(FT!A372&lt;&gt;"",FT!A372*10,"")</f>
        <v/>
      </c>
      <c r="G372" s="60" t="str">
        <f>IF(FT!B372&lt;&gt;"",FT!B372*100,"")</f>
        <v/>
      </c>
      <c r="H372" s="60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0" t="str">
        <f>IF(FT!A373&lt;&gt;"",FT!A373*10,"")</f>
        <v/>
      </c>
      <c r="G373" s="60" t="str">
        <f>IF(FT!B373&lt;&gt;"",FT!B373*100,"")</f>
        <v/>
      </c>
      <c r="H373" s="60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0" t="str">
        <f>IF(FT!A374&lt;&gt;"",FT!A374*10,"")</f>
        <v/>
      </c>
      <c r="G374" s="60" t="str">
        <f>IF(FT!B374&lt;&gt;"",FT!B374*100,"")</f>
        <v/>
      </c>
      <c r="H374" s="60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0" t="str">
        <f>IF(FT!A375&lt;&gt;"",FT!A375*10,"")</f>
        <v/>
      </c>
      <c r="G375" s="60" t="str">
        <f>IF(FT!B375&lt;&gt;"",FT!B375*100,"")</f>
        <v/>
      </c>
      <c r="H375" s="60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0" t="str">
        <f>IF(FT!A376&lt;&gt;"",FT!A376*10,"")</f>
        <v/>
      </c>
      <c r="G376" s="60" t="str">
        <f>IF(FT!B376&lt;&gt;"",FT!B376*100,"")</f>
        <v/>
      </c>
      <c r="H376" s="60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0" t="str">
        <f>IF(FT!A377&lt;&gt;"",FT!A377*10,"")</f>
        <v/>
      </c>
      <c r="G377" s="60" t="str">
        <f>IF(FT!B377&lt;&gt;"",FT!B377*100,"")</f>
        <v/>
      </c>
      <c r="H377" s="60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0" t="str">
        <f>IF(FT!A378&lt;&gt;"",FT!A378*10,"")</f>
        <v/>
      </c>
      <c r="G378" s="60" t="str">
        <f>IF(FT!B378&lt;&gt;"",FT!B378*100,"")</f>
        <v/>
      </c>
      <c r="H378" s="60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0" t="str">
        <f>IF(FT!A379&lt;&gt;"",FT!A379*10,"")</f>
        <v/>
      </c>
      <c r="G379" s="60" t="str">
        <f>IF(FT!B379&lt;&gt;"",FT!B379*100,"")</f>
        <v/>
      </c>
      <c r="H379" s="60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0" t="str">
        <f>IF(FT!A380&lt;&gt;"",FT!A380*10,"")</f>
        <v/>
      </c>
      <c r="G380" s="60" t="str">
        <f>IF(FT!B380&lt;&gt;"",FT!B380*100,"")</f>
        <v/>
      </c>
      <c r="H380" s="60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0" t="str">
        <f>IF(FT!A381&lt;&gt;"",FT!A381*10,"")</f>
        <v/>
      </c>
      <c r="G381" s="60" t="str">
        <f>IF(FT!B381&lt;&gt;"",FT!B381*100,"")</f>
        <v/>
      </c>
      <c r="H381" s="60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0" t="str">
        <f>IF(FT!A382&lt;&gt;"",FT!A382*10,"")</f>
        <v/>
      </c>
      <c r="G382" s="60" t="str">
        <f>IF(FT!B382&lt;&gt;"",FT!B382*100,"")</f>
        <v/>
      </c>
      <c r="H382" s="60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0" t="str">
        <f>IF(FT!A383&lt;&gt;"",FT!A383*10,"")</f>
        <v/>
      </c>
      <c r="G383" s="60" t="str">
        <f>IF(FT!B383&lt;&gt;"",FT!B383*100,"")</f>
        <v/>
      </c>
      <c r="H383" s="60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0" t="str">
        <f>IF(FT!A384&lt;&gt;"",FT!A384*10,"")</f>
        <v/>
      </c>
      <c r="G384" s="60" t="str">
        <f>IF(FT!B384&lt;&gt;"",FT!B384*100,"")</f>
        <v/>
      </c>
      <c r="H384" s="60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0" t="str">
        <f>IF(FT!A385&lt;&gt;"",FT!A385*10,"")</f>
        <v/>
      </c>
      <c r="G385" s="60" t="str">
        <f>IF(FT!B385&lt;&gt;"",FT!B385*100,"")</f>
        <v/>
      </c>
      <c r="H385" s="60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0" t="str">
        <f>IF(FT!A386&lt;&gt;"",FT!A386*10,"")</f>
        <v/>
      </c>
      <c r="G386" s="60" t="str">
        <f>IF(FT!B386&lt;&gt;"",FT!B386*100,"")</f>
        <v/>
      </c>
      <c r="H386" s="60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0" t="str">
        <f>IF(FT!A387&lt;&gt;"",FT!A387*10,"")</f>
        <v/>
      </c>
      <c r="G387" s="60" t="str">
        <f>IF(FT!B387&lt;&gt;"",FT!B387*100,"")</f>
        <v/>
      </c>
      <c r="H387" s="60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0" t="str">
        <f>IF(FT!A388&lt;&gt;"",FT!A388*10,"")</f>
        <v/>
      </c>
      <c r="G388" s="60" t="str">
        <f>IF(FT!B388&lt;&gt;"",FT!B388*100,"")</f>
        <v/>
      </c>
      <c r="H388" s="60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0" t="str">
        <f>IF(FT!A389&lt;&gt;"",FT!A389*10,"")</f>
        <v/>
      </c>
      <c r="G389" s="60" t="str">
        <f>IF(FT!B389&lt;&gt;"",FT!B389*100,"")</f>
        <v/>
      </c>
      <c r="H389" s="60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0" t="str">
        <f>IF(FT!A390&lt;&gt;"",FT!A390*10,"")</f>
        <v/>
      </c>
      <c r="G390" s="60" t="str">
        <f>IF(FT!B390&lt;&gt;"",FT!B390*100,"")</f>
        <v/>
      </c>
      <c r="H390" s="60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0" t="str">
        <f>IF(FT!A391&lt;&gt;"",FT!A391*10,"")</f>
        <v/>
      </c>
      <c r="G391" s="60" t="str">
        <f>IF(FT!B391&lt;&gt;"",FT!B391*100,"")</f>
        <v/>
      </c>
      <c r="H391" s="60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0" t="str">
        <f>IF(FT!A392&lt;&gt;"",FT!A392*10,"")</f>
        <v/>
      </c>
      <c r="G392" s="60" t="str">
        <f>IF(FT!B392&lt;&gt;"",FT!B392*100,"")</f>
        <v/>
      </c>
      <c r="H392" s="60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0" t="str">
        <f>IF(FT!A393&lt;&gt;"",FT!A393*10,"")</f>
        <v/>
      </c>
      <c r="G393" s="60" t="str">
        <f>IF(FT!B393&lt;&gt;"",FT!B393*100,"")</f>
        <v/>
      </c>
      <c r="H393" s="60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0" t="str">
        <f>IF(FT!A394&lt;&gt;"",FT!A394*10,"")</f>
        <v/>
      </c>
      <c r="G394" s="60" t="str">
        <f>IF(FT!B394&lt;&gt;"",FT!B394*100,"")</f>
        <v/>
      </c>
      <c r="H394" s="60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0" t="str">
        <f>IF(FT!A395&lt;&gt;"",FT!A395*10,"")</f>
        <v/>
      </c>
      <c r="G395" s="60" t="str">
        <f>IF(FT!B395&lt;&gt;"",FT!B395*100,"")</f>
        <v/>
      </c>
      <c r="H395" s="60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0" t="str">
        <f>IF(FT!A396&lt;&gt;"",FT!A396*10,"")</f>
        <v/>
      </c>
      <c r="G396" s="60" t="str">
        <f>IF(FT!B396&lt;&gt;"",FT!B396*100,"")</f>
        <v/>
      </c>
      <c r="H396" s="60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0" t="str">
        <f>IF(FT!A397&lt;&gt;"",FT!A397*10,"")</f>
        <v/>
      </c>
      <c r="G397" s="60" t="str">
        <f>IF(FT!B397&lt;&gt;"",FT!B397*100,"")</f>
        <v/>
      </c>
      <c r="H397" s="60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0" t="str">
        <f>IF(FT!A398&lt;&gt;"",FT!A398*10,"")</f>
        <v/>
      </c>
      <c r="G398" s="60" t="str">
        <f>IF(FT!B398&lt;&gt;"",FT!B398*100,"")</f>
        <v/>
      </c>
      <c r="H398" s="60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0" t="str">
        <f>IF(FT!A399&lt;&gt;"",FT!A399*10,"")</f>
        <v/>
      </c>
      <c r="G399" s="60" t="str">
        <f>IF(FT!B399&lt;&gt;"",FT!B399*100,"")</f>
        <v/>
      </c>
      <c r="H399" s="60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0" t="str">
        <f>IF(FT!A400&lt;&gt;"",FT!A400*10,"")</f>
        <v/>
      </c>
      <c r="G400" s="60" t="str">
        <f>IF(FT!B400&lt;&gt;"",FT!B400*100,"")</f>
        <v/>
      </c>
      <c r="H400" s="60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0" t="str">
        <f>IF(FT!A401&lt;&gt;"",FT!A401*10,"")</f>
        <v/>
      </c>
      <c r="G401" s="60" t="str">
        <f>IF(FT!B401&lt;&gt;"",FT!B401*100,"")</f>
        <v/>
      </c>
      <c r="H401" s="60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0" t="str">
        <f>IF(FT!A402&lt;&gt;"",FT!A402*10,"")</f>
        <v/>
      </c>
      <c r="G402" s="60" t="str">
        <f>IF(FT!B402&lt;&gt;"",FT!B402*100,"")</f>
        <v/>
      </c>
      <c r="H402" s="60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0" t="str">
        <f>IF(FT!A403&lt;&gt;"",FT!A403*10,"")</f>
        <v/>
      </c>
      <c r="G403" s="60" t="str">
        <f>IF(FT!B403&lt;&gt;"",FT!B403*100,"")</f>
        <v/>
      </c>
      <c r="H403" s="60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0" t="str">
        <f>IF(FT!A404&lt;&gt;"",FT!A404*10,"")</f>
        <v/>
      </c>
      <c r="G404" s="60" t="str">
        <f>IF(FT!B404&lt;&gt;"",FT!B404*100,"")</f>
        <v/>
      </c>
      <c r="H404" s="60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0" t="str">
        <f>IF(FT!A405&lt;&gt;"",FT!A405*10,"")</f>
        <v/>
      </c>
      <c r="G405" s="60" t="str">
        <f>IF(FT!B405&lt;&gt;"",FT!B405*100,"")</f>
        <v/>
      </c>
      <c r="H405" s="60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0" t="str">
        <f>IF(FT!A406&lt;&gt;"",FT!A406*10,"")</f>
        <v/>
      </c>
      <c r="G406" s="60" t="str">
        <f>IF(FT!B406&lt;&gt;"",FT!B406*100,"")</f>
        <v/>
      </c>
      <c r="H406" s="60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0" t="str">
        <f>IF(FT!A407&lt;&gt;"",FT!A407*10,"")</f>
        <v/>
      </c>
      <c r="G407" s="60" t="str">
        <f>IF(FT!B407&lt;&gt;"",FT!B407*100,"")</f>
        <v/>
      </c>
      <c r="H407" s="60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0" t="str">
        <f>IF(FT!A408&lt;&gt;"",FT!A408*10,"")</f>
        <v/>
      </c>
      <c r="G408" s="60" t="str">
        <f>IF(FT!B408&lt;&gt;"",FT!B408*100,"")</f>
        <v/>
      </c>
      <c r="H408" s="60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0" t="str">
        <f>IF(FT!A409&lt;&gt;"",FT!A409*10,"")</f>
        <v/>
      </c>
      <c r="G409" s="60" t="str">
        <f>IF(FT!B409&lt;&gt;"",FT!B409*100,"")</f>
        <v/>
      </c>
      <c r="H409" s="60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0" t="str">
        <f>IF(FT!A410&lt;&gt;"",FT!A410*10,"")</f>
        <v/>
      </c>
      <c r="G410" s="60" t="str">
        <f>IF(FT!B410&lt;&gt;"",FT!B410*100,"")</f>
        <v/>
      </c>
      <c r="H410" s="60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0" t="str">
        <f>IF(FT!A411&lt;&gt;"",FT!A411*10,"")</f>
        <v/>
      </c>
      <c r="G411" s="60" t="str">
        <f>IF(FT!B411&lt;&gt;"",FT!B411*100,"")</f>
        <v/>
      </c>
      <c r="H411" s="60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0" t="str">
        <f>IF(FT!A412&lt;&gt;"",FT!A412*10,"")</f>
        <v/>
      </c>
      <c r="G412" s="60" t="str">
        <f>IF(FT!B412&lt;&gt;"",FT!B412*100,"")</f>
        <v/>
      </c>
      <c r="H412" s="60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0" t="str">
        <f>IF(FT!A413&lt;&gt;"",FT!A413*10,"")</f>
        <v/>
      </c>
      <c r="G413" s="60" t="str">
        <f>IF(FT!B413&lt;&gt;"",FT!B413*100,"")</f>
        <v/>
      </c>
      <c r="H413" s="60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0" t="str">
        <f>IF(FT!A414&lt;&gt;"",FT!A414*10,"")</f>
        <v/>
      </c>
      <c r="G414" s="60" t="str">
        <f>IF(FT!B414&lt;&gt;"",FT!B414*100,"")</f>
        <v/>
      </c>
      <c r="H414" s="60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0" t="str">
        <f>IF(FT!A415&lt;&gt;"",FT!A415*10,"")</f>
        <v/>
      </c>
      <c r="G415" s="60" t="str">
        <f>IF(FT!B415&lt;&gt;"",FT!B415*100,"")</f>
        <v/>
      </c>
      <c r="H415" s="60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0" t="str">
        <f>IF(FT!A416&lt;&gt;"",FT!A416*10,"")</f>
        <v/>
      </c>
      <c r="G416" s="60" t="str">
        <f>IF(FT!B416&lt;&gt;"",FT!B416*100,"")</f>
        <v/>
      </c>
      <c r="H416" s="60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0" t="str">
        <f>IF(FT!A417&lt;&gt;"",FT!A417*10,"")</f>
        <v/>
      </c>
      <c r="G417" s="60" t="str">
        <f>IF(FT!B417&lt;&gt;"",FT!B417*100,"")</f>
        <v/>
      </c>
      <c r="H417" s="60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0" t="str">
        <f>IF(FT!A418&lt;&gt;"",FT!A418*10,"")</f>
        <v/>
      </c>
      <c r="G418" s="60" t="str">
        <f>IF(FT!B418&lt;&gt;"",FT!B418*100,"")</f>
        <v/>
      </c>
      <c r="H418" s="60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0" t="str">
        <f>IF(FT!A419&lt;&gt;"",FT!A419*10,"")</f>
        <v/>
      </c>
      <c r="G419" s="60" t="str">
        <f>IF(FT!B419&lt;&gt;"",FT!B419*100,"")</f>
        <v/>
      </c>
      <c r="H419" s="60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0" t="str">
        <f>IF(FT!A420&lt;&gt;"",FT!A420*10,"")</f>
        <v/>
      </c>
      <c r="G420" s="60" t="str">
        <f>IF(FT!B420&lt;&gt;"",FT!B420*100,"")</f>
        <v/>
      </c>
      <c r="H420" s="60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0" t="str">
        <f>IF(FT!A421&lt;&gt;"",FT!A421*10,"")</f>
        <v/>
      </c>
      <c r="G421" s="60" t="str">
        <f>IF(FT!B421&lt;&gt;"",FT!B421*100,"")</f>
        <v/>
      </c>
      <c r="H421" s="60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0" t="str">
        <f>IF(FT!A422&lt;&gt;"",FT!A422*10,"")</f>
        <v/>
      </c>
      <c r="G422" s="60" t="str">
        <f>IF(FT!B422&lt;&gt;"",FT!B422*100,"")</f>
        <v/>
      </c>
      <c r="H422" s="60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0" t="str">
        <f>IF(FT!A423&lt;&gt;"",FT!A423*10,"")</f>
        <v/>
      </c>
      <c r="G423" s="60" t="str">
        <f>IF(FT!B423&lt;&gt;"",FT!B423*100,"")</f>
        <v/>
      </c>
      <c r="H423" s="60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0" t="str">
        <f>IF(FT!A424&lt;&gt;"",FT!A424*10,"")</f>
        <v/>
      </c>
      <c r="G424" s="60" t="str">
        <f>IF(FT!B424&lt;&gt;"",FT!B424*100,"")</f>
        <v/>
      </c>
      <c r="H424" s="60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0" t="str">
        <f>IF(FT!A425&lt;&gt;"",FT!A425*10,"")</f>
        <v/>
      </c>
      <c r="G425" s="60" t="str">
        <f>IF(FT!B425&lt;&gt;"",FT!B425*100,"")</f>
        <v/>
      </c>
      <c r="H425" s="60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0" t="str">
        <f>IF(FT!A426&lt;&gt;"",FT!A426*10,"")</f>
        <v/>
      </c>
      <c r="G426" s="60" t="str">
        <f>IF(FT!B426&lt;&gt;"",FT!B426*100,"")</f>
        <v/>
      </c>
      <c r="H426" s="60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0" t="str">
        <f>IF(FT!A427&lt;&gt;"",FT!A427*10,"")</f>
        <v/>
      </c>
      <c r="G427" s="60" t="str">
        <f>IF(FT!B427&lt;&gt;"",FT!B427*100,"")</f>
        <v/>
      </c>
      <c r="H427" s="60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0" t="str">
        <f>IF(FT!A428&lt;&gt;"",FT!A428*10,"")</f>
        <v/>
      </c>
      <c r="G428" s="60" t="str">
        <f>IF(FT!B428&lt;&gt;"",FT!B428*100,"")</f>
        <v/>
      </c>
      <c r="H428" s="60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0" t="str">
        <f>IF(FT!A429&lt;&gt;"",FT!A429*10,"")</f>
        <v/>
      </c>
      <c r="G429" s="60" t="str">
        <f>IF(FT!B429&lt;&gt;"",FT!B429*100,"")</f>
        <v/>
      </c>
      <c r="H429" s="60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0" t="str">
        <f>IF(FT!A430&lt;&gt;"",FT!A430*10,"")</f>
        <v/>
      </c>
      <c r="G430" s="60" t="str">
        <f>IF(FT!B430&lt;&gt;"",FT!B430*100,"")</f>
        <v/>
      </c>
      <c r="H430" s="60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0" t="str">
        <f>IF(FT!A431&lt;&gt;"",FT!A431*10,"")</f>
        <v/>
      </c>
      <c r="G431" s="60" t="str">
        <f>IF(FT!B431&lt;&gt;"",FT!B431*100,"")</f>
        <v/>
      </c>
      <c r="H431" s="60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0" t="str">
        <f>IF(FT!A432&lt;&gt;"",FT!A432*10,"")</f>
        <v/>
      </c>
      <c r="G432" s="60" t="str">
        <f>IF(FT!B432&lt;&gt;"",FT!B432*100,"")</f>
        <v/>
      </c>
      <c r="H432" s="60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0" t="str">
        <f>IF(FT!A433&lt;&gt;"",FT!A433*10,"")</f>
        <v/>
      </c>
      <c r="G433" s="60" t="str">
        <f>IF(FT!B433&lt;&gt;"",FT!B433*100,"")</f>
        <v/>
      </c>
      <c r="H433" s="60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0" t="str">
        <f>IF(FT!A434&lt;&gt;"",FT!A434*10,"")</f>
        <v/>
      </c>
      <c r="G434" s="60" t="str">
        <f>IF(FT!B434&lt;&gt;"",FT!B434*100,"")</f>
        <v/>
      </c>
      <c r="H434" s="60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0" t="str">
        <f>IF(FT!A435&lt;&gt;"",FT!A435*10,"")</f>
        <v/>
      </c>
      <c r="G435" s="60" t="str">
        <f>IF(FT!B435&lt;&gt;"",FT!B435*100,"")</f>
        <v/>
      </c>
      <c r="H435" s="60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0" t="str">
        <f>IF(FT!A436&lt;&gt;"",FT!A436*10,"")</f>
        <v/>
      </c>
      <c r="G436" s="60" t="str">
        <f>IF(FT!B436&lt;&gt;"",FT!B436*100,"")</f>
        <v/>
      </c>
      <c r="H436" s="60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0" t="str">
        <f>IF(FT!A437&lt;&gt;"",FT!A437*10,"")</f>
        <v/>
      </c>
      <c r="G437" s="60" t="str">
        <f>IF(FT!B437&lt;&gt;"",FT!B437*100,"")</f>
        <v/>
      </c>
      <c r="H437" s="60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0" t="str">
        <f>IF(FT!A438&lt;&gt;"",FT!A438*10,"")</f>
        <v/>
      </c>
      <c r="G438" s="60" t="str">
        <f>IF(FT!B438&lt;&gt;"",FT!B438*100,"")</f>
        <v/>
      </c>
      <c r="H438" s="60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0" t="str">
        <f>IF(FT!A439&lt;&gt;"",FT!A439*10,"")</f>
        <v/>
      </c>
      <c r="G439" s="60" t="str">
        <f>IF(FT!B439&lt;&gt;"",FT!B439*100,"")</f>
        <v/>
      </c>
      <c r="H439" s="60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0" t="str">
        <f>IF(FT!A440&lt;&gt;"",FT!A440*10,"")</f>
        <v/>
      </c>
      <c r="G440" s="60" t="str">
        <f>IF(FT!B440&lt;&gt;"",FT!B440*100,"")</f>
        <v/>
      </c>
      <c r="H440" s="60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0" t="str">
        <f>IF(FT!A441&lt;&gt;"",FT!A441*10,"")</f>
        <v/>
      </c>
      <c r="G441" s="60" t="str">
        <f>IF(FT!B441&lt;&gt;"",FT!B441*100,"")</f>
        <v/>
      </c>
      <c r="H441" s="60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0" t="str">
        <f>IF(FT!A442&lt;&gt;"",FT!A442*10,"")</f>
        <v/>
      </c>
      <c r="G442" s="60" t="str">
        <f>IF(FT!B442&lt;&gt;"",FT!B442*100,"")</f>
        <v/>
      </c>
      <c r="H442" s="60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0" t="str">
        <f>IF(FT!A443&lt;&gt;"",FT!A443*10,"")</f>
        <v/>
      </c>
      <c r="G443" s="60" t="str">
        <f>IF(FT!B443&lt;&gt;"",FT!B443*100,"")</f>
        <v/>
      </c>
      <c r="H443" s="60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0" t="str">
        <f>IF(FT!A444&lt;&gt;"",FT!A444*10,"")</f>
        <v/>
      </c>
      <c r="G444" s="60" t="str">
        <f>IF(FT!B444&lt;&gt;"",FT!B444*100,"")</f>
        <v/>
      </c>
      <c r="H444" s="60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0" t="str">
        <f>IF(FT!A445&lt;&gt;"",FT!A445*10,"")</f>
        <v/>
      </c>
      <c r="G445" s="60" t="str">
        <f>IF(FT!B445&lt;&gt;"",FT!B445*100,"")</f>
        <v/>
      </c>
      <c r="H445" s="60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0" t="str">
        <f>IF(FT!A446&lt;&gt;"",FT!A446*10,"")</f>
        <v/>
      </c>
      <c r="G446" s="60" t="str">
        <f>IF(FT!B446&lt;&gt;"",FT!B446*100,"")</f>
        <v/>
      </c>
      <c r="H446" s="60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0" t="str">
        <f>IF(FT!A447&lt;&gt;"",FT!A447*10,"")</f>
        <v/>
      </c>
      <c r="G447" s="60" t="str">
        <f>IF(FT!B447&lt;&gt;"",FT!B447*100,"")</f>
        <v/>
      </c>
      <c r="H447" s="60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0" t="str">
        <f>IF(FT!A448&lt;&gt;"",FT!A448*10,"")</f>
        <v/>
      </c>
      <c r="G448" s="60" t="str">
        <f>IF(FT!B448&lt;&gt;"",FT!B448*100,"")</f>
        <v/>
      </c>
      <c r="H448" s="60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0" t="str">
        <f>IF(FT!A449&lt;&gt;"",FT!A449*10,"")</f>
        <v/>
      </c>
      <c r="G449" s="60" t="str">
        <f>IF(FT!B449&lt;&gt;"",FT!B449*100,"")</f>
        <v/>
      </c>
      <c r="H449" s="60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0" t="str">
        <f>IF(FT!A450&lt;&gt;"",FT!A450*10,"")</f>
        <v/>
      </c>
      <c r="G450" s="60" t="str">
        <f>IF(FT!B450&lt;&gt;"",FT!B450*100,"")</f>
        <v/>
      </c>
      <c r="H450" s="60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0" t="str">
        <f>IF(FT!A451&lt;&gt;"",FT!A451*10,"")</f>
        <v/>
      </c>
      <c r="G451" s="60" t="str">
        <f>IF(FT!B451&lt;&gt;"",FT!B451*100,"")</f>
        <v/>
      </c>
      <c r="H451" s="60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0" t="str">
        <f>IF(FT!A452&lt;&gt;"",FT!A452*10,"")</f>
        <v/>
      </c>
      <c r="G452" s="60" t="str">
        <f>IF(FT!B452&lt;&gt;"",FT!B452*100,"")</f>
        <v/>
      </c>
      <c r="H452" s="60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0" t="str">
        <f>IF(FT!A453&lt;&gt;"",FT!A453*10,"")</f>
        <v/>
      </c>
      <c r="G453" s="60" t="str">
        <f>IF(FT!B453&lt;&gt;"",FT!B453*100,"")</f>
        <v/>
      </c>
      <c r="H453" s="60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0" t="str">
        <f>IF(FT!A454&lt;&gt;"",FT!A454*10,"")</f>
        <v/>
      </c>
      <c r="G454" s="60" t="str">
        <f>IF(FT!B454&lt;&gt;"",FT!B454*100,"")</f>
        <v/>
      </c>
      <c r="H454" s="60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0" t="str">
        <f>IF(FT!A455&lt;&gt;"",FT!A455*10,"")</f>
        <v/>
      </c>
      <c r="G455" s="60" t="str">
        <f>IF(FT!B455&lt;&gt;"",FT!B455*100,"")</f>
        <v/>
      </c>
      <c r="H455" s="60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0" t="str">
        <f>IF(FT!A456&lt;&gt;"",FT!A456*10,"")</f>
        <v/>
      </c>
      <c r="G456" s="60" t="str">
        <f>IF(FT!B456&lt;&gt;"",FT!B456*100,"")</f>
        <v/>
      </c>
      <c r="H456" s="60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0" t="str">
        <f>IF(FT!A457&lt;&gt;"",FT!A457*10,"")</f>
        <v/>
      </c>
      <c r="G457" s="60" t="str">
        <f>IF(FT!B457&lt;&gt;"",FT!B457*100,"")</f>
        <v/>
      </c>
      <c r="H457" s="60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0" t="str">
        <f>IF(FT!A458&lt;&gt;"",FT!A458*10,"")</f>
        <v/>
      </c>
      <c r="G458" s="60" t="str">
        <f>IF(FT!B458&lt;&gt;"",FT!B458*100,"")</f>
        <v/>
      </c>
      <c r="H458" s="60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0" t="str">
        <f>IF(FT!A459&lt;&gt;"",FT!A459*10,"")</f>
        <v/>
      </c>
      <c r="G459" s="60" t="str">
        <f>IF(FT!B459&lt;&gt;"",FT!B459*100,"")</f>
        <v/>
      </c>
      <c r="H459" s="60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0" t="str">
        <f>IF(FT!A460&lt;&gt;"",FT!A460*10,"")</f>
        <v/>
      </c>
      <c r="G460" s="60" t="str">
        <f>IF(FT!B460&lt;&gt;"",FT!B460*100,"")</f>
        <v/>
      </c>
      <c r="H460" s="60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0" t="str">
        <f>IF(FT!A461&lt;&gt;"",FT!A461*10,"")</f>
        <v/>
      </c>
      <c r="G461" s="60" t="str">
        <f>IF(FT!B461&lt;&gt;"",FT!B461*100,"")</f>
        <v/>
      </c>
      <c r="H461" s="60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0" t="str">
        <f>IF(FT!A462&lt;&gt;"",FT!A462*10,"")</f>
        <v/>
      </c>
      <c r="G462" s="60" t="str">
        <f>IF(FT!B462&lt;&gt;"",FT!B462*100,"")</f>
        <v/>
      </c>
      <c r="H462" s="60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0" t="str">
        <f>IF(FT!A463&lt;&gt;"",FT!A463*10,"")</f>
        <v/>
      </c>
      <c r="G463" s="60" t="str">
        <f>IF(FT!B463&lt;&gt;"",FT!B463*100,"")</f>
        <v/>
      </c>
      <c r="H463" s="60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0" t="str">
        <f>IF(FT!A464&lt;&gt;"",FT!A464*10,"")</f>
        <v/>
      </c>
      <c r="G464" s="60" t="str">
        <f>IF(FT!B464&lt;&gt;"",FT!B464*100,"")</f>
        <v/>
      </c>
      <c r="H464" s="60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0" t="str">
        <f>IF(FT!A465&lt;&gt;"",FT!A465*10,"")</f>
        <v/>
      </c>
      <c r="G465" s="60" t="str">
        <f>IF(FT!B465&lt;&gt;"",FT!B465*100,"")</f>
        <v/>
      </c>
      <c r="H465" s="60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0" t="str">
        <f>IF(FT!A466&lt;&gt;"",FT!A466*10,"")</f>
        <v/>
      </c>
      <c r="G466" s="60" t="str">
        <f>IF(FT!B466&lt;&gt;"",FT!B466*100,"")</f>
        <v/>
      </c>
      <c r="H466" s="60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0" t="str">
        <f>IF(FT!A467&lt;&gt;"",FT!A467*10,"")</f>
        <v/>
      </c>
      <c r="G467" s="60" t="str">
        <f>IF(FT!B467&lt;&gt;"",FT!B467*100,"")</f>
        <v/>
      </c>
      <c r="H467" s="60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0" t="str">
        <f>IF(FT!A468&lt;&gt;"",FT!A468*10,"")</f>
        <v/>
      </c>
      <c r="G468" s="60" t="str">
        <f>IF(FT!B468&lt;&gt;"",FT!B468*100,"")</f>
        <v/>
      </c>
      <c r="H468" s="60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0" t="str">
        <f>IF(FT!A469&lt;&gt;"",FT!A469*10,"")</f>
        <v/>
      </c>
      <c r="G469" s="60" t="str">
        <f>IF(FT!B469&lt;&gt;"",FT!B469*100,"")</f>
        <v/>
      </c>
      <c r="H469" s="60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0" t="str">
        <f>IF(FT!A470&lt;&gt;"",FT!A470*10,"")</f>
        <v/>
      </c>
      <c r="G470" s="60" t="str">
        <f>IF(FT!B470&lt;&gt;"",FT!B470*100,"")</f>
        <v/>
      </c>
      <c r="H470" s="60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0" t="str">
        <f>IF(FT!A471&lt;&gt;"",FT!A471*10,"")</f>
        <v/>
      </c>
      <c r="G471" s="60" t="str">
        <f>IF(FT!B471&lt;&gt;"",FT!B471*100,"")</f>
        <v/>
      </c>
      <c r="H471" s="60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0" t="str">
        <f>IF(FT!A472&lt;&gt;"",FT!A472*10,"")</f>
        <v/>
      </c>
      <c r="G472" s="60" t="str">
        <f>IF(FT!B472&lt;&gt;"",FT!B472*100,"")</f>
        <v/>
      </c>
      <c r="H472" s="60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0" t="str">
        <f>IF(FT!A473&lt;&gt;"",FT!A473*10,"")</f>
        <v/>
      </c>
      <c r="G473" s="60" t="str">
        <f>IF(FT!B473&lt;&gt;"",FT!B473*100,"")</f>
        <v/>
      </c>
      <c r="H473" s="60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0" t="str">
        <f>IF(FT!A474&lt;&gt;"",FT!A474*10,"")</f>
        <v/>
      </c>
      <c r="G474" s="60" t="str">
        <f>IF(FT!B474&lt;&gt;"",FT!B474*100,"")</f>
        <v/>
      </c>
      <c r="H474" s="60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0" t="str">
        <f>IF(FT!A475&lt;&gt;"",FT!A475*10,"")</f>
        <v/>
      </c>
      <c r="G475" s="60" t="str">
        <f>IF(FT!B475&lt;&gt;"",FT!B475*100,"")</f>
        <v/>
      </c>
      <c r="H475" s="60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0" t="str">
        <f>IF(FT!A476&lt;&gt;"",FT!A476*10,"")</f>
        <v/>
      </c>
      <c r="G476" s="60" t="str">
        <f>IF(FT!B476&lt;&gt;"",FT!B476*100,"")</f>
        <v/>
      </c>
      <c r="H476" s="60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0" t="str">
        <f>IF(FT!A477&lt;&gt;"",FT!A477*10,"")</f>
        <v/>
      </c>
      <c r="G477" s="60" t="str">
        <f>IF(FT!B477&lt;&gt;"",FT!B477*100,"")</f>
        <v/>
      </c>
      <c r="H477" s="60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0" t="str">
        <f>IF(FT!A478&lt;&gt;"",FT!A478*10,"")</f>
        <v/>
      </c>
      <c r="G478" s="60" t="str">
        <f>IF(FT!B478&lt;&gt;"",FT!B478*100,"")</f>
        <v/>
      </c>
      <c r="H478" s="60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0" t="str">
        <f>IF(FT!A479&lt;&gt;"",FT!A479*10,"")</f>
        <v/>
      </c>
      <c r="G479" s="60" t="str">
        <f>IF(FT!B479&lt;&gt;"",FT!B479*100,"")</f>
        <v/>
      </c>
      <c r="H479" s="60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0" t="str">
        <f>IF(FT!A480&lt;&gt;"",FT!A480*10,"")</f>
        <v/>
      </c>
      <c r="G480" s="60" t="str">
        <f>IF(FT!B480&lt;&gt;"",FT!B480*100,"")</f>
        <v/>
      </c>
      <c r="H480" s="60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0" t="str">
        <f>IF(FT!A481&lt;&gt;"",FT!A481*10,"")</f>
        <v/>
      </c>
      <c r="G481" s="60" t="str">
        <f>IF(FT!B481&lt;&gt;"",FT!B481*100,"")</f>
        <v/>
      </c>
      <c r="H481" s="60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0" t="str">
        <f>IF(FT!A482&lt;&gt;"",FT!A482*10,"")</f>
        <v/>
      </c>
      <c r="G482" s="60" t="str">
        <f>IF(FT!B482&lt;&gt;"",FT!B482*100,"")</f>
        <v/>
      </c>
      <c r="H482" s="60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0" t="str">
        <f>IF(FT!A483&lt;&gt;"",FT!A483*10,"")</f>
        <v/>
      </c>
      <c r="G483" s="60" t="str">
        <f>IF(FT!B483&lt;&gt;"",FT!B483*100,"")</f>
        <v/>
      </c>
      <c r="H483" s="60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0" t="str">
        <f>IF(FT!A484&lt;&gt;"",FT!A484*10,"")</f>
        <v/>
      </c>
      <c r="G484" s="60" t="str">
        <f>IF(FT!B484&lt;&gt;"",FT!B484*100,"")</f>
        <v/>
      </c>
      <c r="H484" s="60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0" t="str">
        <f>IF(FT!A485&lt;&gt;"",FT!A485*10,"")</f>
        <v/>
      </c>
      <c r="G485" s="60" t="str">
        <f>IF(FT!B485&lt;&gt;"",FT!B485*100,"")</f>
        <v/>
      </c>
      <c r="H485" s="60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0" t="str">
        <f>IF(FT!A486&lt;&gt;"",FT!A486*10,"")</f>
        <v/>
      </c>
      <c r="G486" s="60" t="str">
        <f>IF(FT!B486&lt;&gt;"",FT!B486*100,"")</f>
        <v/>
      </c>
      <c r="H486" s="60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0" t="str">
        <f>IF(FT!A487&lt;&gt;"",FT!A487*10,"")</f>
        <v/>
      </c>
      <c r="G487" s="60" t="str">
        <f>IF(FT!B487&lt;&gt;"",FT!B487*100,"")</f>
        <v/>
      </c>
      <c r="H487" s="60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0" t="str">
        <f>IF(FT!A488&lt;&gt;"",FT!A488*10,"")</f>
        <v/>
      </c>
      <c r="G488" s="60" t="str">
        <f>IF(FT!B488&lt;&gt;"",FT!B488*100,"")</f>
        <v/>
      </c>
      <c r="H488" s="60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0" t="str">
        <f>IF(FT!A489&lt;&gt;"",FT!A489*10,"")</f>
        <v/>
      </c>
      <c r="G489" s="60" t="str">
        <f>IF(FT!B489&lt;&gt;"",FT!B489*100,"")</f>
        <v/>
      </c>
      <c r="H489" s="60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0" t="str">
        <f>IF(FT!A490&lt;&gt;"",FT!A490*10,"")</f>
        <v/>
      </c>
      <c r="G490" s="60" t="str">
        <f>IF(FT!B490&lt;&gt;"",FT!B490*100,"")</f>
        <v/>
      </c>
      <c r="H490" s="60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0" t="str">
        <f>IF(FT!A491&lt;&gt;"",FT!A491*10,"")</f>
        <v/>
      </c>
      <c r="G491" s="60" t="str">
        <f>IF(FT!B491&lt;&gt;"",FT!B491*100,"")</f>
        <v/>
      </c>
      <c r="H491" s="60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0" t="str">
        <f>IF(FT!A492&lt;&gt;"",FT!A492*10,"")</f>
        <v/>
      </c>
      <c r="G492" s="60" t="str">
        <f>IF(FT!B492&lt;&gt;"",FT!B492*100,"")</f>
        <v/>
      </c>
      <c r="H492" s="60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0" t="str">
        <f>IF(FT!A493&lt;&gt;"",FT!A493*10,"")</f>
        <v/>
      </c>
      <c r="G493" s="60" t="str">
        <f>IF(FT!B493&lt;&gt;"",FT!B493*100,"")</f>
        <v/>
      </c>
      <c r="H493" s="60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0" t="str">
        <f>IF(FT!A494&lt;&gt;"",FT!A494*10,"")</f>
        <v/>
      </c>
      <c r="G494" s="60" t="str">
        <f>IF(FT!B494&lt;&gt;"",FT!B494*100,"")</f>
        <v/>
      </c>
      <c r="H494" s="60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0" t="str">
        <f>IF(FT!A495&lt;&gt;"",FT!A495*10,"")</f>
        <v/>
      </c>
      <c r="G495" s="60" t="str">
        <f>IF(FT!B495&lt;&gt;"",FT!B495*100,"")</f>
        <v/>
      </c>
      <c r="H495" s="60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0" t="str">
        <f>IF(FT!A496&lt;&gt;"",FT!A496*10,"")</f>
        <v/>
      </c>
      <c r="G496" s="60" t="str">
        <f>IF(FT!B496&lt;&gt;"",FT!B496*100,"")</f>
        <v/>
      </c>
      <c r="H496" s="60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0" t="str">
        <f>IF(FT!A497&lt;&gt;"",FT!A497*10,"")</f>
        <v/>
      </c>
      <c r="G497" s="60" t="str">
        <f>IF(FT!B497&lt;&gt;"",FT!B497*100,"")</f>
        <v/>
      </c>
      <c r="H497" s="60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0" t="str">
        <f>IF(FT!A498&lt;&gt;"",FT!A498*10,"")</f>
        <v/>
      </c>
      <c r="G498" s="60" t="str">
        <f>IF(FT!B498&lt;&gt;"",FT!B498*100,"")</f>
        <v/>
      </c>
      <c r="H498" s="60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0" t="str">
        <f>IF(FT!A499&lt;&gt;"",FT!A499*10,"")</f>
        <v/>
      </c>
      <c r="G499" s="60" t="str">
        <f>IF(FT!B499&lt;&gt;"",FT!B499*100,"")</f>
        <v/>
      </c>
      <c r="H499" s="60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0" t="str">
        <f>IF(FT!A500&lt;&gt;"",FT!A500*10,"")</f>
        <v/>
      </c>
      <c r="G500" s="60" t="str">
        <f>IF(FT!B500&lt;&gt;"",FT!B500*100,"")</f>
        <v/>
      </c>
      <c r="H500" s="60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0" t="str">
        <f>IF(FT!A501&lt;&gt;"",FT!A501*10,"")</f>
        <v/>
      </c>
      <c r="G501" s="60" t="str">
        <f>IF(FT!B501&lt;&gt;"",FT!B501*100,"")</f>
        <v/>
      </c>
      <c r="H501" s="60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0" t="str">
        <f>IF(FT!A502&lt;&gt;"",FT!A502*10,"")</f>
        <v/>
      </c>
      <c r="G502" s="60" t="str">
        <f>IF(FT!B502&lt;&gt;"",FT!B502*100,"")</f>
        <v/>
      </c>
      <c r="H502" s="60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0" t="str">
        <f>IF(FT!A503&lt;&gt;"",FT!A503*10,"")</f>
        <v/>
      </c>
      <c r="G503" s="60" t="str">
        <f>IF(FT!B503&lt;&gt;"",FT!B503*100,"")</f>
        <v/>
      </c>
      <c r="H503" s="60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0" t="str">
        <f>IF(FT!A504&lt;&gt;"",FT!A504*10,"")</f>
        <v/>
      </c>
      <c r="G504" s="60" t="str">
        <f>IF(FT!B504&lt;&gt;"",FT!B504*100,"")</f>
        <v/>
      </c>
      <c r="H504" s="60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0" t="str">
        <f>IF(FT!A505&lt;&gt;"",FT!A505*10,"")</f>
        <v/>
      </c>
      <c r="G505" s="60" t="str">
        <f>IF(FT!B505&lt;&gt;"",FT!B505*100,"")</f>
        <v/>
      </c>
      <c r="H505" s="60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0" t="str">
        <f>IF(FT!A506&lt;&gt;"",FT!A506*10,"")</f>
        <v/>
      </c>
      <c r="G506" s="60" t="str">
        <f>IF(FT!B506&lt;&gt;"",FT!B506*100,"")</f>
        <v/>
      </c>
      <c r="H506" s="60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0" t="str">
        <f>IF(FT!A507&lt;&gt;"",FT!A507*10,"")</f>
        <v/>
      </c>
      <c r="G507" s="60" t="str">
        <f>IF(FT!B507&lt;&gt;"",FT!B507*100,"")</f>
        <v/>
      </c>
      <c r="H507" s="60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0" t="str">
        <f>IF(FT!A508&lt;&gt;"",FT!A508*10,"")</f>
        <v/>
      </c>
      <c r="G508" s="60" t="str">
        <f>IF(FT!B508&lt;&gt;"",FT!B508*100,"")</f>
        <v/>
      </c>
      <c r="H508" s="60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0" t="str">
        <f>IF(FT!A509&lt;&gt;"",FT!A509*10,"")</f>
        <v/>
      </c>
      <c r="G509" s="60" t="str">
        <f>IF(FT!B509&lt;&gt;"",FT!B509*100,"")</f>
        <v/>
      </c>
      <c r="H509" s="60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0" t="str">
        <f>IF(FT!A510&lt;&gt;"",FT!A510*10,"")</f>
        <v/>
      </c>
      <c r="G510" s="60" t="str">
        <f>IF(FT!B510&lt;&gt;"",FT!B510*100,"")</f>
        <v/>
      </c>
      <c r="H510" s="60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0" t="str">
        <f>IF(FT!A511&lt;&gt;"",FT!A511*10,"")</f>
        <v/>
      </c>
      <c r="G511" s="60" t="str">
        <f>IF(FT!B511&lt;&gt;"",FT!B511*100,"")</f>
        <v/>
      </c>
      <c r="H511" s="60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0" t="str">
        <f>IF(FT!A512&lt;&gt;"",FT!A512*10,"")</f>
        <v/>
      </c>
      <c r="G512" s="60" t="str">
        <f>IF(FT!B512&lt;&gt;"",FT!B512*100,"")</f>
        <v/>
      </c>
      <c r="H512" s="60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0" t="str">
        <f>IF(FT!A513&lt;&gt;"",FT!A513*10,"")</f>
        <v/>
      </c>
      <c r="G513" s="60" t="str">
        <f>IF(FT!B513&lt;&gt;"",FT!B513*100,"")</f>
        <v/>
      </c>
      <c r="H513" s="60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0" t="str">
        <f>IF(FT!A514&lt;&gt;"",FT!A514*10,"")</f>
        <v/>
      </c>
      <c r="G514" s="60" t="str">
        <f>IF(FT!B514&lt;&gt;"",FT!B514*100,"")</f>
        <v/>
      </c>
      <c r="H514" s="60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0" t="str">
        <f>IF(FT!A515&lt;&gt;"",FT!A515*10,"")</f>
        <v/>
      </c>
      <c r="G515" s="60" t="str">
        <f>IF(FT!B515&lt;&gt;"",FT!B515*100,"")</f>
        <v/>
      </c>
      <c r="H515" s="60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0" t="str">
        <f>IF(FT!A516&lt;&gt;"",FT!A516*10,"")</f>
        <v/>
      </c>
      <c r="G516" s="60" t="str">
        <f>IF(FT!B516&lt;&gt;"",FT!B516*100,"")</f>
        <v/>
      </c>
      <c r="H516" s="60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0" t="str">
        <f>IF(FT!A517&lt;&gt;"",FT!A517*10,"")</f>
        <v/>
      </c>
      <c r="G517" s="60" t="str">
        <f>IF(FT!B517&lt;&gt;"",FT!B517*100,"")</f>
        <v/>
      </c>
      <c r="H517" s="60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0" t="str">
        <f>IF(FT!A518&lt;&gt;"",FT!A518*10,"")</f>
        <v/>
      </c>
      <c r="G518" s="60" t="str">
        <f>IF(FT!B518&lt;&gt;"",FT!B518*100,"")</f>
        <v/>
      </c>
      <c r="H518" s="60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0" t="str">
        <f>IF(FT!A519&lt;&gt;"",FT!A519*10,"")</f>
        <v/>
      </c>
      <c r="G519" s="60" t="str">
        <f>IF(FT!B519&lt;&gt;"",FT!B519*100,"")</f>
        <v/>
      </c>
      <c r="H519" s="60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0" t="str">
        <f>IF(FT!A520&lt;&gt;"",FT!A520*10,"")</f>
        <v/>
      </c>
      <c r="G520" s="60" t="str">
        <f>IF(FT!B520&lt;&gt;"",FT!B520*100,"")</f>
        <v/>
      </c>
      <c r="H520" s="60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0" t="str">
        <f>IF(FT!A521&lt;&gt;"",FT!A521*10,"")</f>
        <v/>
      </c>
      <c r="G521" s="60" t="str">
        <f>IF(FT!B521&lt;&gt;"",FT!B521*100,"")</f>
        <v/>
      </c>
      <c r="H521" s="60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0" t="str">
        <f>IF(FT!A522&lt;&gt;"",FT!A522*10,"")</f>
        <v/>
      </c>
      <c r="G522" s="60" t="str">
        <f>IF(FT!B522&lt;&gt;"",FT!B522*100,"")</f>
        <v/>
      </c>
      <c r="H522" s="60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0" t="str">
        <f>IF(FT!A523&lt;&gt;"",FT!A523*10,"")</f>
        <v/>
      </c>
      <c r="G523" s="60" t="str">
        <f>IF(FT!B523&lt;&gt;"",FT!B523*100,"")</f>
        <v/>
      </c>
      <c r="H523" s="60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0" t="str">
        <f>IF(FT!A524&lt;&gt;"",FT!A524*10,"")</f>
        <v/>
      </c>
      <c r="G524" s="60" t="str">
        <f>IF(FT!B524&lt;&gt;"",FT!B524*100,"")</f>
        <v/>
      </c>
      <c r="H524" s="60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0" t="str">
        <f>IF(FT!A525&lt;&gt;"",FT!A525*10,"")</f>
        <v/>
      </c>
      <c r="G525" s="60" t="str">
        <f>IF(FT!B525&lt;&gt;"",FT!B525*100,"")</f>
        <v/>
      </c>
      <c r="H525" s="60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0" t="str">
        <f>IF(FT!A526&lt;&gt;"",FT!A526*10,"")</f>
        <v/>
      </c>
      <c r="G526" s="60" t="str">
        <f>IF(FT!B526&lt;&gt;"",FT!B526*100,"")</f>
        <v/>
      </c>
      <c r="H526" s="60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0" t="str">
        <f>IF(FT!A527&lt;&gt;"",FT!A527*10,"")</f>
        <v/>
      </c>
      <c r="G527" s="60" t="str">
        <f>IF(FT!B527&lt;&gt;"",FT!B527*100,"")</f>
        <v/>
      </c>
      <c r="H527" s="60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0" t="str">
        <f>IF(FT!A528&lt;&gt;"",FT!A528*10,"")</f>
        <v/>
      </c>
      <c r="G528" s="60" t="str">
        <f>IF(FT!B528&lt;&gt;"",FT!B528*100,"")</f>
        <v/>
      </c>
      <c r="H528" s="60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0" t="str">
        <f>IF(FT!A529&lt;&gt;"",FT!A529*10,"")</f>
        <v/>
      </c>
      <c r="G529" s="60" t="str">
        <f>IF(FT!B529&lt;&gt;"",FT!B529*100,"")</f>
        <v/>
      </c>
      <c r="H529" s="60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0" t="str">
        <f>IF(FT!A530&lt;&gt;"",FT!A530*10,"")</f>
        <v/>
      </c>
      <c r="G530" s="60" t="str">
        <f>IF(FT!B530&lt;&gt;"",FT!B530*100,"")</f>
        <v/>
      </c>
      <c r="H530" s="60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0" t="str">
        <f>IF(FT!A531&lt;&gt;"",FT!A531*10,"")</f>
        <v/>
      </c>
      <c r="G531" s="60" t="str">
        <f>IF(FT!B531&lt;&gt;"",FT!B531*100,"")</f>
        <v/>
      </c>
      <c r="H531" s="60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0" t="str">
        <f>IF(FT!A532&lt;&gt;"",FT!A532*10,"")</f>
        <v/>
      </c>
      <c r="G532" s="60" t="str">
        <f>IF(FT!B532&lt;&gt;"",FT!B532*100,"")</f>
        <v/>
      </c>
      <c r="H532" s="60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0" t="str">
        <f>IF(FT!A533&lt;&gt;"",FT!A533*10,"")</f>
        <v/>
      </c>
      <c r="G533" s="60" t="str">
        <f>IF(FT!B533&lt;&gt;"",FT!B533*100,"")</f>
        <v/>
      </c>
      <c r="H533" s="60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0" t="str">
        <f>IF(FT!A534&lt;&gt;"",FT!A534*10,"")</f>
        <v/>
      </c>
      <c r="G534" s="60" t="str">
        <f>IF(FT!B534&lt;&gt;"",FT!B534*100,"")</f>
        <v/>
      </c>
      <c r="H534" s="60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0" t="str">
        <f>IF(FT!A535&lt;&gt;"",FT!A535*10,"")</f>
        <v/>
      </c>
      <c r="G535" s="60" t="str">
        <f>IF(FT!B535&lt;&gt;"",FT!B535*100,"")</f>
        <v/>
      </c>
      <c r="H535" s="60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0" t="str">
        <f>IF(FT!A536&lt;&gt;"",FT!A536*10,"")</f>
        <v/>
      </c>
      <c r="G536" s="60" t="str">
        <f>IF(FT!B536&lt;&gt;"",FT!B536*100,"")</f>
        <v/>
      </c>
      <c r="H536" s="60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0" t="str">
        <f>IF(FT!A537&lt;&gt;"",FT!A537*10,"")</f>
        <v/>
      </c>
      <c r="G537" s="60" t="str">
        <f>IF(FT!B537&lt;&gt;"",FT!B537*100,"")</f>
        <v/>
      </c>
      <c r="H537" s="60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0" t="str">
        <f>IF(FT!A538&lt;&gt;"",FT!A538*10,"")</f>
        <v/>
      </c>
      <c r="G538" s="60" t="str">
        <f>IF(FT!B538&lt;&gt;"",FT!B538*100,"")</f>
        <v/>
      </c>
      <c r="H538" s="60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0" t="str">
        <f>IF(FT!A539&lt;&gt;"",FT!A539*10,"")</f>
        <v/>
      </c>
      <c r="G539" s="60" t="str">
        <f>IF(FT!B539&lt;&gt;"",FT!B539*100,"")</f>
        <v/>
      </c>
      <c r="H539" s="60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0" t="str">
        <f>IF(FT!A540&lt;&gt;"",FT!A540*10,"")</f>
        <v/>
      </c>
      <c r="G540" s="60" t="str">
        <f>IF(FT!B540&lt;&gt;"",FT!B540*100,"")</f>
        <v/>
      </c>
      <c r="H540" s="60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0" t="str">
        <f>IF(FT!A541&lt;&gt;"",FT!A541*10,"")</f>
        <v/>
      </c>
      <c r="G541" s="60" t="str">
        <f>IF(FT!B541&lt;&gt;"",FT!B541*100,"")</f>
        <v/>
      </c>
      <c r="H541" s="60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0" t="str">
        <f>IF(FT!A542&lt;&gt;"",FT!A542*10,"")</f>
        <v/>
      </c>
      <c r="G542" s="60" t="str">
        <f>IF(FT!B542&lt;&gt;"",FT!B542*100,"")</f>
        <v/>
      </c>
      <c r="H542" s="60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0" t="str">
        <f>IF(FT!A543&lt;&gt;"",FT!A543*10,"")</f>
        <v/>
      </c>
      <c r="G543" s="60" t="str">
        <f>IF(FT!B543&lt;&gt;"",FT!B543*100,"")</f>
        <v/>
      </c>
      <c r="H543" s="60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0" t="str">
        <f>IF(FT!A544&lt;&gt;"",FT!A544*10,"")</f>
        <v/>
      </c>
      <c r="G544" s="60" t="str">
        <f>IF(FT!B544&lt;&gt;"",FT!B544*100,"")</f>
        <v/>
      </c>
      <c r="H544" s="60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0" t="str">
        <f>IF(FT!A545&lt;&gt;"",FT!A545*10,"")</f>
        <v/>
      </c>
      <c r="G545" s="60" t="str">
        <f>IF(FT!B545&lt;&gt;"",FT!B545*100,"")</f>
        <v/>
      </c>
      <c r="H545" s="60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0" t="str">
        <f>IF(FT!A546&lt;&gt;"",FT!A546*10,"")</f>
        <v/>
      </c>
      <c r="G546" s="60" t="str">
        <f>IF(FT!B546&lt;&gt;"",FT!B546*100,"")</f>
        <v/>
      </c>
      <c r="H546" s="60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0" t="str">
        <f>IF(FT!A547&lt;&gt;"",FT!A547*10,"")</f>
        <v/>
      </c>
      <c r="G547" s="60" t="str">
        <f>IF(FT!B547&lt;&gt;"",FT!B547*100,"")</f>
        <v/>
      </c>
      <c r="H547" s="60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0" t="str">
        <f>IF(FT!A548&lt;&gt;"",FT!A548*10,"")</f>
        <v/>
      </c>
      <c r="G548" s="60" t="str">
        <f>IF(FT!B548&lt;&gt;"",FT!B548*100,"")</f>
        <v/>
      </c>
      <c r="H548" s="60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0" t="str">
        <f>IF(FT!A549&lt;&gt;"",FT!A549*10,"")</f>
        <v/>
      </c>
      <c r="G549" s="60" t="str">
        <f>IF(FT!B549&lt;&gt;"",FT!B549*100,"")</f>
        <v/>
      </c>
      <c r="H549" s="60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0" t="str">
        <f>IF(FT!A550&lt;&gt;"",FT!A550*10,"")</f>
        <v/>
      </c>
      <c r="G550" s="60" t="str">
        <f>IF(FT!B550&lt;&gt;"",FT!B550*100,"")</f>
        <v/>
      </c>
      <c r="H550" s="60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0" t="str">
        <f>IF(FT!A551&lt;&gt;"",FT!A551*10,"")</f>
        <v/>
      </c>
      <c r="G551" s="60" t="str">
        <f>IF(FT!B551&lt;&gt;"",FT!B551*100,"")</f>
        <v/>
      </c>
      <c r="H551" s="60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0" t="str">
        <f>IF(FT!A552&lt;&gt;"",FT!A552*10,"")</f>
        <v/>
      </c>
      <c r="G552" s="60" t="str">
        <f>IF(FT!B552&lt;&gt;"",FT!B552*100,"")</f>
        <v/>
      </c>
      <c r="H552" s="60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0" t="str">
        <f>IF(FT!A553&lt;&gt;"",FT!A553*10,"")</f>
        <v/>
      </c>
      <c r="G553" s="60" t="str">
        <f>IF(FT!B553&lt;&gt;"",FT!B553*100,"")</f>
        <v/>
      </c>
      <c r="H553" s="60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0" t="str">
        <f>IF(FT!A554&lt;&gt;"",FT!A554*10,"")</f>
        <v/>
      </c>
      <c r="G554" s="60" t="str">
        <f>IF(FT!B554&lt;&gt;"",FT!B554*100,"")</f>
        <v/>
      </c>
      <c r="H554" s="60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0" t="str">
        <f>IF(FT!A555&lt;&gt;"",FT!A555*10,"")</f>
        <v/>
      </c>
      <c r="G555" s="60" t="str">
        <f>IF(FT!B555&lt;&gt;"",FT!B555*100,"")</f>
        <v/>
      </c>
      <c r="H555" s="60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0" t="str">
        <f>IF(FT!A556&lt;&gt;"",FT!A556*10,"")</f>
        <v/>
      </c>
      <c r="G556" s="60" t="str">
        <f>IF(FT!B556&lt;&gt;"",FT!B556*100,"")</f>
        <v/>
      </c>
      <c r="H556" s="60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0" t="str">
        <f>IF(FT!A557&lt;&gt;"",FT!A557*10,"")</f>
        <v/>
      </c>
      <c r="G557" s="60" t="str">
        <f>IF(FT!B557&lt;&gt;"",FT!B557*100,"")</f>
        <v/>
      </c>
      <c r="H557" s="60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0" t="str">
        <f>IF(FT!A558&lt;&gt;"",FT!A558*10,"")</f>
        <v/>
      </c>
      <c r="G558" s="60" t="str">
        <f>IF(FT!B558&lt;&gt;"",FT!B558*100,"")</f>
        <v/>
      </c>
      <c r="H558" s="60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0" t="str">
        <f>IF(FT!A559&lt;&gt;"",FT!A559*10,"")</f>
        <v/>
      </c>
      <c r="G559" s="60" t="str">
        <f>IF(FT!B559&lt;&gt;"",FT!B559*100,"")</f>
        <v/>
      </c>
      <c r="H559" s="60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0" t="str">
        <f>IF(FT!A560&lt;&gt;"",FT!A560*10,"")</f>
        <v/>
      </c>
      <c r="G560" s="60" t="str">
        <f>IF(FT!B560&lt;&gt;"",FT!B560*100,"")</f>
        <v/>
      </c>
      <c r="H560" s="60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0" t="str">
        <f>IF(FT!A561&lt;&gt;"",FT!A561*10,"")</f>
        <v/>
      </c>
      <c r="G561" s="60" t="str">
        <f>IF(FT!B561&lt;&gt;"",FT!B561*100,"")</f>
        <v/>
      </c>
      <c r="H561" s="60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0" t="str">
        <f>IF(FT!A562&lt;&gt;"",FT!A562*10,"")</f>
        <v/>
      </c>
      <c r="G562" s="60" t="str">
        <f>IF(FT!B562&lt;&gt;"",FT!B562*100,"")</f>
        <v/>
      </c>
      <c r="H562" s="60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0" t="str">
        <f>IF(FT!A563&lt;&gt;"",FT!A563*10,"")</f>
        <v/>
      </c>
      <c r="G563" s="60" t="str">
        <f>IF(FT!B563&lt;&gt;"",FT!B563*100,"")</f>
        <v/>
      </c>
      <c r="H563" s="60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0" t="str">
        <f>IF(FT!A564&lt;&gt;"",FT!A564*10,"")</f>
        <v/>
      </c>
      <c r="G564" s="60" t="str">
        <f>IF(FT!B564&lt;&gt;"",FT!B564*100,"")</f>
        <v/>
      </c>
      <c r="H564" s="60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0" t="str">
        <f>IF(FT!A565&lt;&gt;"",FT!A565*10,"")</f>
        <v/>
      </c>
      <c r="G565" s="60" t="str">
        <f>IF(FT!B565&lt;&gt;"",FT!B565*100,"")</f>
        <v/>
      </c>
      <c r="H565" s="60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0" t="str">
        <f>IF(FT!A566&lt;&gt;"",FT!A566*10,"")</f>
        <v/>
      </c>
      <c r="G566" s="60" t="str">
        <f>IF(FT!B566&lt;&gt;"",FT!B566*100,"")</f>
        <v/>
      </c>
      <c r="H566" s="60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0" t="str">
        <f>IF(FT!A567&lt;&gt;"",FT!A567*10,"")</f>
        <v/>
      </c>
      <c r="G567" s="60" t="str">
        <f>IF(FT!B567&lt;&gt;"",FT!B567*100,"")</f>
        <v/>
      </c>
      <c r="H567" s="60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0" t="str">
        <f>IF(FT!A568&lt;&gt;"",FT!A568*10,"")</f>
        <v/>
      </c>
      <c r="G568" s="60" t="str">
        <f>IF(FT!B568&lt;&gt;"",FT!B568*100,"")</f>
        <v/>
      </c>
      <c r="H568" s="60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0" t="str">
        <f>IF(FT!A569&lt;&gt;"",FT!A569*10,"")</f>
        <v/>
      </c>
      <c r="G569" s="60" t="str">
        <f>IF(FT!B569&lt;&gt;"",FT!B569*100,"")</f>
        <v/>
      </c>
      <c r="H569" s="60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0" t="str">
        <f>IF(FT!A570&lt;&gt;"",FT!A570*10,"")</f>
        <v/>
      </c>
      <c r="G570" s="60" t="str">
        <f>IF(FT!B570&lt;&gt;"",FT!B570*100,"")</f>
        <v/>
      </c>
      <c r="H570" s="60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0" t="str">
        <f>IF(FT!A571&lt;&gt;"",FT!A571*10,"")</f>
        <v/>
      </c>
      <c r="G571" s="60" t="str">
        <f>IF(FT!B571&lt;&gt;"",FT!B571*100,"")</f>
        <v/>
      </c>
      <c r="H571" s="60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0" t="str">
        <f>IF(FT!A572&lt;&gt;"",FT!A572*10,"")</f>
        <v/>
      </c>
      <c r="G572" s="60" t="str">
        <f>IF(FT!B572&lt;&gt;"",FT!B572*100,"")</f>
        <v/>
      </c>
      <c r="H572" s="60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0" t="str">
        <f>IF(FT!A573&lt;&gt;"",FT!A573*10,"")</f>
        <v/>
      </c>
      <c r="G573" s="60" t="str">
        <f>IF(FT!B573&lt;&gt;"",FT!B573*100,"")</f>
        <v/>
      </c>
      <c r="H573" s="60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0" t="str">
        <f>IF(FT!A574&lt;&gt;"",FT!A574*10,"")</f>
        <v/>
      </c>
      <c r="G574" s="60" t="str">
        <f>IF(FT!B574&lt;&gt;"",FT!B574*100,"")</f>
        <v/>
      </c>
      <c r="H574" s="60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0" t="str">
        <f>IF(FT!A575&lt;&gt;"",FT!A575*10,"")</f>
        <v/>
      </c>
      <c r="G575" s="60" t="str">
        <f>IF(FT!B575&lt;&gt;"",FT!B575*100,"")</f>
        <v/>
      </c>
      <c r="H575" s="60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0" t="str">
        <f>IF(FT!A576&lt;&gt;"",FT!A576*10,"")</f>
        <v/>
      </c>
      <c r="G576" s="60" t="str">
        <f>IF(FT!B576&lt;&gt;"",FT!B576*100,"")</f>
        <v/>
      </c>
      <c r="H576" s="60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0" t="str">
        <f>IF(FT!A577&lt;&gt;"",FT!A577*10,"")</f>
        <v/>
      </c>
      <c r="G577" s="60" t="str">
        <f>IF(FT!B577&lt;&gt;"",FT!B577*100,"")</f>
        <v/>
      </c>
      <c r="H577" s="60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0" t="str">
        <f>IF(FT!A578&lt;&gt;"",FT!A578*10,"")</f>
        <v/>
      </c>
      <c r="G578" s="60" t="str">
        <f>IF(FT!B578&lt;&gt;"",FT!B578*100,"")</f>
        <v/>
      </c>
      <c r="H578" s="60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0" t="str">
        <f>IF(FT!A579&lt;&gt;"",FT!A579*10,"")</f>
        <v/>
      </c>
      <c r="G579" s="60" t="str">
        <f>IF(FT!B579&lt;&gt;"",FT!B579*100,"")</f>
        <v/>
      </c>
      <c r="H579" s="60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0" t="str">
        <f>IF(FT!A580&lt;&gt;"",FT!A580*10,"")</f>
        <v/>
      </c>
      <c r="G580" s="60" t="str">
        <f>IF(FT!B580&lt;&gt;"",FT!B580*100,"")</f>
        <v/>
      </c>
      <c r="H580" s="60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0" t="str">
        <f>IF(FT!A581&lt;&gt;"",FT!A581*10,"")</f>
        <v/>
      </c>
      <c r="G581" s="60" t="str">
        <f>IF(FT!B581&lt;&gt;"",FT!B581*100,"")</f>
        <v/>
      </c>
      <c r="H581" s="60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0" t="str">
        <f>IF(FT!A582&lt;&gt;"",FT!A582*10,"")</f>
        <v/>
      </c>
      <c r="G582" s="60" t="str">
        <f>IF(FT!B582&lt;&gt;"",FT!B582*100,"")</f>
        <v/>
      </c>
      <c r="H582" s="60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0" t="str">
        <f>IF(FT!A583&lt;&gt;"",FT!A583*10,"")</f>
        <v/>
      </c>
      <c r="G583" s="60" t="str">
        <f>IF(FT!B583&lt;&gt;"",FT!B583*100,"")</f>
        <v/>
      </c>
      <c r="H583" s="60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0" t="str">
        <f>IF(FT!A584&lt;&gt;"",FT!A584*10,"")</f>
        <v/>
      </c>
      <c r="G584" s="60" t="str">
        <f>IF(FT!B584&lt;&gt;"",FT!B584*100,"")</f>
        <v/>
      </c>
      <c r="H584" s="60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0" t="str">
        <f>IF(FT!A585&lt;&gt;"",FT!A585*10,"")</f>
        <v/>
      </c>
      <c r="G585" s="60" t="str">
        <f>IF(FT!B585&lt;&gt;"",FT!B585*100,"")</f>
        <v/>
      </c>
      <c r="H585" s="60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0" t="str">
        <f>IF(FT!A586&lt;&gt;"",FT!A586*10,"")</f>
        <v/>
      </c>
      <c r="G586" s="60" t="str">
        <f>IF(FT!B586&lt;&gt;"",FT!B586*100,"")</f>
        <v/>
      </c>
      <c r="H586" s="60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0" t="str">
        <f>IF(FT!A587&lt;&gt;"",FT!A587*10,"")</f>
        <v/>
      </c>
      <c r="G587" s="60" t="str">
        <f>IF(FT!B587&lt;&gt;"",FT!B587*100,"")</f>
        <v/>
      </c>
      <c r="H587" s="60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0" t="str">
        <f>IF(FT!A588&lt;&gt;"",FT!A588*10,"")</f>
        <v/>
      </c>
      <c r="G588" s="60" t="str">
        <f>IF(FT!B588&lt;&gt;"",FT!B588*100,"")</f>
        <v/>
      </c>
      <c r="H588" s="60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0" t="str">
        <f>IF(FT!A589&lt;&gt;"",FT!A589*10,"")</f>
        <v/>
      </c>
      <c r="G589" s="60" t="str">
        <f>IF(FT!B589&lt;&gt;"",FT!B589*100,"")</f>
        <v/>
      </c>
      <c r="H589" s="60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0" t="str">
        <f>IF(FT!A590&lt;&gt;"",FT!A590*10,"")</f>
        <v/>
      </c>
      <c r="G590" s="60" t="str">
        <f>IF(FT!B590&lt;&gt;"",FT!B590*100,"")</f>
        <v/>
      </c>
      <c r="H590" s="60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0" t="str">
        <f>IF(FT!A591&lt;&gt;"",FT!A591*10,"")</f>
        <v/>
      </c>
      <c r="G591" s="60" t="str">
        <f>IF(FT!B591&lt;&gt;"",FT!B591*100,"")</f>
        <v/>
      </c>
      <c r="H591" s="60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0" t="str">
        <f>IF(FT!A592&lt;&gt;"",FT!A592*10,"")</f>
        <v/>
      </c>
      <c r="G592" s="60" t="str">
        <f>IF(FT!B592&lt;&gt;"",FT!B592*100,"")</f>
        <v/>
      </c>
      <c r="H592" s="60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0" t="str">
        <f>IF(FT!A593&lt;&gt;"",FT!A593*10,"")</f>
        <v/>
      </c>
      <c r="G593" s="60" t="str">
        <f>IF(FT!B593&lt;&gt;"",FT!B593*100,"")</f>
        <v/>
      </c>
      <c r="H593" s="60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0" t="str">
        <f>IF(FT!A594&lt;&gt;"",FT!A594*10,"")</f>
        <v/>
      </c>
      <c r="G594" s="60" t="str">
        <f>IF(FT!B594&lt;&gt;"",FT!B594*100,"")</f>
        <v/>
      </c>
      <c r="H594" s="60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0" t="str">
        <f>IF(FT!A595&lt;&gt;"",FT!A595*10,"")</f>
        <v/>
      </c>
      <c r="G595" s="60" t="str">
        <f>IF(FT!B595&lt;&gt;"",FT!B595*100,"")</f>
        <v/>
      </c>
      <c r="H595" s="60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0" t="str">
        <f>IF(FT!A596&lt;&gt;"",FT!A596*10,"")</f>
        <v/>
      </c>
      <c r="G596" s="60" t="str">
        <f>IF(FT!B596&lt;&gt;"",FT!B596*100,"")</f>
        <v/>
      </c>
      <c r="H596" s="60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0" t="str">
        <f>IF(FT!A597&lt;&gt;"",FT!A597*10,"")</f>
        <v/>
      </c>
      <c r="G597" s="60" t="str">
        <f>IF(FT!B597&lt;&gt;"",FT!B597*100,"")</f>
        <v/>
      </c>
      <c r="H597" s="60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0" t="str">
        <f>IF(FT!A598&lt;&gt;"",FT!A598*10,"")</f>
        <v/>
      </c>
      <c r="G598" s="60" t="str">
        <f>IF(FT!B598&lt;&gt;"",FT!B598*100,"")</f>
        <v/>
      </c>
      <c r="H598" s="60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0" t="str">
        <f>IF(FT!A599&lt;&gt;"",FT!A599*10,"")</f>
        <v/>
      </c>
      <c r="G599" s="60" t="str">
        <f>IF(FT!B599&lt;&gt;"",FT!B599*100,"")</f>
        <v/>
      </c>
      <c r="H599" s="60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0" t="str">
        <f>IF(FT!A600&lt;&gt;"",FT!A600*10,"")</f>
        <v/>
      </c>
      <c r="G600" s="60" t="str">
        <f>IF(FT!B600&lt;&gt;"",FT!B600*100,"")</f>
        <v/>
      </c>
      <c r="H600" s="60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0" t="str">
        <f>IF(FT!A601&lt;&gt;"",FT!A601*10,"")</f>
        <v/>
      </c>
      <c r="G601" s="60" t="str">
        <f>IF(FT!B601&lt;&gt;"",FT!B601*100,"")</f>
        <v/>
      </c>
      <c r="H601" s="60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0" t="str">
        <f>IF(FT!A602&lt;&gt;"",FT!A602*10,"")</f>
        <v/>
      </c>
      <c r="G602" s="60" t="str">
        <f>IF(FT!B602&lt;&gt;"",FT!B602*100,"")</f>
        <v/>
      </c>
      <c r="H602" s="60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0" t="str">
        <f>IF(FT!A603&lt;&gt;"",FT!A603*10,"")</f>
        <v/>
      </c>
      <c r="G603" s="60" t="str">
        <f>IF(FT!B603&lt;&gt;"",FT!B603*100,"")</f>
        <v/>
      </c>
      <c r="H603" s="60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0" t="str">
        <f>IF(FT!A604&lt;&gt;"",FT!A604*10,"")</f>
        <v/>
      </c>
      <c r="G604" s="60" t="str">
        <f>IF(FT!B604&lt;&gt;"",FT!B604*100,"")</f>
        <v/>
      </c>
      <c r="H604" s="60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0" t="str">
        <f>IF(FT!A605&lt;&gt;"",FT!A605*10,"")</f>
        <v/>
      </c>
      <c r="G605" s="60" t="str">
        <f>IF(FT!B605&lt;&gt;"",FT!B605*100,"")</f>
        <v/>
      </c>
      <c r="H605" s="60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0" t="str">
        <f>IF(FT!A606&lt;&gt;"",FT!A606*10,"")</f>
        <v/>
      </c>
      <c r="G606" s="60" t="str">
        <f>IF(FT!B606&lt;&gt;"",FT!B606*100,"")</f>
        <v/>
      </c>
      <c r="H606" s="60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0" t="str">
        <f>IF(FT!A607&lt;&gt;"",FT!A607*10,"")</f>
        <v/>
      </c>
      <c r="G607" s="60" t="str">
        <f>IF(FT!B607&lt;&gt;"",FT!B607*100,"")</f>
        <v/>
      </c>
      <c r="H607" s="60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0" t="str">
        <f>IF(FT!A608&lt;&gt;"",FT!A608*10,"")</f>
        <v/>
      </c>
      <c r="G608" s="60" t="str">
        <f>IF(FT!B608&lt;&gt;"",FT!B608*100,"")</f>
        <v/>
      </c>
      <c r="H608" s="60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0" t="str">
        <f>IF(FT!A609&lt;&gt;"",FT!A609*10,"")</f>
        <v/>
      </c>
      <c r="G609" s="60" t="str">
        <f>IF(FT!B609&lt;&gt;"",FT!B609*100,"")</f>
        <v/>
      </c>
      <c r="H609" s="60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0" t="str">
        <f>IF(FT!A610&lt;&gt;"",FT!A610*10,"")</f>
        <v/>
      </c>
      <c r="G610" s="60" t="str">
        <f>IF(FT!B610&lt;&gt;"",FT!B610*100,"")</f>
        <v/>
      </c>
      <c r="H610" s="60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0" t="str">
        <f>IF(FT!A611&lt;&gt;"",FT!A611*10,"")</f>
        <v/>
      </c>
      <c r="G611" s="60" t="str">
        <f>IF(FT!B611&lt;&gt;"",FT!B611*100,"")</f>
        <v/>
      </c>
      <c r="H611" s="60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0" t="str">
        <f>IF(FT!A612&lt;&gt;"",FT!A612*10,"")</f>
        <v/>
      </c>
      <c r="G612" s="60" t="str">
        <f>IF(FT!B612&lt;&gt;"",FT!B612*100,"")</f>
        <v/>
      </c>
      <c r="H612" s="60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0" t="str">
        <f>IF(FT!A613&lt;&gt;"",FT!A613*10,"")</f>
        <v/>
      </c>
      <c r="G613" s="60" t="str">
        <f>IF(FT!B613&lt;&gt;"",FT!B613*100,"")</f>
        <v/>
      </c>
      <c r="H613" s="60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0" t="str">
        <f>IF(FT!A614&lt;&gt;"",FT!A614*10,"")</f>
        <v/>
      </c>
      <c r="G614" s="60" t="str">
        <f>IF(FT!B614&lt;&gt;"",FT!B614*100,"")</f>
        <v/>
      </c>
      <c r="H614" s="60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0" t="str">
        <f>IF(FT!A615&lt;&gt;"",FT!A615*10,"")</f>
        <v/>
      </c>
      <c r="G615" s="60" t="str">
        <f>IF(FT!B615&lt;&gt;"",FT!B615*100,"")</f>
        <v/>
      </c>
      <c r="H615" s="60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0" t="str">
        <f>IF(FT!A616&lt;&gt;"",FT!A616*10,"")</f>
        <v/>
      </c>
      <c r="G616" s="60" t="str">
        <f>IF(FT!B616&lt;&gt;"",FT!B616*100,"")</f>
        <v/>
      </c>
      <c r="H616" s="60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0" t="str">
        <f>IF(FT!A617&lt;&gt;"",FT!A617*10,"")</f>
        <v/>
      </c>
      <c r="G617" s="60" t="str">
        <f>IF(FT!B617&lt;&gt;"",FT!B617*100,"")</f>
        <v/>
      </c>
      <c r="H617" s="60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0" t="str">
        <f>IF(FT!A618&lt;&gt;"",FT!A618*10,"")</f>
        <v/>
      </c>
      <c r="G618" s="60" t="str">
        <f>IF(FT!B618&lt;&gt;"",FT!B618*100,"")</f>
        <v/>
      </c>
      <c r="H618" s="60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0" t="str">
        <f>IF(FT!A619&lt;&gt;"",FT!A619*10,"")</f>
        <v/>
      </c>
      <c r="G619" s="60" t="str">
        <f>IF(FT!B619&lt;&gt;"",FT!B619*100,"")</f>
        <v/>
      </c>
      <c r="H619" s="60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0" t="str">
        <f>IF(FT!A620&lt;&gt;"",FT!A620*10,"")</f>
        <v/>
      </c>
      <c r="G620" s="60" t="str">
        <f>IF(FT!B620&lt;&gt;"",FT!B620*100,"")</f>
        <v/>
      </c>
      <c r="H620" s="60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0" t="str">
        <f>IF(FT!A621&lt;&gt;"",FT!A621*10,"")</f>
        <v/>
      </c>
      <c r="G621" s="60" t="str">
        <f>IF(FT!B621&lt;&gt;"",FT!B621*100,"")</f>
        <v/>
      </c>
      <c r="H621" s="60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0" t="str">
        <f>IF(FT!A622&lt;&gt;"",FT!A622*10,"")</f>
        <v/>
      </c>
      <c r="G622" s="60" t="str">
        <f>IF(FT!B622&lt;&gt;"",FT!B622*100,"")</f>
        <v/>
      </c>
      <c r="H622" s="60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0" t="str">
        <f>IF(FT!A623&lt;&gt;"",FT!A623*10,"")</f>
        <v/>
      </c>
      <c r="G623" s="60" t="str">
        <f>IF(FT!B623&lt;&gt;"",FT!B623*100,"")</f>
        <v/>
      </c>
      <c r="H623" s="60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0" t="str">
        <f>IF(FT!A624&lt;&gt;"",FT!A624*10,"")</f>
        <v/>
      </c>
      <c r="G624" s="60" t="str">
        <f>IF(FT!B624&lt;&gt;"",FT!B624*100,"")</f>
        <v/>
      </c>
      <c r="H624" s="60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0" t="str">
        <f>IF(FT!A625&lt;&gt;"",FT!A625*10,"")</f>
        <v/>
      </c>
      <c r="G625" s="60" t="str">
        <f>IF(FT!B625&lt;&gt;"",FT!B625*100,"")</f>
        <v/>
      </c>
      <c r="H625" s="60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0" t="str">
        <f>IF(FT!A626&lt;&gt;"",FT!A626*10,"")</f>
        <v/>
      </c>
      <c r="G626" s="60" t="str">
        <f>IF(FT!B626&lt;&gt;"",FT!B626*100,"")</f>
        <v/>
      </c>
      <c r="H626" s="60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0" t="str">
        <f>IF(FT!A627&lt;&gt;"",FT!A627*10,"")</f>
        <v/>
      </c>
      <c r="G627" s="60" t="str">
        <f>IF(FT!B627&lt;&gt;"",FT!B627*100,"")</f>
        <v/>
      </c>
      <c r="H627" s="60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0" t="str">
        <f>IF(FT!A628&lt;&gt;"",FT!A628*10,"")</f>
        <v/>
      </c>
      <c r="G628" s="60" t="str">
        <f>IF(FT!B628&lt;&gt;"",FT!B628*100,"")</f>
        <v/>
      </c>
      <c r="H628" s="60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0" t="str">
        <f>IF(FT!A629&lt;&gt;"",FT!A629*10,"")</f>
        <v/>
      </c>
      <c r="G629" s="60" t="str">
        <f>IF(FT!B629&lt;&gt;"",FT!B629*100,"")</f>
        <v/>
      </c>
      <c r="H629" s="60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0" t="str">
        <f>IF(FT!A630&lt;&gt;"",FT!A630*10,"")</f>
        <v/>
      </c>
      <c r="G630" s="60" t="str">
        <f>IF(FT!B630&lt;&gt;"",FT!B630*100,"")</f>
        <v/>
      </c>
      <c r="H630" s="60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0" t="str">
        <f>IF(FT!A631&lt;&gt;"",FT!A631*10,"")</f>
        <v/>
      </c>
      <c r="G631" s="60" t="str">
        <f>IF(FT!B631&lt;&gt;"",FT!B631*100,"")</f>
        <v/>
      </c>
      <c r="H631" s="60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0" t="str">
        <f>IF(FT!A632&lt;&gt;"",FT!A632*10,"")</f>
        <v/>
      </c>
      <c r="G632" s="60" t="str">
        <f>IF(FT!B632&lt;&gt;"",FT!B632*100,"")</f>
        <v/>
      </c>
      <c r="H632" s="60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0" t="str">
        <f>IF(FT!A633&lt;&gt;"",FT!A633*10,"")</f>
        <v/>
      </c>
      <c r="G633" s="60" t="str">
        <f>IF(FT!B633&lt;&gt;"",FT!B633*100,"")</f>
        <v/>
      </c>
      <c r="H633" s="60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0" t="str">
        <f>IF(FT!A634&lt;&gt;"",FT!A634*10,"")</f>
        <v/>
      </c>
      <c r="G634" s="60" t="str">
        <f>IF(FT!B634&lt;&gt;"",FT!B634*100,"")</f>
        <v/>
      </c>
      <c r="H634" s="60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0" t="str">
        <f>IF(FT!A635&lt;&gt;"",FT!A635*10,"")</f>
        <v/>
      </c>
      <c r="G635" s="60" t="str">
        <f>IF(FT!B635&lt;&gt;"",FT!B635*100,"")</f>
        <v/>
      </c>
      <c r="H635" s="60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0" t="str">
        <f>IF(FT!A636&lt;&gt;"",FT!A636*10,"")</f>
        <v/>
      </c>
      <c r="G636" s="60" t="str">
        <f>IF(FT!B636&lt;&gt;"",FT!B636*100,"")</f>
        <v/>
      </c>
      <c r="H636" s="60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0" t="str">
        <f>IF(FT!A637&lt;&gt;"",FT!A637*10,"")</f>
        <v/>
      </c>
      <c r="G637" s="60" t="str">
        <f>IF(FT!B637&lt;&gt;"",FT!B637*100,"")</f>
        <v/>
      </c>
      <c r="H637" s="60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0" t="str">
        <f>IF(FT!A638&lt;&gt;"",FT!A638*10,"")</f>
        <v/>
      </c>
      <c r="G638" s="60" t="str">
        <f>IF(FT!B638&lt;&gt;"",FT!B638*100,"")</f>
        <v/>
      </c>
      <c r="H638" s="60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0" t="str">
        <f>IF(FT!A639&lt;&gt;"",FT!A639*10,"")</f>
        <v/>
      </c>
      <c r="G639" s="60" t="str">
        <f>IF(FT!B639&lt;&gt;"",FT!B639*100,"")</f>
        <v/>
      </c>
      <c r="H639" s="60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0" t="str">
        <f>IF(FT!A640&lt;&gt;"",FT!A640*10,"")</f>
        <v/>
      </c>
      <c r="G640" s="60" t="str">
        <f>IF(FT!B640&lt;&gt;"",FT!B640*100,"")</f>
        <v/>
      </c>
      <c r="H640" s="60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0" t="str">
        <f>IF(FT!A641&lt;&gt;"",FT!A641*10,"")</f>
        <v/>
      </c>
      <c r="G641" s="60" t="str">
        <f>IF(FT!B641&lt;&gt;"",FT!B641*100,"")</f>
        <v/>
      </c>
      <c r="H641" s="60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0" t="str">
        <f>IF(FT!A642&lt;&gt;"",FT!A642*10,"")</f>
        <v/>
      </c>
      <c r="G642" s="60" t="str">
        <f>IF(FT!B642&lt;&gt;"",FT!B642*100,"")</f>
        <v/>
      </c>
      <c r="H642" s="60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0" t="str">
        <f>IF(FT!A643&lt;&gt;"",FT!A643*10,"")</f>
        <v/>
      </c>
      <c r="G643" s="60" t="str">
        <f>IF(FT!B643&lt;&gt;"",FT!B643*100,"")</f>
        <v/>
      </c>
      <c r="H643" s="60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0" t="str">
        <f>IF(FT!A644&lt;&gt;"",FT!A644*10,"")</f>
        <v/>
      </c>
      <c r="G644" s="60" t="str">
        <f>IF(FT!B644&lt;&gt;"",FT!B644*100,"")</f>
        <v/>
      </c>
      <c r="H644" s="60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0" t="str">
        <f>IF(FT!A645&lt;&gt;"",FT!A645*10,"")</f>
        <v/>
      </c>
      <c r="G645" s="60" t="str">
        <f>IF(FT!B645&lt;&gt;"",FT!B645*100,"")</f>
        <v/>
      </c>
      <c r="H645" s="60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0" t="str">
        <f>IF(FT!A646&lt;&gt;"",FT!A646*10,"")</f>
        <v/>
      </c>
      <c r="G646" s="60" t="str">
        <f>IF(FT!B646&lt;&gt;"",FT!B646*100,"")</f>
        <v/>
      </c>
      <c r="H646" s="60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0" t="str">
        <f>IF(FT!A647&lt;&gt;"",FT!A647*10,"")</f>
        <v/>
      </c>
      <c r="G647" s="60" t="str">
        <f>IF(FT!B647&lt;&gt;"",FT!B647*100,"")</f>
        <v/>
      </c>
      <c r="H647" s="60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0" t="str">
        <f>IF(FT!A648&lt;&gt;"",FT!A648*10,"")</f>
        <v/>
      </c>
      <c r="G648" s="60" t="str">
        <f>IF(FT!B648&lt;&gt;"",FT!B648*100,"")</f>
        <v/>
      </c>
      <c r="H648" s="60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0" t="str">
        <f>IF(FT!A649&lt;&gt;"",FT!A649*10,"")</f>
        <v/>
      </c>
      <c r="G649" s="60" t="str">
        <f>IF(FT!B649&lt;&gt;"",FT!B649*100,"")</f>
        <v/>
      </c>
      <c r="H649" s="60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0" t="str">
        <f>IF(FT!A650&lt;&gt;"",FT!A650*10,"")</f>
        <v/>
      </c>
      <c r="G650" s="60" t="str">
        <f>IF(FT!B650&lt;&gt;"",FT!B650*100,"")</f>
        <v/>
      </c>
      <c r="H650" s="60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0" t="str">
        <f>IF(FT!A651&lt;&gt;"",FT!A651*10,"")</f>
        <v/>
      </c>
      <c r="G651" s="60" t="str">
        <f>IF(FT!B651&lt;&gt;"",FT!B651*100,"")</f>
        <v/>
      </c>
      <c r="H651" s="60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0" t="str">
        <f>IF(FT!A652&lt;&gt;"",FT!A652*10,"")</f>
        <v/>
      </c>
      <c r="G652" s="60" t="str">
        <f>IF(FT!B652&lt;&gt;"",FT!B652*100,"")</f>
        <v/>
      </c>
      <c r="H652" s="60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0" t="str">
        <f>IF(FT!A653&lt;&gt;"",FT!A653*10,"")</f>
        <v/>
      </c>
      <c r="G653" s="60" t="str">
        <f>IF(FT!B653&lt;&gt;"",FT!B653*100,"")</f>
        <v/>
      </c>
      <c r="H653" s="60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0" t="str">
        <f>IF(FT!A654&lt;&gt;"",FT!A654*10,"")</f>
        <v/>
      </c>
      <c r="G654" s="60" t="str">
        <f>IF(FT!B654&lt;&gt;"",FT!B654*100,"")</f>
        <v/>
      </c>
      <c r="H654" s="60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0" t="str">
        <f>IF(FT!A655&lt;&gt;"",FT!A655*10,"")</f>
        <v/>
      </c>
      <c r="G655" s="60" t="str">
        <f>IF(FT!B655&lt;&gt;"",FT!B655*100,"")</f>
        <v/>
      </c>
      <c r="H655" s="60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0" t="str">
        <f>IF(FT!A656&lt;&gt;"",FT!A656*10,"")</f>
        <v/>
      </c>
      <c r="G656" s="60" t="str">
        <f>IF(FT!B656&lt;&gt;"",FT!B656*100,"")</f>
        <v/>
      </c>
      <c r="H656" s="60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0" t="str">
        <f>IF(FT!A657&lt;&gt;"",FT!A657*10,"")</f>
        <v/>
      </c>
      <c r="G657" s="60" t="str">
        <f>IF(FT!B657&lt;&gt;"",FT!B657*100,"")</f>
        <v/>
      </c>
      <c r="H657" s="60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0" t="str">
        <f>IF(FT!A658&lt;&gt;"",FT!A658*10,"")</f>
        <v/>
      </c>
      <c r="G658" s="60" t="str">
        <f>IF(FT!B658&lt;&gt;"",FT!B658*100,"")</f>
        <v/>
      </c>
      <c r="H658" s="60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0" t="str">
        <f>IF(FT!A659&lt;&gt;"",FT!A659*10,"")</f>
        <v/>
      </c>
      <c r="G659" s="60" t="str">
        <f>IF(FT!B659&lt;&gt;"",FT!B659*100,"")</f>
        <v/>
      </c>
      <c r="H659" s="60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0" t="str">
        <f>IF(FT!A660&lt;&gt;"",FT!A660*10,"")</f>
        <v/>
      </c>
      <c r="G660" s="60" t="str">
        <f>IF(FT!B660&lt;&gt;"",FT!B660*100,"")</f>
        <v/>
      </c>
      <c r="H660" s="60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0" t="str">
        <f>IF(FT!A661&lt;&gt;"",FT!A661*10,"")</f>
        <v/>
      </c>
      <c r="G661" s="60" t="str">
        <f>IF(FT!B661&lt;&gt;"",FT!B661*100,"")</f>
        <v/>
      </c>
      <c r="H661" s="60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0" t="str">
        <f>IF(FT!A662&lt;&gt;"",FT!A662*10,"")</f>
        <v/>
      </c>
      <c r="G662" s="60" t="str">
        <f>IF(FT!B662&lt;&gt;"",FT!B662*100,"")</f>
        <v/>
      </c>
      <c r="H662" s="60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0" t="str">
        <f>IF(FT!A663&lt;&gt;"",FT!A663*10,"")</f>
        <v/>
      </c>
      <c r="G663" s="60" t="str">
        <f>IF(FT!B663&lt;&gt;"",FT!B663*100,"")</f>
        <v/>
      </c>
      <c r="H663" s="60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0" t="str">
        <f>IF(FT!A664&lt;&gt;"",FT!A664*10,"")</f>
        <v/>
      </c>
      <c r="G664" s="60" t="str">
        <f>IF(FT!B664&lt;&gt;"",FT!B664*100,"")</f>
        <v/>
      </c>
      <c r="H664" s="60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0" t="str">
        <f>IF(FT!A665&lt;&gt;"",FT!A665*10,"")</f>
        <v/>
      </c>
      <c r="G665" s="60" t="str">
        <f>IF(FT!B665&lt;&gt;"",FT!B665*100,"")</f>
        <v/>
      </c>
      <c r="H665" s="60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0" t="str">
        <f>IF(FT!A666&lt;&gt;"",FT!A666*10,"")</f>
        <v/>
      </c>
      <c r="G666" s="60" t="str">
        <f>IF(FT!B666&lt;&gt;"",FT!B666*100,"")</f>
        <v/>
      </c>
      <c r="H666" s="60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0" t="str">
        <f>IF(FT!A667&lt;&gt;"",FT!A667*10,"")</f>
        <v/>
      </c>
      <c r="G667" s="60" t="str">
        <f>IF(FT!B667&lt;&gt;"",FT!B667*100,"")</f>
        <v/>
      </c>
      <c r="H667" s="60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0" t="str">
        <f>IF(FT!A668&lt;&gt;"",FT!A668*10,"")</f>
        <v/>
      </c>
      <c r="G668" s="60" t="str">
        <f>IF(FT!B668&lt;&gt;"",FT!B668*100,"")</f>
        <v/>
      </c>
      <c r="H668" s="60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0" t="str">
        <f>IF(FT!A669&lt;&gt;"",FT!A669*10,"")</f>
        <v/>
      </c>
      <c r="G669" s="60" t="str">
        <f>IF(FT!B669&lt;&gt;"",FT!B669*100,"")</f>
        <v/>
      </c>
      <c r="H669" s="60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0" t="str">
        <f>IF(FT!A670&lt;&gt;"",FT!A670*10,"")</f>
        <v/>
      </c>
      <c r="G670" s="60" t="str">
        <f>IF(FT!B670&lt;&gt;"",FT!B670*100,"")</f>
        <v/>
      </c>
      <c r="H670" s="60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0" t="str">
        <f>IF(FT!A671&lt;&gt;"",FT!A671*10,"")</f>
        <v/>
      </c>
      <c r="G671" s="60" t="str">
        <f>IF(FT!B671&lt;&gt;"",FT!B671*100,"")</f>
        <v/>
      </c>
      <c r="H671" s="60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0" t="str">
        <f>IF(FT!A672&lt;&gt;"",FT!A672*10,"")</f>
        <v/>
      </c>
      <c r="G672" s="60" t="str">
        <f>IF(FT!B672&lt;&gt;"",FT!B672*100,"")</f>
        <v/>
      </c>
      <c r="H672" s="60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0" t="str">
        <f>IF(FT!A673&lt;&gt;"",FT!A673*10,"")</f>
        <v/>
      </c>
      <c r="G673" s="60" t="str">
        <f>IF(FT!B673&lt;&gt;"",FT!B673*100,"")</f>
        <v/>
      </c>
      <c r="H673" s="60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0" t="str">
        <f>IF(FT!A674&lt;&gt;"",FT!A674*10,"")</f>
        <v/>
      </c>
      <c r="G674" s="60" t="str">
        <f>IF(FT!B674&lt;&gt;"",FT!B674*100,"")</f>
        <v/>
      </c>
      <c r="H674" s="60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0" t="str">
        <f>IF(FT!A675&lt;&gt;"",FT!A675*10,"")</f>
        <v/>
      </c>
      <c r="G675" s="60" t="str">
        <f>IF(FT!B675&lt;&gt;"",FT!B675*100,"")</f>
        <v/>
      </c>
      <c r="H675" s="60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0" t="str">
        <f>IF(FT!A676&lt;&gt;"",FT!A676*10,"")</f>
        <v/>
      </c>
      <c r="G676" s="60" t="str">
        <f>IF(FT!B676&lt;&gt;"",FT!B676*100,"")</f>
        <v/>
      </c>
      <c r="H676" s="60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0" t="str">
        <f>IF(FT!A677&lt;&gt;"",FT!A677*10,"")</f>
        <v/>
      </c>
      <c r="G677" s="60" t="str">
        <f>IF(FT!B677&lt;&gt;"",FT!B677*100,"")</f>
        <v/>
      </c>
      <c r="H677" s="60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0" t="str">
        <f>IF(FT!A678&lt;&gt;"",FT!A678*10,"")</f>
        <v/>
      </c>
      <c r="G678" s="60" t="str">
        <f>IF(FT!B678&lt;&gt;"",FT!B678*100,"")</f>
        <v/>
      </c>
      <c r="H678" s="60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0" t="str">
        <f>IF(FT!A679&lt;&gt;"",FT!A679*10,"")</f>
        <v/>
      </c>
      <c r="G679" s="60" t="str">
        <f>IF(FT!B679&lt;&gt;"",FT!B679*100,"")</f>
        <v/>
      </c>
      <c r="H679" s="60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0" t="str">
        <f>IF(FT!A680&lt;&gt;"",FT!A680*10,"")</f>
        <v/>
      </c>
      <c r="G680" s="60" t="str">
        <f>IF(FT!B680&lt;&gt;"",FT!B680*100,"")</f>
        <v/>
      </c>
      <c r="H680" s="60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0" t="str">
        <f>IF(FT!A681&lt;&gt;"",FT!A681*10,"")</f>
        <v/>
      </c>
      <c r="G681" s="60" t="str">
        <f>IF(FT!B681&lt;&gt;"",FT!B681*100,"")</f>
        <v/>
      </c>
      <c r="H681" s="60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0" t="str">
        <f>IF(FT!A682&lt;&gt;"",FT!A682*10,"")</f>
        <v/>
      </c>
      <c r="G682" s="60" t="str">
        <f>IF(FT!B682&lt;&gt;"",FT!B682*100,"")</f>
        <v/>
      </c>
      <c r="H682" s="60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0" t="str">
        <f>IF(FT!A683&lt;&gt;"",FT!A683*10,"")</f>
        <v/>
      </c>
      <c r="G683" s="60" t="str">
        <f>IF(FT!B683&lt;&gt;"",FT!B683*100,"")</f>
        <v/>
      </c>
      <c r="H683" s="60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0" t="str">
        <f>IF(FT!A684&lt;&gt;"",FT!A684*10,"")</f>
        <v/>
      </c>
      <c r="G684" s="60" t="str">
        <f>IF(FT!B684&lt;&gt;"",FT!B684*100,"")</f>
        <v/>
      </c>
      <c r="H684" s="60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0" t="str">
        <f>IF(FT!A685&lt;&gt;"",FT!A685*10,"")</f>
        <v/>
      </c>
      <c r="G685" s="60" t="str">
        <f>IF(FT!B685&lt;&gt;"",FT!B685*100,"")</f>
        <v/>
      </c>
      <c r="H685" s="60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0" t="str">
        <f>IF(FT!A686&lt;&gt;"",FT!A686*10,"")</f>
        <v/>
      </c>
      <c r="G686" s="60" t="str">
        <f>IF(FT!B686&lt;&gt;"",FT!B686*100,"")</f>
        <v/>
      </c>
      <c r="H686" s="60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0" t="str">
        <f>IF(FT!A687&lt;&gt;"",FT!A687*10,"")</f>
        <v/>
      </c>
      <c r="G687" s="60" t="str">
        <f>IF(FT!B687&lt;&gt;"",FT!B687*100,"")</f>
        <v/>
      </c>
      <c r="H687" s="60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0" t="str">
        <f>IF(FT!A688&lt;&gt;"",FT!A688*10,"")</f>
        <v/>
      </c>
      <c r="G688" s="60" t="str">
        <f>IF(FT!B688&lt;&gt;"",FT!B688*100,"")</f>
        <v/>
      </c>
      <c r="H688" s="60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0" t="str">
        <f>IF(FT!A689&lt;&gt;"",FT!A689*10,"")</f>
        <v/>
      </c>
      <c r="G689" s="60" t="str">
        <f>IF(FT!B689&lt;&gt;"",FT!B689*100,"")</f>
        <v/>
      </c>
      <c r="H689" s="60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0" t="str">
        <f>IF(FT!A690&lt;&gt;"",FT!A690*10,"")</f>
        <v/>
      </c>
      <c r="G690" s="60" t="str">
        <f>IF(FT!B690&lt;&gt;"",FT!B690*100,"")</f>
        <v/>
      </c>
      <c r="H690" s="60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0" t="str">
        <f>IF(FT!A691&lt;&gt;"",FT!A691*10,"")</f>
        <v/>
      </c>
      <c r="G691" s="60" t="str">
        <f>IF(FT!B691&lt;&gt;"",FT!B691*100,"")</f>
        <v/>
      </c>
      <c r="H691" s="60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0" t="str">
        <f>IF(FT!A692&lt;&gt;"",FT!A692*10,"")</f>
        <v/>
      </c>
      <c r="G692" s="60" t="str">
        <f>IF(FT!B692&lt;&gt;"",FT!B692*100,"")</f>
        <v/>
      </c>
      <c r="H692" s="60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0" t="str">
        <f>IF(FT!A693&lt;&gt;"",FT!A693*10,"")</f>
        <v/>
      </c>
      <c r="G693" s="60" t="str">
        <f>IF(FT!B693&lt;&gt;"",FT!B693*100,"")</f>
        <v/>
      </c>
      <c r="H693" s="60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0" t="str">
        <f>IF(FT!A694&lt;&gt;"",FT!A694*10,"")</f>
        <v/>
      </c>
      <c r="G694" s="60" t="str">
        <f>IF(FT!B694&lt;&gt;"",FT!B694*100,"")</f>
        <v/>
      </c>
      <c r="H694" s="60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0" t="str">
        <f>IF(FT!A695&lt;&gt;"",FT!A695*10,"")</f>
        <v/>
      </c>
      <c r="G695" s="60" t="str">
        <f>IF(FT!B695&lt;&gt;"",FT!B695*100,"")</f>
        <v/>
      </c>
      <c r="H695" s="60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0" t="str">
        <f>IF(FT!A696&lt;&gt;"",FT!A696*10,"")</f>
        <v/>
      </c>
      <c r="G696" s="60" t="str">
        <f>IF(FT!B696&lt;&gt;"",FT!B696*100,"")</f>
        <v/>
      </c>
      <c r="H696" s="60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0" t="str">
        <f>IF(FT!A697&lt;&gt;"",FT!A697*10,"")</f>
        <v/>
      </c>
      <c r="G697" s="60" t="str">
        <f>IF(FT!B697&lt;&gt;"",FT!B697*100,"")</f>
        <v/>
      </c>
      <c r="H697" s="60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0" t="str">
        <f>IF(FT!A698&lt;&gt;"",FT!A698*10,"")</f>
        <v/>
      </c>
      <c r="G698" s="60" t="str">
        <f>IF(FT!B698&lt;&gt;"",FT!B698*100,"")</f>
        <v/>
      </c>
      <c r="H698" s="60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0" t="str">
        <f>IF(FT!A699&lt;&gt;"",FT!A699*10,"")</f>
        <v/>
      </c>
      <c r="G699" s="60" t="str">
        <f>IF(FT!B699&lt;&gt;"",FT!B699*100,"")</f>
        <v/>
      </c>
      <c r="H699" s="60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0" t="str">
        <f>IF(FT!A700&lt;&gt;"",FT!A700*10,"")</f>
        <v/>
      </c>
      <c r="G700" s="60" t="str">
        <f>IF(FT!B700&lt;&gt;"",FT!B700*100,"")</f>
        <v/>
      </c>
      <c r="H700" s="60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0" t="str">
        <f>IF(FT!A701&lt;&gt;"",FT!A701*10,"")</f>
        <v/>
      </c>
      <c r="G701" s="60" t="str">
        <f>IF(FT!B701&lt;&gt;"",FT!B701*100,"")</f>
        <v/>
      </c>
      <c r="H701" s="60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0" t="str">
        <f>IF(FT!A702&lt;&gt;"",FT!A702*10,"")</f>
        <v/>
      </c>
      <c r="G702" s="60" t="str">
        <f>IF(FT!B702&lt;&gt;"",FT!B702*100,"")</f>
        <v/>
      </c>
      <c r="H702" s="60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0" t="str">
        <f>IF(FT!A703&lt;&gt;"",FT!A703*10,"")</f>
        <v/>
      </c>
      <c r="G703" s="60" t="str">
        <f>IF(FT!B703&lt;&gt;"",FT!B703*100,"")</f>
        <v/>
      </c>
      <c r="H703" s="60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0" t="str">
        <f>IF(FT!A704&lt;&gt;"",FT!A704*10,"")</f>
        <v/>
      </c>
      <c r="G704" s="60" t="str">
        <f>IF(FT!B704&lt;&gt;"",FT!B704*100,"")</f>
        <v/>
      </c>
      <c r="H704" s="60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0" t="str">
        <f>IF(FT!A705&lt;&gt;"",FT!A705*10,"")</f>
        <v/>
      </c>
      <c r="G705" s="60" t="str">
        <f>IF(FT!B705&lt;&gt;"",FT!B705*100,"")</f>
        <v/>
      </c>
      <c r="H705" s="60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0" t="str">
        <f>IF(FT!A706&lt;&gt;"",FT!A706*10,"")</f>
        <v/>
      </c>
      <c r="G706" s="60" t="str">
        <f>IF(FT!B706&lt;&gt;"",FT!B706*100,"")</f>
        <v/>
      </c>
      <c r="H706" s="60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0" t="str">
        <f>IF(FT!A707&lt;&gt;"",FT!A707*10,"")</f>
        <v/>
      </c>
      <c r="G707" s="60" t="str">
        <f>IF(FT!B707&lt;&gt;"",FT!B707*100,"")</f>
        <v/>
      </c>
      <c r="H707" s="60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0" t="str">
        <f>IF(FT!A708&lt;&gt;"",FT!A708*10,"")</f>
        <v/>
      </c>
      <c r="G708" s="60" t="str">
        <f>IF(FT!B708&lt;&gt;"",FT!B708*100,"")</f>
        <v/>
      </c>
      <c r="H708" s="60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0" t="str">
        <f>IF(FT!A709&lt;&gt;"",FT!A709*10,"")</f>
        <v/>
      </c>
      <c r="G709" s="60" t="str">
        <f>IF(FT!B709&lt;&gt;"",FT!B709*100,"")</f>
        <v/>
      </c>
      <c r="H709" s="60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0" t="str">
        <f>IF(FT!A710&lt;&gt;"",FT!A710*10,"")</f>
        <v/>
      </c>
      <c r="G710" s="60" t="str">
        <f>IF(FT!B710&lt;&gt;"",FT!B710*100,"")</f>
        <v/>
      </c>
      <c r="H710" s="60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0" t="str">
        <f>IF(FT!A711&lt;&gt;"",FT!A711*10,"")</f>
        <v/>
      </c>
      <c r="G711" s="60" t="str">
        <f>IF(FT!B711&lt;&gt;"",FT!B711*100,"")</f>
        <v/>
      </c>
      <c r="H711" s="60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0" t="str">
        <f>IF(FT!A712&lt;&gt;"",FT!A712*10,"")</f>
        <v/>
      </c>
      <c r="G712" s="60" t="str">
        <f>IF(FT!B712&lt;&gt;"",FT!B712*100,"")</f>
        <v/>
      </c>
      <c r="H712" s="60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0" t="str">
        <f>IF(FT!A713&lt;&gt;"",FT!A713*10,"")</f>
        <v/>
      </c>
      <c r="G713" s="60" t="str">
        <f>IF(FT!B713&lt;&gt;"",FT!B713*100,"")</f>
        <v/>
      </c>
      <c r="H713" s="60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0" t="str">
        <f>IF(FT!A714&lt;&gt;"",FT!A714*10,"")</f>
        <v/>
      </c>
      <c r="G714" s="60" t="str">
        <f>IF(FT!B714&lt;&gt;"",FT!B714*100,"")</f>
        <v/>
      </c>
      <c r="H714" s="60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0" t="str">
        <f>IF(FT!A715&lt;&gt;"",FT!A715*10,"")</f>
        <v/>
      </c>
      <c r="G715" s="60" t="str">
        <f>IF(FT!B715&lt;&gt;"",FT!B715*100,"")</f>
        <v/>
      </c>
      <c r="H715" s="60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0" t="str">
        <f>IF(FT!A716&lt;&gt;"",FT!A716*10,"")</f>
        <v/>
      </c>
      <c r="G716" s="60" t="str">
        <f>IF(FT!B716&lt;&gt;"",FT!B716*100,"")</f>
        <v/>
      </c>
      <c r="H716" s="60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0" t="str">
        <f>IF(FT!A717&lt;&gt;"",FT!A717*10,"")</f>
        <v/>
      </c>
      <c r="G717" s="60" t="str">
        <f>IF(FT!B717&lt;&gt;"",FT!B717*100,"")</f>
        <v/>
      </c>
      <c r="H717" s="60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0" t="str">
        <f>IF(FT!A718&lt;&gt;"",FT!A718*10,"")</f>
        <v/>
      </c>
      <c r="G718" s="60" t="str">
        <f>IF(FT!B718&lt;&gt;"",FT!B718*100,"")</f>
        <v/>
      </c>
      <c r="H718" s="60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0" t="str">
        <f>IF(FT!A719&lt;&gt;"",FT!A719*10,"")</f>
        <v/>
      </c>
      <c r="G719" s="60" t="str">
        <f>IF(FT!B719&lt;&gt;"",FT!B719*100,"")</f>
        <v/>
      </c>
      <c r="H719" s="60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0" t="str">
        <f>IF(FT!A720&lt;&gt;"",FT!A720*10,"")</f>
        <v/>
      </c>
      <c r="G720" s="60" t="str">
        <f>IF(FT!B720&lt;&gt;"",FT!B720*100,"")</f>
        <v/>
      </c>
      <c r="H720" s="60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0" t="str">
        <f>IF(FT!A721&lt;&gt;"",FT!A721*10,"")</f>
        <v/>
      </c>
      <c r="G721" s="60" t="str">
        <f>IF(FT!B721&lt;&gt;"",FT!B721*100,"")</f>
        <v/>
      </c>
      <c r="H721" s="60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0" t="str">
        <f>IF(FT!A722&lt;&gt;"",FT!A722*10,"")</f>
        <v/>
      </c>
      <c r="G722" s="60" t="str">
        <f>IF(FT!B722&lt;&gt;"",FT!B722*100,"")</f>
        <v/>
      </c>
      <c r="H722" s="60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0" t="str">
        <f>IF(FT!A723&lt;&gt;"",FT!A723*10,"")</f>
        <v/>
      </c>
      <c r="G723" s="60" t="str">
        <f>IF(FT!B723&lt;&gt;"",FT!B723*100,"")</f>
        <v/>
      </c>
      <c r="H723" s="60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0" t="str">
        <f>IF(FT!A724&lt;&gt;"",FT!A724*10,"")</f>
        <v/>
      </c>
      <c r="G724" s="60" t="str">
        <f>IF(FT!B724&lt;&gt;"",FT!B724*100,"")</f>
        <v/>
      </c>
      <c r="H724" s="60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0" t="str">
        <f>IF(FT!A725&lt;&gt;"",FT!A725*10,"")</f>
        <v/>
      </c>
      <c r="G725" s="60" t="str">
        <f>IF(FT!B725&lt;&gt;"",FT!B725*100,"")</f>
        <v/>
      </c>
      <c r="H725" s="60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0" t="str">
        <f>IF(FT!A726&lt;&gt;"",FT!A726*10,"")</f>
        <v/>
      </c>
      <c r="G726" s="60" t="str">
        <f>IF(FT!B726&lt;&gt;"",FT!B726*100,"")</f>
        <v/>
      </c>
      <c r="H726" s="60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0" t="str">
        <f>IF(FT!A727&lt;&gt;"",FT!A727*10,"")</f>
        <v/>
      </c>
      <c r="G727" s="60" t="str">
        <f>IF(FT!B727&lt;&gt;"",FT!B727*100,"")</f>
        <v/>
      </c>
      <c r="H727" s="60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0" t="str">
        <f>IF(FT!A728&lt;&gt;"",FT!A728*10,"")</f>
        <v/>
      </c>
      <c r="G728" s="60" t="str">
        <f>IF(FT!B728&lt;&gt;"",FT!B728*100,"")</f>
        <v/>
      </c>
      <c r="H728" s="60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0" t="str">
        <f>IF(FT!A729&lt;&gt;"",FT!A729*10,"")</f>
        <v/>
      </c>
      <c r="G729" s="60" t="str">
        <f>IF(FT!B729&lt;&gt;"",FT!B729*100,"")</f>
        <v/>
      </c>
      <c r="H729" s="60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0" t="str">
        <f>IF(FT!A730&lt;&gt;"",FT!A730*10,"")</f>
        <v/>
      </c>
      <c r="G730" s="60" t="str">
        <f>IF(FT!B730&lt;&gt;"",FT!B730*100,"")</f>
        <v/>
      </c>
      <c r="H730" s="60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0" t="str">
        <f>IF(FT!A731&lt;&gt;"",FT!A731*10,"")</f>
        <v/>
      </c>
      <c r="G731" s="60" t="str">
        <f>IF(FT!B731&lt;&gt;"",FT!B731*100,"")</f>
        <v/>
      </c>
      <c r="H731" s="60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0" t="str">
        <f>IF(FT!A732&lt;&gt;"",FT!A732*10,"")</f>
        <v/>
      </c>
      <c r="G732" s="60" t="str">
        <f>IF(FT!B732&lt;&gt;"",FT!B732*100,"")</f>
        <v/>
      </c>
      <c r="H732" s="60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0" t="str">
        <f>IF(FT!A733&lt;&gt;"",FT!A733*10,"")</f>
        <v/>
      </c>
      <c r="G733" s="60" t="str">
        <f>IF(FT!B733&lt;&gt;"",FT!B733*100,"")</f>
        <v/>
      </c>
      <c r="H733" s="60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0" t="str">
        <f>IF(FT!A734&lt;&gt;"",FT!A734*10,"")</f>
        <v/>
      </c>
      <c r="G734" s="60" t="str">
        <f>IF(FT!B734&lt;&gt;"",FT!B734*100,"")</f>
        <v/>
      </c>
      <c r="H734" s="60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0" t="str">
        <f>IF(FT!A735&lt;&gt;"",FT!A735*10,"")</f>
        <v/>
      </c>
      <c r="G735" s="60" t="str">
        <f>IF(FT!B735&lt;&gt;"",FT!B735*100,"")</f>
        <v/>
      </c>
      <c r="H735" s="60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0" t="str">
        <f>IF(FT!A736&lt;&gt;"",FT!A736*10,"")</f>
        <v/>
      </c>
      <c r="G736" s="60" t="str">
        <f>IF(FT!B736&lt;&gt;"",FT!B736*100,"")</f>
        <v/>
      </c>
      <c r="H736" s="60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0" t="str">
        <f>IF(FT!A737&lt;&gt;"",FT!A737*10,"")</f>
        <v/>
      </c>
      <c r="G737" s="60" t="str">
        <f>IF(FT!B737&lt;&gt;"",FT!B737*100,"")</f>
        <v/>
      </c>
      <c r="H737" s="60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0" t="str">
        <f>IF(FT!A738&lt;&gt;"",FT!A738*10,"")</f>
        <v/>
      </c>
      <c r="G738" s="60" t="str">
        <f>IF(FT!B738&lt;&gt;"",FT!B738*100,"")</f>
        <v/>
      </c>
      <c r="H738" s="60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0" t="str">
        <f>IF(FT!A739&lt;&gt;"",FT!A739*10,"")</f>
        <v/>
      </c>
      <c r="G739" s="60" t="str">
        <f>IF(FT!B739&lt;&gt;"",FT!B739*100,"")</f>
        <v/>
      </c>
      <c r="H739" s="60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0" t="str">
        <f>IF(FT!A740&lt;&gt;"",FT!A740*10,"")</f>
        <v/>
      </c>
      <c r="G740" s="60" t="str">
        <f>IF(FT!B740&lt;&gt;"",FT!B740*100,"")</f>
        <v/>
      </c>
      <c r="H740" s="60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0" t="str">
        <f>IF(FT!A741&lt;&gt;"",FT!A741*10,"")</f>
        <v/>
      </c>
      <c r="G741" s="60" t="str">
        <f>IF(FT!B741&lt;&gt;"",FT!B741*100,"")</f>
        <v/>
      </c>
      <c r="H741" s="60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0" t="str">
        <f>IF(FT!A742&lt;&gt;"",FT!A742*10,"")</f>
        <v/>
      </c>
      <c r="G742" s="60" t="str">
        <f>IF(FT!B742&lt;&gt;"",FT!B742*100,"")</f>
        <v/>
      </c>
      <c r="H742" s="60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0" t="str">
        <f>IF(FT!A743&lt;&gt;"",FT!A743*10,"")</f>
        <v/>
      </c>
      <c r="G743" s="60" t="str">
        <f>IF(FT!B743&lt;&gt;"",FT!B743*100,"")</f>
        <v/>
      </c>
      <c r="H743" s="60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0" t="str">
        <f>IF(FT!A744&lt;&gt;"",FT!A744*10,"")</f>
        <v/>
      </c>
      <c r="G744" s="60" t="str">
        <f>IF(FT!B744&lt;&gt;"",FT!B744*100,"")</f>
        <v/>
      </c>
      <c r="H744" s="60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0" t="str">
        <f>IF(FT!A745&lt;&gt;"",FT!A745*10,"")</f>
        <v/>
      </c>
      <c r="G745" s="60" t="str">
        <f>IF(FT!B745&lt;&gt;"",FT!B745*100,"")</f>
        <v/>
      </c>
      <c r="H745" s="60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0" t="str">
        <f>IF(FT!A746&lt;&gt;"",FT!A746*10,"")</f>
        <v/>
      </c>
      <c r="G746" s="60" t="str">
        <f>IF(FT!B746&lt;&gt;"",FT!B746*100,"")</f>
        <v/>
      </c>
      <c r="H746" s="60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0" t="str">
        <f>IF(FT!A747&lt;&gt;"",FT!A747*10,"")</f>
        <v/>
      </c>
      <c r="G747" s="60" t="str">
        <f>IF(FT!B747&lt;&gt;"",FT!B747*100,"")</f>
        <v/>
      </c>
      <c r="H747" s="60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0" t="str">
        <f>IF(FT!A748&lt;&gt;"",FT!A748*10,"")</f>
        <v/>
      </c>
      <c r="G748" s="60" t="str">
        <f>IF(FT!B748&lt;&gt;"",FT!B748*100,"")</f>
        <v/>
      </c>
      <c r="H748" s="60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0" t="str">
        <f>IF(FT!A749&lt;&gt;"",FT!A749*10,"")</f>
        <v/>
      </c>
      <c r="G749" s="60" t="str">
        <f>IF(FT!B749&lt;&gt;"",FT!B749*100,"")</f>
        <v/>
      </c>
      <c r="H749" s="60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0" t="str">
        <f>IF(FT!A750&lt;&gt;"",FT!A750*10,"")</f>
        <v/>
      </c>
      <c r="G750" s="60" t="str">
        <f>IF(FT!B750&lt;&gt;"",FT!B750*100,"")</f>
        <v/>
      </c>
      <c r="H750" s="60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0" t="str">
        <f>IF(FT!A751&lt;&gt;"",FT!A751*10,"")</f>
        <v/>
      </c>
      <c r="G751" s="60" t="str">
        <f>IF(FT!B751&lt;&gt;"",FT!B751*100,"")</f>
        <v/>
      </c>
      <c r="H751" s="60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0" t="str">
        <f>IF(FT!A752&lt;&gt;"",FT!A752*10,"")</f>
        <v/>
      </c>
      <c r="G752" s="60" t="str">
        <f>IF(FT!B752&lt;&gt;"",FT!B752*100,"")</f>
        <v/>
      </c>
      <c r="H752" s="60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0" t="str">
        <f>IF(FT!A753&lt;&gt;"",FT!A753*10,"")</f>
        <v/>
      </c>
      <c r="G753" s="60" t="str">
        <f>IF(FT!B753&lt;&gt;"",FT!B753*100,"")</f>
        <v/>
      </c>
      <c r="H753" s="60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0" t="str">
        <f>IF(FT!A754&lt;&gt;"",FT!A754*10,"")</f>
        <v/>
      </c>
      <c r="G754" s="60" t="str">
        <f>IF(FT!B754&lt;&gt;"",FT!B754*100,"")</f>
        <v/>
      </c>
      <c r="H754" s="60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0" t="str">
        <f>IF(FT!A755&lt;&gt;"",FT!A755*10,"")</f>
        <v/>
      </c>
      <c r="G755" s="60" t="str">
        <f>IF(FT!B755&lt;&gt;"",FT!B755*100,"")</f>
        <v/>
      </c>
      <c r="H755" s="60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0" t="str">
        <f>IF(FT!A756&lt;&gt;"",FT!A756*10,"")</f>
        <v/>
      </c>
      <c r="G756" s="60" t="str">
        <f>IF(FT!B756&lt;&gt;"",FT!B756*100,"")</f>
        <v/>
      </c>
      <c r="H756" s="60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0" t="str">
        <f>IF(FT!A757&lt;&gt;"",FT!A757*10,"")</f>
        <v/>
      </c>
      <c r="G757" s="60" t="str">
        <f>IF(FT!B757&lt;&gt;"",FT!B757*100,"")</f>
        <v/>
      </c>
      <c r="H757" s="60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0" t="str">
        <f>IF(FT!A758&lt;&gt;"",FT!A758*10,"")</f>
        <v/>
      </c>
      <c r="G758" s="60" t="str">
        <f>IF(FT!B758&lt;&gt;"",FT!B758*100,"")</f>
        <v/>
      </c>
      <c r="H758" s="60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0" t="str">
        <f>IF(FT!A759&lt;&gt;"",FT!A759*10,"")</f>
        <v/>
      </c>
      <c r="G759" s="60" t="str">
        <f>IF(FT!B759&lt;&gt;"",FT!B759*100,"")</f>
        <v/>
      </c>
      <c r="H759" s="60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0" t="str">
        <f>IF(FT!A760&lt;&gt;"",FT!A760*10,"")</f>
        <v/>
      </c>
      <c r="G760" s="60" t="str">
        <f>IF(FT!B760&lt;&gt;"",FT!B760*100,"")</f>
        <v/>
      </c>
      <c r="H760" s="60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0" t="str">
        <f>IF(FT!A761&lt;&gt;"",FT!A761*10,"")</f>
        <v/>
      </c>
      <c r="G761" s="60" t="str">
        <f>IF(FT!B761&lt;&gt;"",FT!B761*100,"")</f>
        <v/>
      </c>
      <c r="H761" s="60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0" t="str">
        <f>IF(FT!A762&lt;&gt;"",FT!A762*10,"")</f>
        <v/>
      </c>
      <c r="G762" s="60" t="str">
        <f>IF(FT!B762&lt;&gt;"",FT!B762*100,"")</f>
        <v/>
      </c>
      <c r="H762" s="60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0" t="str">
        <f>IF(FT!A763&lt;&gt;"",FT!A763*10,"")</f>
        <v/>
      </c>
      <c r="G763" s="60" t="str">
        <f>IF(FT!B763&lt;&gt;"",FT!B763*100,"")</f>
        <v/>
      </c>
      <c r="H763" s="60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0" t="str">
        <f>IF(FT!A764&lt;&gt;"",FT!A764*10,"")</f>
        <v/>
      </c>
      <c r="G764" s="60" t="str">
        <f>IF(FT!B764&lt;&gt;"",FT!B764*100,"")</f>
        <v/>
      </c>
      <c r="H764" s="60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0" t="str">
        <f>IF(FT!A765&lt;&gt;"",FT!A765*10,"")</f>
        <v/>
      </c>
      <c r="G765" s="60" t="str">
        <f>IF(FT!B765&lt;&gt;"",FT!B765*100,"")</f>
        <v/>
      </c>
      <c r="H765" s="60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0" t="str">
        <f>IF(FT!A766&lt;&gt;"",FT!A766*10,"")</f>
        <v/>
      </c>
      <c r="G766" s="60" t="str">
        <f>IF(FT!B766&lt;&gt;"",FT!B766*100,"")</f>
        <v/>
      </c>
      <c r="H766" s="60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0" t="str">
        <f>IF(FT!A767&lt;&gt;"",FT!A767*10,"")</f>
        <v/>
      </c>
      <c r="G767" s="60" t="str">
        <f>IF(FT!B767&lt;&gt;"",FT!B767*100,"")</f>
        <v/>
      </c>
      <c r="H767" s="60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0" t="str">
        <f>IF(FT!A768&lt;&gt;"",FT!A768*10,"")</f>
        <v/>
      </c>
      <c r="G768" s="60" t="str">
        <f>IF(FT!B768&lt;&gt;"",FT!B768*100,"")</f>
        <v/>
      </c>
      <c r="H768" s="60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0" t="str">
        <f>IF(FT!A769&lt;&gt;"",FT!A769*10,"")</f>
        <v/>
      </c>
      <c r="G769" s="60" t="str">
        <f>IF(FT!B769&lt;&gt;"",FT!B769*100,"")</f>
        <v/>
      </c>
      <c r="H769" s="60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0" t="str">
        <f>IF(FT!A770&lt;&gt;"",FT!A770*10,"")</f>
        <v/>
      </c>
      <c r="G770" s="60" t="str">
        <f>IF(FT!B770&lt;&gt;"",FT!B770*100,"")</f>
        <v/>
      </c>
      <c r="H770" s="60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0" t="str">
        <f>IF(FT!A771&lt;&gt;"",FT!A771*10,"")</f>
        <v/>
      </c>
      <c r="G771" s="60" t="str">
        <f>IF(FT!B771&lt;&gt;"",FT!B771*100,"")</f>
        <v/>
      </c>
      <c r="H771" s="60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0" t="str">
        <f>IF(FT!A772&lt;&gt;"",FT!A772*10,"")</f>
        <v/>
      </c>
      <c r="G772" s="60" t="str">
        <f>IF(FT!B772&lt;&gt;"",FT!B772*100,"")</f>
        <v/>
      </c>
      <c r="H772" s="60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0" t="str">
        <f>IF(FT!A773&lt;&gt;"",FT!A773*10,"")</f>
        <v/>
      </c>
      <c r="G773" s="60" t="str">
        <f>IF(FT!B773&lt;&gt;"",FT!B773*100,"")</f>
        <v/>
      </c>
      <c r="H773" s="60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0" t="str">
        <f>IF(FT!A774&lt;&gt;"",FT!A774*10,"")</f>
        <v/>
      </c>
      <c r="G774" s="60" t="str">
        <f>IF(FT!B774&lt;&gt;"",FT!B774*100,"")</f>
        <v/>
      </c>
      <c r="H774" s="60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0" t="str">
        <f>IF(FT!A775&lt;&gt;"",FT!A775*10,"")</f>
        <v/>
      </c>
      <c r="G775" s="60" t="str">
        <f>IF(FT!B775&lt;&gt;"",FT!B775*100,"")</f>
        <v/>
      </c>
      <c r="H775" s="60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0" t="str">
        <f>IF(FT!A776&lt;&gt;"",FT!A776*10,"")</f>
        <v/>
      </c>
      <c r="G776" s="60" t="str">
        <f>IF(FT!B776&lt;&gt;"",FT!B776*100,"")</f>
        <v/>
      </c>
      <c r="H776" s="60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0" t="str">
        <f>IF(FT!A777&lt;&gt;"",FT!A777*10,"")</f>
        <v/>
      </c>
      <c r="G777" s="60" t="str">
        <f>IF(FT!B777&lt;&gt;"",FT!B777*100,"")</f>
        <v/>
      </c>
      <c r="H777" s="60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0" t="str">
        <f>IF(FT!A778&lt;&gt;"",FT!A778*10,"")</f>
        <v/>
      </c>
      <c r="G778" s="60" t="str">
        <f>IF(FT!B778&lt;&gt;"",FT!B778*100,"")</f>
        <v/>
      </c>
      <c r="H778" s="60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0" t="str">
        <f>IF(FT!A779&lt;&gt;"",FT!A779*10,"")</f>
        <v/>
      </c>
      <c r="G779" s="60" t="str">
        <f>IF(FT!B779&lt;&gt;"",FT!B779*100,"")</f>
        <v/>
      </c>
      <c r="H779" s="60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0" t="str">
        <f>IF(FT!A780&lt;&gt;"",FT!A780*10,"")</f>
        <v/>
      </c>
      <c r="G780" s="60" t="str">
        <f>IF(FT!B780&lt;&gt;"",FT!B780*100,"")</f>
        <v/>
      </c>
      <c r="H780" s="60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0" t="str">
        <f>IF(FT!A781&lt;&gt;"",FT!A781*10,"")</f>
        <v/>
      </c>
      <c r="G781" s="60" t="str">
        <f>IF(FT!B781&lt;&gt;"",FT!B781*100,"")</f>
        <v/>
      </c>
      <c r="H781" s="60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0" t="str">
        <f>IF(FT!A782&lt;&gt;"",FT!A782*10,"")</f>
        <v/>
      </c>
      <c r="G782" s="60" t="str">
        <f>IF(FT!B782&lt;&gt;"",FT!B782*100,"")</f>
        <v/>
      </c>
      <c r="H782" s="60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0" t="str">
        <f>IF(FT!A783&lt;&gt;"",FT!A783*10,"")</f>
        <v/>
      </c>
      <c r="G783" s="60" t="str">
        <f>IF(FT!B783&lt;&gt;"",FT!B783*100,"")</f>
        <v/>
      </c>
      <c r="H783" s="60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0" t="str">
        <f>IF(FT!A784&lt;&gt;"",FT!A784*10,"")</f>
        <v/>
      </c>
      <c r="G784" s="60" t="str">
        <f>IF(FT!B784&lt;&gt;"",FT!B784*100,"")</f>
        <v/>
      </c>
      <c r="H784" s="60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0" t="str">
        <f>IF(FT!A785&lt;&gt;"",FT!A785*10,"")</f>
        <v/>
      </c>
      <c r="G785" s="60" t="str">
        <f>IF(FT!B785&lt;&gt;"",FT!B785*100,"")</f>
        <v/>
      </c>
      <c r="H785" s="60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0" t="str">
        <f>IF(FT!A786&lt;&gt;"",FT!A786*10,"")</f>
        <v/>
      </c>
      <c r="G786" s="60" t="str">
        <f>IF(FT!B786&lt;&gt;"",FT!B786*100,"")</f>
        <v/>
      </c>
      <c r="H786" s="60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0" t="str">
        <f>IF(FT!A787&lt;&gt;"",FT!A787*10,"")</f>
        <v/>
      </c>
      <c r="G787" s="60" t="str">
        <f>IF(FT!B787&lt;&gt;"",FT!B787*100,"")</f>
        <v/>
      </c>
      <c r="H787" s="60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0" t="str">
        <f>IF(FT!A788&lt;&gt;"",FT!A788*10,"")</f>
        <v/>
      </c>
      <c r="G788" s="60" t="str">
        <f>IF(FT!B788&lt;&gt;"",FT!B788*100,"")</f>
        <v/>
      </c>
      <c r="H788" s="60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0" t="str">
        <f>IF(FT!A789&lt;&gt;"",FT!A789*10,"")</f>
        <v/>
      </c>
      <c r="G789" s="60" t="str">
        <f>IF(FT!B789&lt;&gt;"",FT!B789*100,"")</f>
        <v/>
      </c>
      <c r="H789" s="60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0" t="str">
        <f>IF(FT!A790&lt;&gt;"",FT!A790*10,"")</f>
        <v/>
      </c>
      <c r="G790" s="60" t="str">
        <f>IF(FT!B790&lt;&gt;"",FT!B790*100,"")</f>
        <v/>
      </c>
      <c r="H790" s="60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0" t="str">
        <f>IF(FT!A791&lt;&gt;"",FT!A791*10,"")</f>
        <v/>
      </c>
      <c r="G791" s="60" t="str">
        <f>IF(FT!B791&lt;&gt;"",FT!B791*100,"")</f>
        <v/>
      </c>
      <c r="H791" s="60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0" t="str">
        <f>IF(FT!A792&lt;&gt;"",FT!A792*10,"")</f>
        <v/>
      </c>
      <c r="G792" s="60" t="str">
        <f>IF(FT!B792&lt;&gt;"",FT!B792*100,"")</f>
        <v/>
      </c>
      <c r="H792" s="60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0" t="str">
        <f>IF(FT!A793&lt;&gt;"",FT!A793*10,"")</f>
        <v/>
      </c>
      <c r="G793" s="60" t="str">
        <f>IF(FT!B793&lt;&gt;"",FT!B793*100,"")</f>
        <v/>
      </c>
      <c r="H793" s="60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0" t="str">
        <f>IF(FT!A794&lt;&gt;"",FT!A794*10,"")</f>
        <v/>
      </c>
      <c r="G794" s="60" t="str">
        <f>IF(FT!B794&lt;&gt;"",FT!B794*100,"")</f>
        <v/>
      </c>
      <c r="H794" s="60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0" t="str">
        <f>IF(FT!A795&lt;&gt;"",FT!A795*10,"")</f>
        <v/>
      </c>
      <c r="G795" s="60" t="str">
        <f>IF(FT!B795&lt;&gt;"",FT!B795*100,"")</f>
        <v/>
      </c>
      <c r="H795" s="60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0" t="str">
        <f>IF(FT!A796&lt;&gt;"",FT!A796*10,"")</f>
        <v/>
      </c>
      <c r="G796" s="60" t="str">
        <f>IF(FT!B796&lt;&gt;"",FT!B796*100,"")</f>
        <v/>
      </c>
      <c r="H796" s="60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0" t="str">
        <f>IF(FT!A797&lt;&gt;"",FT!A797*10,"")</f>
        <v/>
      </c>
      <c r="G797" s="60" t="str">
        <f>IF(FT!B797&lt;&gt;"",FT!B797*100,"")</f>
        <v/>
      </c>
      <c r="H797" s="60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0" t="str">
        <f>IF(FT!A798&lt;&gt;"",FT!A798*10,"")</f>
        <v/>
      </c>
      <c r="G798" s="60" t="str">
        <f>IF(FT!B798&lt;&gt;"",FT!B798*100,"")</f>
        <v/>
      </c>
      <c r="H798" s="60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0" t="str">
        <f>IF(FT!A799&lt;&gt;"",FT!A799*10,"")</f>
        <v/>
      </c>
      <c r="G799" s="60" t="str">
        <f>IF(FT!B799&lt;&gt;"",FT!B799*100,"")</f>
        <v/>
      </c>
      <c r="H799" s="60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0" t="str">
        <f>IF(FT!A800&lt;&gt;"",FT!A800*10,"")</f>
        <v/>
      </c>
      <c r="G800" s="60" t="str">
        <f>IF(FT!B800&lt;&gt;"",FT!B800*100,"")</f>
        <v/>
      </c>
      <c r="H800" s="60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0" t="str">
        <f>IF(FT!A801&lt;&gt;"",FT!A801*10,"")</f>
        <v/>
      </c>
      <c r="G801" s="60" t="str">
        <f>IF(FT!B801&lt;&gt;"",FT!B801*100,"")</f>
        <v/>
      </c>
      <c r="H801" s="60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0" t="str">
        <f>IF(FT!A802&lt;&gt;"",FT!A802*10,"")</f>
        <v/>
      </c>
      <c r="G802" s="60" t="str">
        <f>IF(FT!B802&lt;&gt;"",FT!B802*100,"")</f>
        <v/>
      </c>
      <c r="H802" s="60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0" t="str">
        <f>IF(FT!A803&lt;&gt;"",FT!A803*10,"")</f>
        <v/>
      </c>
      <c r="G803" s="60" t="str">
        <f>IF(FT!B803&lt;&gt;"",FT!B803*100,"")</f>
        <v/>
      </c>
      <c r="H803" s="60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0" t="str">
        <f>IF(FT!A804&lt;&gt;"",FT!A804*10,"")</f>
        <v/>
      </c>
      <c r="G804" s="60" t="str">
        <f>IF(FT!B804&lt;&gt;"",FT!B804*100,"")</f>
        <v/>
      </c>
      <c r="H804" s="60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0" t="str">
        <f>IF(FT!A805&lt;&gt;"",FT!A805*10,"")</f>
        <v/>
      </c>
      <c r="G805" s="60" t="str">
        <f>IF(FT!B805&lt;&gt;"",FT!B805*100,"")</f>
        <v/>
      </c>
      <c r="H805" s="60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0" t="str">
        <f>IF(FT!A806&lt;&gt;"",FT!A806*10,"")</f>
        <v/>
      </c>
      <c r="G806" s="60" t="str">
        <f>IF(FT!B806&lt;&gt;"",FT!B806*100,"")</f>
        <v/>
      </c>
      <c r="H806" s="60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0" t="str">
        <f>IF(FT!A807&lt;&gt;"",FT!A807*10,"")</f>
        <v/>
      </c>
      <c r="G807" s="60" t="str">
        <f>IF(FT!B807&lt;&gt;"",FT!B807*100,"")</f>
        <v/>
      </c>
      <c r="H807" s="60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0" t="str">
        <f>IF(FT!A808&lt;&gt;"",FT!A808*10,"")</f>
        <v/>
      </c>
      <c r="G808" s="60" t="str">
        <f>IF(FT!B808&lt;&gt;"",FT!B808*100,"")</f>
        <v/>
      </c>
      <c r="H808" s="60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0" t="str">
        <f>IF(FT!A809&lt;&gt;"",FT!A809*10,"")</f>
        <v/>
      </c>
      <c r="G809" s="60" t="str">
        <f>IF(FT!B809&lt;&gt;"",FT!B809*100,"")</f>
        <v/>
      </c>
      <c r="H809" s="60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0" t="str">
        <f>IF(FT!A810&lt;&gt;"",FT!A810*10,"")</f>
        <v/>
      </c>
      <c r="G810" s="60" t="str">
        <f>IF(FT!B810&lt;&gt;"",FT!B810*100,"")</f>
        <v/>
      </c>
      <c r="H810" s="60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0" t="str">
        <f>IF(FT!A811&lt;&gt;"",FT!A811*10,"")</f>
        <v/>
      </c>
      <c r="G811" s="60" t="str">
        <f>IF(FT!B811&lt;&gt;"",FT!B811*100,"")</f>
        <v/>
      </c>
      <c r="H811" s="60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0" t="str">
        <f>IF(FT!A812&lt;&gt;"",FT!A812*10,"")</f>
        <v/>
      </c>
      <c r="G812" s="60" t="str">
        <f>IF(FT!B812&lt;&gt;"",FT!B812*100,"")</f>
        <v/>
      </c>
      <c r="H812" s="60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0" t="str">
        <f>IF(FT!A813&lt;&gt;"",FT!A813*10,"")</f>
        <v/>
      </c>
      <c r="G813" s="60" t="str">
        <f>IF(FT!B813&lt;&gt;"",FT!B813*100,"")</f>
        <v/>
      </c>
      <c r="H813" s="60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0" t="str">
        <f>IF(FT!A814&lt;&gt;"",FT!A814*10,"")</f>
        <v/>
      </c>
      <c r="G814" s="60" t="str">
        <f>IF(FT!B814&lt;&gt;"",FT!B814*100,"")</f>
        <v/>
      </c>
      <c r="H814" s="60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0" t="str">
        <f>IF(FT!A815&lt;&gt;"",FT!A815*10,"")</f>
        <v/>
      </c>
      <c r="G815" s="60" t="str">
        <f>IF(FT!B815&lt;&gt;"",FT!B815*100,"")</f>
        <v/>
      </c>
      <c r="H815" s="60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0" t="str">
        <f>IF(FT!A816&lt;&gt;"",FT!A816*10,"")</f>
        <v/>
      </c>
      <c r="G816" s="60" t="str">
        <f>IF(FT!B816&lt;&gt;"",FT!B816*100,"")</f>
        <v/>
      </c>
      <c r="H816" s="60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0" t="str">
        <f>IF(FT!A817&lt;&gt;"",FT!A817*10,"")</f>
        <v/>
      </c>
      <c r="G817" s="60" t="str">
        <f>IF(FT!B817&lt;&gt;"",FT!B817*100,"")</f>
        <v/>
      </c>
      <c r="H817" s="60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0" t="str">
        <f>IF(FT!A818&lt;&gt;"",FT!A818*10,"")</f>
        <v/>
      </c>
      <c r="G818" s="60" t="str">
        <f>IF(FT!B818&lt;&gt;"",FT!B818*100,"")</f>
        <v/>
      </c>
      <c r="H818" s="60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0" t="str">
        <f>IF(FT!A819&lt;&gt;"",FT!A819*10,"")</f>
        <v/>
      </c>
      <c r="G819" s="60" t="str">
        <f>IF(FT!B819&lt;&gt;"",FT!B819*100,"")</f>
        <v/>
      </c>
      <c r="H819" s="60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0" t="str">
        <f>IF(FT!A820&lt;&gt;"",FT!A820*10,"")</f>
        <v/>
      </c>
      <c r="G820" s="60" t="str">
        <f>IF(FT!B820&lt;&gt;"",FT!B820*100,"")</f>
        <v/>
      </c>
      <c r="H820" s="60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0" t="str">
        <f>IF(FT!A821&lt;&gt;"",FT!A821*10,"")</f>
        <v/>
      </c>
      <c r="G821" s="60" t="str">
        <f>IF(FT!B821&lt;&gt;"",FT!B821*100,"")</f>
        <v/>
      </c>
      <c r="H821" s="60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0" t="str">
        <f>IF(FT!A822&lt;&gt;"",FT!A822*10,"")</f>
        <v/>
      </c>
      <c r="G822" s="60" t="str">
        <f>IF(FT!B822&lt;&gt;"",FT!B822*100,"")</f>
        <v/>
      </c>
      <c r="H822" s="60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0" t="str">
        <f>IF(FT!A823&lt;&gt;"",FT!A823*10,"")</f>
        <v/>
      </c>
      <c r="G823" s="60" t="str">
        <f>IF(FT!B823&lt;&gt;"",FT!B823*100,"")</f>
        <v/>
      </c>
      <c r="H823" s="60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0" t="str">
        <f>IF(FT!A824&lt;&gt;"",FT!A824*10,"")</f>
        <v/>
      </c>
      <c r="G824" s="60" t="str">
        <f>IF(FT!B824&lt;&gt;"",FT!B824*100,"")</f>
        <v/>
      </c>
      <c r="H824" s="60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0" t="str">
        <f>IF(FT!A825&lt;&gt;"",FT!A825*10,"")</f>
        <v/>
      </c>
      <c r="G825" s="60" t="str">
        <f>IF(FT!B825&lt;&gt;"",FT!B825*100,"")</f>
        <v/>
      </c>
      <c r="H825" s="60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0" t="str">
        <f>IF(FT!A826&lt;&gt;"",FT!A826*10,"")</f>
        <v/>
      </c>
      <c r="G826" s="60" t="str">
        <f>IF(FT!B826&lt;&gt;"",FT!B826*100,"")</f>
        <v/>
      </c>
      <c r="H826" s="60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0" t="str">
        <f>IF(FT!A827&lt;&gt;"",FT!A827*10,"")</f>
        <v/>
      </c>
      <c r="G827" s="60" t="str">
        <f>IF(FT!B827&lt;&gt;"",FT!B827*100,"")</f>
        <v/>
      </c>
      <c r="H827" s="60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0" t="str">
        <f>IF(FT!A828&lt;&gt;"",FT!A828*10,"")</f>
        <v/>
      </c>
      <c r="G828" s="60" t="str">
        <f>IF(FT!B828&lt;&gt;"",FT!B828*100,"")</f>
        <v/>
      </c>
      <c r="H828" s="60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0" t="str">
        <f>IF(FT!A829&lt;&gt;"",FT!A829*10,"")</f>
        <v/>
      </c>
      <c r="G829" s="60" t="str">
        <f>IF(FT!B829&lt;&gt;"",FT!B829*100,"")</f>
        <v/>
      </c>
      <c r="H829" s="60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0" t="str">
        <f>IF(FT!A830&lt;&gt;"",FT!A830*10,"")</f>
        <v/>
      </c>
      <c r="G830" s="60" t="str">
        <f>IF(FT!B830&lt;&gt;"",FT!B830*100,"")</f>
        <v/>
      </c>
      <c r="H830" s="60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0" t="str">
        <f>IF(FT!A831&lt;&gt;"",FT!A831*10,"")</f>
        <v/>
      </c>
      <c r="G831" s="60" t="str">
        <f>IF(FT!B831&lt;&gt;"",FT!B831*100,"")</f>
        <v/>
      </c>
      <c r="H831" s="60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0" t="str">
        <f>IF(FT!A832&lt;&gt;"",FT!A832*10,"")</f>
        <v/>
      </c>
      <c r="G832" s="60" t="str">
        <f>IF(FT!B832&lt;&gt;"",FT!B832*100,"")</f>
        <v/>
      </c>
      <c r="H832" s="60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0" t="str">
        <f>IF(FT!A833&lt;&gt;"",FT!A833*10,"")</f>
        <v/>
      </c>
      <c r="G833" s="60" t="str">
        <f>IF(FT!B833&lt;&gt;"",FT!B833*100,"")</f>
        <v/>
      </c>
      <c r="H833" s="60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0" t="str">
        <f>IF(FT!A834&lt;&gt;"",FT!A834*10,"")</f>
        <v/>
      </c>
      <c r="G834" s="60" t="str">
        <f>IF(FT!B834&lt;&gt;"",FT!B834*100,"")</f>
        <v/>
      </c>
      <c r="H834" s="60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0" t="str">
        <f>IF(FT!A835&lt;&gt;"",FT!A835*10,"")</f>
        <v/>
      </c>
      <c r="G835" s="60" t="str">
        <f>IF(FT!B835&lt;&gt;"",FT!B835*100,"")</f>
        <v/>
      </c>
      <c r="H835" s="60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0" t="str">
        <f>IF(FT!A836&lt;&gt;"",FT!A836*10,"")</f>
        <v/>
      </c>
      <c r="G836" s="60" t="str">
        <f>IF(FT!B836&lt;&gt;"",FT!B836*100,"")</f>
        <v/>
      </c>
      <c r="H836" s="60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0" t="str">
        <f>IF(FT!A837&lt;&gt;"",FT!A837*10,"")</f>
        <v/>
      </c>
      <c r="G837" s="60" t="str">
        <f>IF(FT!B837&lt;&gt;"",FT!B837*100,"")</f>
        <v/>
      </c>
      <c r="H837" s="60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0" t="str">
        <f>IF(FT!A838&lt;&gt;"",FT!A838*10,"")</f>
        <v/>
      </c>
      <c r="G838" s="60" t="str">
        <f>IF(FT!B838&lt;&gt;"",FT!B838*100,"")</f>
        <v/>
      </c>
      <c r="H838" s="60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0" t="str">
        <f>IF(FT!A839&lt;&gt;"",FT!A839*10,"")</f>
        <v/>
      </c>
      <c r="G839" s="60" t="str">
        <f>IF(FT!B839&lt;&gt;"",FT!B839*100,"")</f>
        <v/>
      </c>
      <c r="H839" s="60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0" t="str">
        <f>IF(FT!A840&lt;&gt;"",FT!A840*10,"")</f>
        <v/>
      </c>
      <c r="G840" s="60" t="str">
        <f>IF(FT!B840&lt;&gt;"",FT!B840*100,"")</f>
        <v/>
      </c>
      <c r="H840" s="60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0" t="str">
        <f>IF(FT!A841&lt;&gt;"",FT!A841*10,"")</f>
        <v/>
      </c>
      <c r="G841" s="60" t="str">
        <f>IF(FT!B841&lt;&gt;"",FT!B841*100,"")</f>
        <v/>
      </c>
      <c r="H841" s="60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0" t="str">
        <f>IF(FT!A842&lt;&gt;"",FT!A842*10,"")</f>
        <v/>
      </c>
      <c r="G842" s="60" t="str">
        <f>IF(FT!B842&lt;&gt;"",FT!B842*100,"")</f>
        <v/>
      </c>
      <c r="H842" s="60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0" t="str">
        <f>IF(FT!A843&lt;&gt;"",FT!A843*10,"")</f>
        <v/>
      </c>
      <c r="G843" s="60" t="str">
        <f>IF(FT!B843&lt;&gt;"",FT!B843*100,"")</f>
        <v/>
      </c>
      <c r="H843" s="60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0" t="str">
        <f>IF(FT!A844&lt;&gt;"",FT!A844*10,"")</f>
        <v/>
      </c>
      <c r="G844" s="60" t="str">
        <f>IF(FT!B844&lt;&gt;"",FT!B844*100,"")</f>
        <v/>
      </c>
      <c r="H844" s="60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0" t="str">
        <f>IF(FT!A845&lt;&gt;"",FT!A845*10,"")</f>
        <v/>
      </c>
      <c r="G845" s="60" t="str">
        <f>IF(FT!B845&lt;&gt;"",FT!B845*100,"")</f>
        <v/>
      </c>
      <c r="H845" s="60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0" t="str">
        <f>IF(FT!A846&lt;&gt;"",FT!A846*10,"")</f>
        <v/>
      </c>
      <c r="G846" s="60" t="str">
        <f>IF(FT!B846&lt;&gt;"",FT!B846*100,"")</f>
        <v/>
      </c>
      <c r="H846" s="60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0" t="str">
        <f>IF(FT!A847&lt;&gt;"",FT!A847*10,"")</f>
        <v/>
      </c>
      <c r="G847" s="60" t="str">
        <f>IF(FT!B847&lt;&gt;"",FT!B847*100,"")</f>
        <v/>
      </c>
      <c r="H847" s="60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0" t="str">
        <f>IF(FT!A848&lt;&gt;"",FT!A848*10,"")</f>
        <v/>
      </c>
      <c r="G848" s="60" t="str">
        <f>IF(FT!B848&lt;&gt;"",FT!B848*100,"")</f>
        <v/>
      </c>
      <c r="H848" s="60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0" t="str">
        <f>IF(FT!A849&lt;&gt;"",FT!A849*10,"")</f>
        <v/>
      </c>
      <c r="G849" s="60" t="str">
        <f>IF(FT!B849&lt;&gt;"",FT!B849*100,"")</f>
        <v/>
      </c>
      <c r="H849" s="60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0" t="str">
        <f>IF(FT!A850&lt;&gt;"",FT!A850*10,"")</f>
        <v/>
      </c>
      <c r="G850" s="60" t="str">
        <f>IF(FT!B850&lt;&gt;"",FT!B850*100,"")</f>
        <v/>
      </c>
      <c r="H850" s="60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0" t="str">
        <f>IF(FT!A851&lt;&gt;"",FT!A851*10,"")</f>
        <v/>
      </c>
      <c r="G851" s="60" t="str">
        <f>IF(FT!B851&lt;&gt;"",FT!B851*100,"")</f>
        <v/>
      </c>
      <c r="H851" s="60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0" t="str">
        <f>IF(FT!A852&lt;&gt;"",FT!A852*10,"")</f>
        <v/>
      </c>
      <c r="G852" s="60" t="str">
        <f>IF(FT!B852&lt;&gt;"",FT!B852*100,"")</f>
        <v/>
      </c>
      <c r="H852" s="60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0" t="str">
        <f>IF(FT!A853&lt;&gt;"",FT!A853*10,"")</f>
        <v/>
      </c>
      <c r="G853" s="60" t="str">
        <f>IF(FT!B853&lt;&gt;"",FT!B853*100,"")</f>
        <v/>
      </c>
      <c r="H853" s="60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0" t="str">
        <f>IF(FT!A854&lt;&gt;"",FT!A854*10,"")</f>
        <v/>
      </c>
      <c r="G854" s="60" t="str">
        <f>IF(FT!B854&lt;&gt;"",FT!B854*100,"")</f>
        <v/>
      </c>
      <c r="H854" s="60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0" t="str">
        <f>IF(FT!A855&lt;&gt;"",FT!A855*10,"")</f>
        <v/>
      </c>
      <c r="G855" s="60" t="str">
        <f>IF(FT!B855&lt;&gt;"",FT!B855*100,"")</f>
        <v/>
      </c>
      <c r="H855" s="60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0" t="str">
        <f>IF(FT!A856&lt;&gt;"",FT!A856*10,"")</f>
        <v/>
      </c>
      <c r="G856" s="60" t="str">
        <f>IF(FT!B856&lt;&gt;"",FT!B856*100,"")</f>
        <v/>
      </c>
      <c r="H856" s="60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0" t="str">
        <f>IF(FT!A857&lt;&gt;"",FT!A857*10,"")</f>
        <v/>
      </c>
      <c r="G857" s="60" t="str">
        <f>IF(FT!B857&lt;&gt;"",FT!B857*100,"")</f>
        <v/>
      </c>
      <c r="H857" s="60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0" t="str">
        <f>IF(FT!A858&lt;&gt;"",FT!A858*10,"")</f>
        <v/>
      </c>
      <c r="G858" s="60" t="str">
        <f>IF(FT!B858&lt;&gt;"",FT!B858*100,"")</f>
        <v/>
      </c>
      <c r="H858" s="60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0" t="str">
        <f>IF(FT!A859&lt;&gt;"",FT!A859*10,"")</f>
        <v/>
      </c>
      <c r="G859" s="60" t="str">
        <f>IF(FT!B859&lt;&gt;"",FT!B859*100,"")</f>
        <v/>
      </c>
      <c r="H859" s="60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0" t="str">
        <f>IF(FT!A860&lt;&gt;"",FT!A860*10,"")</f>
        <v/>
      </c>
      <c r="G860" s="60" t="str">
        <f>IF(FT!B860&lt;&gt;"",FT!B860*100,"")</f>
        <v/>
      </c>
      <c r="H860" s="60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0" t="str">
        <f>IF(FT!A861&lt;&gt;"",FT!A861*10,"")</f>
        <v/>
      </c>
      <c r="G861" s="60" t="str">
        <f>IF(FT!B861&lt;&gt;"",FT!B861*100,"")</f>
        <v/>
      </c>
      <c r="H861" s="60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0" t="str">
        <f>IF(FT!A862&lt;&gt;"",FT!A862*10,"")</f>
        <v/>
      </c>
      <c r="G862" s="60" t="str">
        <f>IF(FT!B862&lt;&gt;"",FT!B862*100,"")</f>
        <v/>
      </c>
      <c r="H862" s="60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0" t="str">
        <f>IF(FT!A863&lt;&gt;"",FT!A863*10,"")</f>
        <v/>
      </c>
      <c r="G863" s="60" t="str">
        <f>IF(FT!B863&lt;&gt;"",FT!B863*100,"")</f>
        <v/>
      </c>
      <c r="H863" s="60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0" t="str">
        <f>IF(FT!A864&lt;&gt;"",FT!A864*10,"")</f>
        <v/>
      </c>
      <c r="G864" s="60" t="str">
        <f>IF(FT!B864&lt;&gt;"",FT!B864*100,"")</f>
        <v/>
      </c>
      <c r="H864" s="60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0" t="str">
        <f>IF(FT!A865&lt;&gt;"",FT!A865*10,"")</f>
        <v/>
      </c>
      <c r="G865" s="60" t="str">
        <f>IF(FT!B865&lt;&gt;"",FT!B865*100,"")</f>
        <v/>
      </c>
      <c r="H865" s="60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0" t="str">
        <f>IF(FT!A866&lt;&gt;"",FT!A866*10,"")</f>
        <v/>
      </c>
      <c r="G866" s="60" t="str">
        <f>IF(FT!B866&lt;&gt;"",FT!B866*100,"")</f>
        <v/>
      </c>
      <c r="H866" s="60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0" t="str">
        <f>IF(FT!A867&lt;&gt;"",FT!A867*10,"")</f>
        <v/>
      </c>
      <c r="G867" s="60" t="str">
        <f>IF(FT!B867&lt;&gt;"",FT!B867*100,"")</f>
        <v/>
      </c>
      <c r="H867" s="60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0" t="str">
        <f>IF(FT!A868&lt;&gt;"",FT!A868*10,"")</f>
        <v/>
      </c>
      <c r="G868" s="60" t="str">
        <f>IF(FT!B868&lt;&gt;"",FT!B868*100,"")</f>
        <v/>
      </c>
      <c r="H868" s="60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0" t="str">
        <f>IF(FT!A869&lt;&gt;"",FT!A869*10,"")</f>
        <v/>
      </c>
      <c r="G869" s="60" t="str">
        <f>IF(FT!B869&lt;&gt;"",FT!B869*100,"")</f>
        <v/>
      </c>
      <c r="H869" s="60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0" t="str">
        <f>IF(FT!A870&lt;&gt;"",FT!A870*10,"")</f>
        <v/>
      </c>
      <c r="G870" s="60" t="str">
        <f>IF(FT!B870&lt;&gt;"",FT!B870*100,"")</f>
        <v/>
      </c>
      <c r="H870" s="60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0" t="str">
        <f>IF(FT!A871&lt;&gt;"",FT!A871*10,"")</f>
        <v/>
      </c>
      <c r="G871" s="60" t="str">
        <f>IF(FT!B871&lt;&gt;"",FT!B871*100,"")</f>
        <v/>
      </c>
      <c r="H871" s="60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0" t="str">
        <f>IF(FT!A872&lt;&gt;"",FT!A872*10,"")</f>
        <v/>
      </c>
      <c r="G872" s="60" t="str">
        <f>IF(FT!B872&lt;&gt;"",FT!B872*100,"")</f>
        <v/>
      </c>
      <c r="H872" s="60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0" t="str">
        <f>IF(FT!A873&lt;&gt;"",FT!A873*10,"")</f>
        <v/>
      </c>
      <c r="G873" s="60" t="str">
        <f>IF(FT!B873&lt;&gt;"",FT!B873*100,"")</f>
        <v/>
      </c>
      <c r="H873" s="60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0" t="str">
        <f>IF(FT!A874&lt;&gt;"",FT!A874*10,"")</f>
        <v/>
      </c>
      <c r="G874" s="60" t="str">
        <f>IF(FT!B874&lt;&gt;"",FT!B874*100,"")</f>
        <v/>
      </c>
      <c r="H874" s="60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0" t="str">
        <f>IF(FT!A875&lt;&gt;"",FT!A875*10,"")</f>
        <v/>
      </c>
      <c r="G875" s="60" t="str">
        <f>IF(FT!B875&lt;&gt;"",FT!B875*100,"")</f>
        <v/>
      </c>
      <c r="H875" s="60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0" t="str">
        <f>IF(FT!A876&lt;&gt;"",FT!A876*10,"")</f>
        <v/>
      </c>
      <c r="G876" s="60" t="str">
        <f>IF(FT!B876&lt;&gt;"",FT!B876*100,"")</f>
        <v/>
      </c>
      <c r="H876" s="60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0" t="str">
        <f>IF(FT!A877&lt;&gt;"",FT!A877*10,"")</f>
        <v/>
      </c>
      <c r="G877" s="60" t="str">
        <f>IF(FT!B877&lt;&gt;"",FT!B877*100,"")</f>
        <v/>
      </c>
      <c r="H877" s="60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0" t="str">
        <f>IF(FT!A878&lt;&gt;"",FT!A878*10,"")</f>
        <v/>
      </c>
      <c r="G878" s="60" t="str">
        <f>IF(FT!B878&lt;&gt;"",FT!B878*100,"")</f>
        <v/>
      </c>
      <c r="H878" s="60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0" t="str">
        <f>IF(FT!A879&lt;&gt;"",FT!A879*10,"")</f>
        <v/>
      </c>
      <c r="G879" s="60" t="str">
        <f>IF(FT!B879&lt;&gt;"",FT!B879*100,"")</f>
        <v/>
      </c>
      <c r="H879" s="60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0" t="str">
        <f>IF(FT!A880&lt;&gt;"",FT!A880*10,"")</f>
        <v/>
      </c>
      <c r="G880" s="60" t="str">
        <f>IF(FT!B880&lt;&gt;"",FT!B880*100,"")</f>
        <v/>
      </c>
      <c r="H880" s="60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0" t="str">
        <f>IF(FT!A881&lt;&gt;"",FT!A881*10,"")</f>
        <v/>
      </c>
      <c r="G881" s="60" t="str">
        <f>IF(FT!B881&lt;&gt;"",FT!B881*100,"")</f>
        <v/>
      </c>
      <c r="H881" s="60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0" t="str">
        <f>IF(FT!A882&lt;&gt;"",FT!A882*10,"")</f>
        <v/>
      </c>
      <c r="G882" s="60" t="str">
        <f>IF(FT!B882&lt;&gt;"",FT!B882*100,"")</f>
        <v/>
      </c>
      <c r="H882" s="60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0" t="str">
        <f>IF(FT!A883&lt;&gt;"",FT!A883*10,"")</f>
        <v/>
      </c>
      <c r="G883" s="60" t="str">
        <f>IF(FT!B883&lt;&gt;"",FT!B883*100,"")</f>
        <v/>
      </c>
      <c r="H883" s="60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0" t="str">
        <f>IF(FT!A884&lt;&gt;"",FT!A884*10,"")</f>
        <v/>
      </c>
      <c r="G884" s="60" t="str">
        <f>IF(FT!B884&lt;&gt;"",FT!B884*100,"")</f>
        <v/>
      </c>
      <c r="H884" s="60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0" t="str">
        <f>IF(FT!A885&lt;&gt;"",FT!A885*10,"")</f>
        <v/>
      </c>
      <c r="G885" s="60" t="str">
        <f>IF(FT!B885&lt;&gt;"",FT!B885*100,"")</f>
        <v/>
      </c>
      <c r="H885" s="60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0" t="str">
        <f>IF(FT!A886&lt;&gt;"",FT!A886*10,"")</f>
        <v/>
      </c>
      <c r="G886" s="60" t="str">
        <f>IF(FT!B886&lt;&gt;"",FT!B886*100,"")</f>
        <v/>
      </c>
      <c r="H886" s="60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0" t="str">
        <f>IF(FT!A887&lt;&gt;"",FT!A887*10,"")</f>
        <v/>
      </c>
      <c r="G887" s="60" t="str">
        <f>IF(FT!B887&lt;&gt;"",FT!B887*100,"")</f>
        <v/>
      </c>
      <c r="H887" s="60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0" t="str">
        <f>IF(FT!A888&lt;&gt;"",FT!A888*10,"")</f>
        <v/>
      </c>
      <c r="G888" s="60" t="str">
        <f>IF(FT!B888&lt;&gt;"",FT!B888*100,"")</f>
        <v/>
      </c>
      <c r="H888" s="60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0" t="str">
        <f>IF(FT!A889&lt;&gt;"",FT!A889*10,"")</f>
        <v/>
      </c>
      <c r="G889" s="60" t="str">
        <f>IF(FT!B889&lt;&gt;"",FT!B889*100,"")</f>
        <v/>
      </c>
      <c r="H889" s="60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0" t="str">
        <f>IF(FT!A890&lt;&gt;"",FT!A890*10,"")</f>
        <v/>
      </c>
      <c r="G890" s="60" t="str">
        <f>IF(FT!B890&lt;&gt;"",FT!B890*100,"")</f>
        <v/>
      </c>
      <c r="H890" s="60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0" t="str">
        <f>IF(FT!A891&lt;&gt;"",FT!A891*10,"")</f>
        <v/>
      </c>
      <c r="G891" s="60" t="str">
        <f>IF(FT!B891&lt;&gt;"",FT!B891*100,"")</f>
        <v/>
      </c>
      <c r="H891" s="60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0" t="str">
        <f>IF(FT!A892&lt;&gt;"",FT!A892*10,"")</f>
        <v/>
      </c>
      <c r="G892" s="60" t="str">
        <f>IF(FT!B892&lt;&gt;"",FT!B892*100,"")</f>
        <v/>
      </c>
      <c r="H892" s="60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0" t="str">
        <f>IF(FT!A893&lt;&gt;"",FT!A893*10,"")</f>
        <v/>
      </c>
      <c r="G893" s="60" t="str">
        <f>IF(FT!B893&lt;&gt;"",FT!B893*100,"")</f>
        <v/>
      </c>
      <c r="H893" s="60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0" t="str">
        <f>IF(FT!A894&lt;&gt;"",FT!A894*10,"")</f>
        <v/>
      </c>
      <c r="G894" s="60" t="str">
        <f>IF(FT!B894&lt;&gt;"",FT!B894*100,"")</f>
        <v/>
      </c>
      <c r="H894" s="60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0" t="str">
        <f>IF(FT!A895&lt;&gt;"",FT!A895*10,"")</f>
        <v/>
      </c>
      <c r="G895" s="60" t="str">
        <f>IF(FT!B895&lt;&gt;"",FT!B895*100,"")</f>
        <v/>
      </c>
      <c r="H895" s="60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0" t="str">
        <f>IF(FT!A896&lt;&gt;"",FT!A896*10,"")</f>
        <v/>
      </c>
      <c r="G896" s="60" t="str">
        <f>IF(FT!B896&lt;&gt;"",FT!B896*100,"")</f>
        <v/>
      </c>
      <c r="H896" s="60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0" t="str">
        <f>IF(FT!A897&lt;&gt;"",FT!A897*10,"")</f>
        <v/>
      </c>
      <c r="G897" s="60" t="str">
        <f>IF(FT!B897&lt;&gt;"",FT!B897*100,"")</f>
        <v/>
      </c>
      <c r="H897" s="60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0" t="str">
        <f>IF(FT!A898&lt;&gt;"",FT!A898*10,"")</f>
        <v/>
      </c>
      <c r="G898" s="60" t="str">
        <f>IF(FT!B898&lt;&gt;"",FT!B898*100,"")</f>
        <v/>
      </c>
      <c r="H898" s="60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0" t="str">
        <f>IF(FT!A899&lt;&gt;"",FT!A899*10,"")</f>
        <v/>
      </c>
      <c r="G899" s="60" t="str">
        <f>IF(FT!B899&lt;&gt;"",FT!B899*100,"")</f>
        <v/>
      </c>
      <c r="H899" s="60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0" t="str">
        <f>IF(FT!A900&lt;&gt;"",FT!A900*10,"")</f>
        <v/>
      </c>
      <c r="G900" s="60" t="str">
        <f>IF(FT!B900&lt;&gt;"",FT!B900*100,"")</f>
        <v/>
      </c>
      <c r="H900" s="60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0" t="str">
        <f>IF(FT!A901&lt;&gt;"",FT!A901*10,"")</f>
        <v/>
      </c>
      <c r="G901" s="60" t="str">
        <f>IF(FT!B901&lt;&gt;"",FT!B901*100,"")</f>
        <v/>
      </c>
      <c r="H901" s="60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0" t="str">
        <f>IF(FT!A902&lt;&gt;"",FT!A902*10,"")</f>
        <v/>
      </c>
      <c r="G902" s="60" t="str">
        <f>IF(FT!B902&lt;&gt;"",FT!B902*100,"")</f>
        <v/>
      </c>
      <c r="H902" s="60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0" t="str">
        <f>IF(FT!A903&lt;&gt;"",FT!A903*10,"")</f>
        <v/>
      </c>
      <c r="G903" s="60" t="str">
        <f>IF(FT!B903&lt;&gt;"",FT!B903*100,"")</f>
        <v/>
      </c>
      <c r="H903" s="60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0" t="str">
        <f>IF(FT!A904&lt;&gt;"",FT!A904*10,"")</f>
        <v/>
      </c>
      <c r="G904" s="60" t="str">
        <f>IF(FT!B904&lt;&gt;"",FT!B904*100,"")</f>
        <v/>
      </c>
      <c r="H904" s="60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0" t="str">
        <f>IF(FT!A905&lt;&gt;"",FT!A905*10,"")</f>
        <v/>
      </c>
      <c r="G905" s="60" t="str">
        <f>IF(FT!B905&lt;&gt;"",FT!B905*100,"")</f>
        <v/>
      </c>
      <c r="H905" s="60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0" t="str">
        <f>IF(FT!A906&lt;&gt;"",FT!A906*10,"")</f>
        <v/>
      </c>
      <c r="G906" s="60" t="str">
        <f>IF(FT!B906&lt;&gt;"",FT!B906*100,"")</f>
        <v/>
      </c>
      <c r="H906" s="60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0" t="str">
        <f>IF(FT!A907&lt;&gt;"",FT!A907*10,"")</f>
        <v/>
      </c>
      <c r="G907" s="60" t="str">
        <f>IF(FT!B907&lt;&gt;"",FT!B907*100,"")</f>
        <v/>
      </c>
      <c r="H907" s="60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0" t="str">
        <f>IF(FT!A908&lt;&gt;"",FT!A908*10,"")</f>
        <v/>
      </c>
      <c r="G908" s="60" t="str">
        <f>IF(FT!B908&lt;&gt;"",FT!B908*100,"")</f>
        <v/>
      </c>
      <c r="H908" s="60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0" t="str">
        <f>IF(FT!A909&lt;&gt;"",FT!A909*10,"")</f>
        <v/>
      </c>
      <c r="G909" s="60" t="str">
        <f>IF(FT!B909&lt;&gt;"",FT!B909*100,"")</f>
        <v/>
      </c>
      <c r="H909" s="60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0" t="str">
        <f>IF(FT!A910&lt;&gt;"",FT!A910*10,"")</f>
        <v/>
      </c>
      <c r="G910" s="60" t="str">
        <f>IF(FT!B910&lt;&gt;"",FT!B910*100,"")</f>
        <v/>
      </c>
      <c r="H910" s="60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0" t="str">
        <f>IF(FT!A911&lt;&gt;"",FT!A911*10,"")</f>
        <v/>
      </c>
      <c r="G911" s="60" t="str">
        <f>IF(FT!B911&lt;&gt;"",FT!B911*100,"")</f>
        <v/>
      </c>
      <c r="H911" s="60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0" t="str">
        <f>IF(FT!A912&lt;&gt;"",FT!A912*10,"")</f>
        <v/>
      </c>
      <c r="G912" s="60" t="str">
        <f>IF(FT!B912&lt;&gt;"",FT!B912*100,"")</f>
        <v/>
      </c>
      <c r="H912" s="60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0" t="str">
        <f>IF(FT!A913&lt;&gt;"",FT!A913*10,"")</f>
        <v/>
      </c>
      <c r="G913" s="60" t="str">
        <f>IF(FT!B913&lt;&gt;"",FT!B913*100,"")</f>
        <v/>
      </c>
      <c r="H913" s="60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0" t="str">
        <f>IF(FT!A914&lt;&gt;"",FT!A914*10,"")</f>
        <v/>
      </c>
      <c r="G914" s="60" t="str">
        <f>IF(FT!B914&lt;&gt;"",FT!B914*100,"")</f>
        <v/>
      </c>
      <c r="H914" s="60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0" t="str">
        <f>IF(FT!A915&lt;&gt;"",FT!A915*10,"")</f>
        <v/>
      </c>
      <c r="G915" s="60" t="str">
        <f>IF(FT!B915&lt;&gt;"",FT!B915*100,"")</f>
        <v/>
      </c>
      <c r="H915" s="60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0" t="str">
        <f>IF(FT!A916&lt;&gt;"",FT!A916*10,"")</f>
        <v/>
      </c>
      <c r="G916" s="60" t="str">
        <f>IF(FT!B916&lt;&gt;"",FT!B916*100,"")</f>
        <v/>
      </c>
      <c r="H916" s="60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0" t="str">
        <f>IF(FT!A917&lt;&gt;"",FT!A917*10,"")</f>
        <v/>
      </c>
      <c r="G917" s="60" t="str">
        <f>IF(FT!B917&lt;&gt;"",FT!B917*100,"")</f>
        <v/>
      </c>
      <c r="H917" s="60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0" t="str">
        <f>IF(FT!A918&lt;&gt;"",FT!A918*10,"")</f>
        <v/>
      </c>
      <c r="G918" s="60" t="str">
        <f>IF(FT!B918&lt;&gt;"",FT!B918*100,"")</f>
        <v/>
      </c>
      <c r="H918" s="60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0" t="str">
        <f>IF(FT!A919&lt;&gt;"",FT!A919*10,"")</f>
        <v/>
      </c>
      <c r="G919" s="60" t="str">
        <f>IF(FT!B919&lt;&gt;"",FT!B919*100,"")</f>
        <v/>
      </c>
      <c r="H919" s="60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0" t="str">
        <f>IF(FT!A920&lt;&gt;"",FT!A920*10,"")</f>
        <v/>
      </c>
      <c r="G920" s="60" t="str">
        <f>IF(FT!B920&lt;&gt;"",FT!B920*100,"")</f>
        <v/>
      </c>
      <c r="H920" s="60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0" t="str">
        <f>IF(FT!A921&lt;&gt;"",FT!A921*10,"")</f>
        <v/>
      </c>
      <c r="G921" s="60" t="str">
        <f>IF(FT!B921&lt;&gt;"",FT!B921*100,"")</f>
        <v/>
      </c>
      <c r="H921" s="60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0" t="str">
        <f>IF(FT!A922&lt;&gt;"",FT!A922*10,"")</f>
        <v/>
      </c>
      <c r="G922" s="60" t="str">
        <f>IF(FT!B922&lt;&gt;"",FT!B922*100,"")</f>
        <v/>
      </c>
      <c r="H922" s="60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0" t="str">
        <f>IF(FT!A923&lt;&gt;"",FT!A923*10,"")</f>
        <v/>
      </c>
      <c r="G923" s="60" t="str">
        <f>IF(FT!B923&lt;&gt;"",FT!B923*100,"")</f>
        <v/>
      </c>
      <c r="H923" s="60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0" t="str">
        <f>IF(FT!A924&lt;&gt;"",FT!A924*10,"")</f>
        <v/>
      </c>
      <c r="G924" s="60" t="str">
        <f>IF(FT!B924&lt;&gt;"",FT!B924*100,"")</f>
        <v/>
      </c>
      <c r="H924" s="60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0" t="str">
        <f>IF(FT!A925&lt;&gt;"",FT!A925*10,"")</f>
        <v/>
      </c>
      <c r="G925" s="60" t="str">
        <f>IF(FT!B925&lt;&gt;"",FT!B925*100,"")</f>
        <v/>
      </c>
      <c r="H925" s="60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0" t="str">
        <f>IF(FT!A926&lt;&gt;"",FT!A926*10,"")</f>
        <v/>
      </c>
      <c r="G926" s="60" t="str">
        <f>IF(FT!B926&lt;&gt;"",FT!B926*100,"")</f>
        <v/>
      </c>
      <c r="H926" s="60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0" t="str">
        <f>IF(FT!A927&lt;&gt;"",FT!A927*10,"")</f>
        <v/>
      </c>
      <c r="G927" s="60" t="str">
        <f>IF(FT!B927&lt;&gt;"",FT!B927*100,"")</f>
        <v/>
      </c>
      <c r="H927" s="60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0" t="str">
        <f>IF(FT!A928&lt;&gt;"",FT!A928*10,"")</f>
        <v/>
      </c>
      <c r="G928" s="60" t="str">
        <f>IF(FT!B928&lt;&gt;"",FT!B928*100,"")</f>
        <v/>
      </c>
      <c r="H928" s="60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0" t="str">
        <f>IF(FT!A929&lt;&gt;"",FT!A929*10,"")</f>
        <v/>
      </c>
      <c r="G929" s="60" t="str">
        <f>IF(FT!B929&lt;&gt;"",FT!B929*100,"")</f>
        <v/>
      </c>
      <c r="H929" s="60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0" t="str">
        <f>IF(FT!A930&lt;&gt;"",FT!A930*10,"")</f>
        <v/>
      </c>
      <c r="G930" s="60" t="str">
        <f>IF(FT!B930&lt;&gt;"",FT!B930*100,"")</f>
        <v/>
      </c>
      <c r="H930" s="60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0" t="str">
        <f>IF(FT!A931&lt;&gt;"",FT!A931*10,"")</f>
        <v/>
      </c>
      <c r="G931" s="60" t="str">
        <f>IF(FT!B931&lt;&gt;"",FT!B931*100,"")</f>
        <v/>
      </c>
      <c r="H931" s="60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0" t="str">
        <f>IF(FT!A932&lt;&gt;"",FT!A932*10,"")</f>
        <v/>
      </c>
      <c r="G932" s="60" t="str">
        <f>IF(FT!B932&lt;&gt;"",FT!B932*100,"")</f>
        <v/>
      </c>
      <c r="H932" s="60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0" t="str">
        <f>IF(FT!A933&lt;&gt;"",FT!A933*10,"")</f>
        <v/>
      </c>
      <c r="G933" s="60" t="str">
        <f>IF(FT!B933&lt;&gt;"",FT!B933*100,"")</f>
        <v/>
      </c>
      <c r="H933" s="60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0" t="str">
        <f>IF(FT!A934&lt;&gt;"",FT!A934*10,"")</f>
        <v/>
      </c>
      <c r="G934" s="60" t="str">
        <f>IF(FT!B934&lt;&gt;"",FT!B934*100,"")</f>
        <v/>
      </c>
      <c r="H934" s="60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0" t="str">
        <f>IF(FT!A935&lt;&gt;"",FT!A935*10,"")</f>
        <v/>
      </c>
      <c r="G935" s="60" t="str">
        <f>IF(FT!B935&lt;&gt;"",FT!B935*100,"")</f>
        <v/>
      </c>
      <c r="H935" s="60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0" t="str">
        <f>IF(FT!A936&lt;&gt;"",FT!A936*10,"")</f>
        <v/>
      </c>
      <c r="G936" s="60" t="str">
        <f>IF(FT!B936&lt;&gt;"",FT!B936*100,"")</f>
        <v/>
      </c>
      <c r="H936" s="60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0" t="str">
        <f>IF(FT!A937&lt;&gt;"",FT!A937*10,"")</f>
        <v/>
      </c>
      <c r="G937" s="60" t="str">
        <f>IF(FT!B937&lt;&gt;"",FT!B937*100,"")</f>
        <v/>
      </c>
      <c r="H937" s="60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0" t="str">
        <f>IF(FT!A938&lt;&gt;"",FT!A938*10,"")</f>
        <v/>
      </c>
      <c r="G938" s="60" t="str">
        <f>IF(FT!B938&lt;&gt;"",FT!B938*100,"")</f>
        <v/>
      </c>
      <c r="H938" s="60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0" t="str">
        <f>IF(FT!A939&lt;&gt;"",FT!A939*10,"")</f>
        <v/>
      </c>
      <c r="G939" s="60" t="str">
        <f>IF(FT!B939&lt;&gt;"",FT!B939*100,"")</f>
        <v/>
      </c>
      <c r="H939" s="60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0" t="str">
        <f>IF(FT!A940&lt;&gt;"",FT!A940*10,"")</f>
        <v/>
      </c>
      <c r="G940" s="60" t="str">
        <f>IF(FT!B940&lt;&gt;"",FT!B940*100,"")</f>
        <v/>
      </c>
      <c r="H940" s="60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0" t="str">
        <f>IF(FT!A941&lt;&gt;"",FT!A941*10,"")</f>
        <v/>
      </c>
      <c r="G941" s="60" t="str">
        <f>IF(FT!B941&lt;&gt;"",FT!B941*100,"")</f>
        <v/>
      </c>
      <c r="H941" s="60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0" t="str">
        <f>IF(FT!A942&lt;&gt;"",FT!A942*10,"")</f>
        <v/>
      </c>
      <c r="G942" s="60" t="str">
        <f>IF(FT!B942&lt;&gt;"",FT!B942*100,"")</f>
        <v/>
      </c>
      <c r="H942" s="60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0" t="str">
        <f>IF(FT!A943&lt;&gt;"",FT!A943*10,"")</f>
        <v/>
      </c>
      <c r="G943" s="60" t="str">
        <f>IF(FT!B943&lt;&gt;"",FT!B943*100,"")</f>
        <v/>
      </c>
      <c r="H943" s="60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0" t="str">
        <f>IF(FT!A944&lt;&gt;"",FT!A944*10,"")</f>
        <v/>
      </c>
      <c r="G944" s="60" t="str">
        <f>IF(FT!B944&lt;&gt;"",FT!B944*100,"")</f>
        <v/>
      </c>
      <c r="H944" s="60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0" t="str">
        <f>IF(FT!A945&lt;&gt;"",FT!A945*10,"")</f>
        <v/>
      </c>
      <c r="G945" s="60" t="str">
        <f>IF(FT!B945&lt;&gt;"",FT!B945*100,"")</f>
        <v/>
      </c>
      <c r="H945" s="60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0" t="str">
        <f>IF(FT!A946&lt;&gt;"",FT!A946*10,"")</f>
        <v/>
      </c>
      <c r="G946" s="60" t="str">
        <f>IF(FT!B946&lt;&gt;"",FT!B946*100,"")</f>
        <v/>
      </c>
      <c r="H946" s="60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0" t="str">
        <f>IF(FT!A947&lt;&gt;"",FT!A947*10,"")</f>
        <v/>
      </c>
      <c r="G947" s="60" t="str">
        <f>IF(FT!B947&lt;&gt;"",FT!B947*100,"")</f>
        <v/>
      </c>
      <c r="H947" s="60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0" t="str">
        <f>IF(FT!A948&lt;&gt;"",FT!A948*10,"")</f>
        <v/>
      </c>
      <c r="G948" s="60" t="str">
        <f>IF(FT!B948&lt;&gt;"",FT!B948*100,"")</f>
        <v/>
      </c>
      <c r="H948" s="60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0" t="str">
        <f>IF(FT!A949&lt;&gt;"",FT!A949*10,"")</f>
        <v/>
      </c>
      <c r="G949" s="60" t="str">
        <f>IF(FT!B949&lt;&gt;"",FT!B949*100,"")</f>
        <v/>
      </c>
      <c r="H949" s="60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0" t="str">
        <f>IF(FT!A950&lt;&gt;"",FT!A950*10,"")</f>
        <v/>
      </c>
      <c r="G950" s="60" t="str">
        <f>IF(FT!B950&lt;&gt;"",FT!B950*100,"")</f>
        <v/>
      </c>
      <c r="H950" s="60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0" t="str">
        <f>IF(FT!A951&lt;&gt;"",FT!A951*10,"")</f>
        <v/>
      </c>
      <c r="G951" s="60" t="str">
        <f>IF(FT!B951&lt;&gt;"",FT!B951*100,"")</f>
        <v/>
      </c>
      <c r="H951" s="60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0" t="str">
        <f>IF(FT!A952&lt;&gt;"",FT!A952*10,"")</f>
        <v/>
      </c>
      <c r="G952" s="60" t="str">
        <f>IF(FT!B952&lt;&gt;"",FT!B952*100,"")</f>
        <v/>
      </c>
      <c r="H952" s="60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0" t="str">
        <f>IF(FT!A953&lt;&gt;"",FT!A953*10,"")</f>
        <v/>
      </c>
      <c r="G953" s="60" t="str">
        <f>IF(FT!B953&lt;&gt;"",FT!B953*100,"")</f>
        <v/>
      </c>
      <c r="H953" s="60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0" t="str">
        <f>IF(FT!A954&lt;&gt;"",FT!A954*10,"")</f>
        <v/>
      </c>
      <c r="G954" s="60" t="str">
        <f>IF(FT!B954&lt;&gt;"",FT!B954*100,"")</f>
        <v/>
      </c>
      <c r="H954" s="60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0" t="str">
        <f>IF(FT!A955&lt;&gt;"",FT!A955*10,"")</f>
        <v/>
      </c>
      <c r="G955" s="60" t="str">
        <f>IF(FT!B955&lt;&gt;"",FT!B955*100,"")</f>
        <v/>
      </c>
      <c r="H955" s="60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0" t="str">
        <f>IF(FT!A956&lt;&gt;"",FT!A956*10,"")</f>
        <v/>
      </c>
      <c r="G956" s="60" t="str">
        <f>IF(FT!B956&lt;&gt;"",FT!B956*100,"")</f>
        <v/>
      </c>
      <c r="H956" s="60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0" t="str">
        <f>IF(FT!A957&lt;&gt;"",FT!A957*10,"")</f>
        <v/>
      </c>
      <c r="G957" s="60" t="str">
        <f>IF(FT!B957&lt;&gt;"",FT!B957*100,"")</f>
        <v/>
      </c>
      <c r="H957" s="60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0" t="str">
        <f>IF(FT!A958&lt;&gt;"",FT!A958*10,"")</f>
        <v/>
      </c>
      <c r="G958" s="60" t="str">
        <f>IF(FT!B958&lt;&gt;"",FT!B958*100,"")</f>
        <v/>
      </c>
      <c r="H958" s="60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0" t="str">
        <f>IF(FT!A959&lt;&gt;"",FT!A959*10,"")</f>
        <v/>
      </c>
      <c r="G959" s="60" t="str">
        <f>IF(FT!B959&lt;&gt;"",FT!B959*100,"")</f>
        <v/>
      </c>
      <c r="H959" s="60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0" t="str">
        <f>IF(FT!A960&lt;&gt;"",FT!A960*10,"")</f>
        <v/>
      </c>
      <c r="G960" s="60" t="str">
        <f>IF(FT!B960&lt;&gt;"",FT!B960*100,"")</f>
        <v/>
      </c>
      <c r="H960" s="60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0" t="str">
        <f>IF(FT!A961&lt;&gt;"",FT!A961*10,"")</f>
        <v/>
      </c>
      <c r="G961" s="60" t="str">
        <f>IF(FT!B961&lt;&gt;"",FT!B961*100,"")</f>
        <v/>
      </c>
      <c r="H961" s="60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0" t="str">
        <f>IF(FT!A962&lt;&gt;"",FT!A962*10,"")</f>
        <v/>
      </c>
      <c r="G962" s="60" t="str">
        <f>IF(FT!B962&lt;&gt;"",FT!B962*100,"")</f>
        <v/>
      </c>
      <c r="H962" s="60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0" t="str">
        <f>IF(FT!A963&lt;&gt;"",FT!A963*10,"")</f>
        <v/>
      </c>
      <c r="G963" s="60" t="str">
        <f>IF(FT!B963&lt;&gt;"",FT!B963*100,"")</f>
        <v/>
      </c>
      <c r="H963" s="60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0" t="str">
        <f>IF(FT!A964&lt;&gt;"",FT!A964*10,"")</f>
        <v/>
      </c>
      <c r="G964" s="60" t="str">
        <f>IF(FT!B964&lt;&gt;"",FT!B964*100,"")</f>
        <v/>
      </c>
      <c r="H964" s="60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0" t="str">
        <f>IF(FT!A965&lt;&gt;"",FT!A965*10,"")</f>
        <v/>
      </c>
      <c r="G965" s="60" t="str">
        <f>IF(FT!B965&lt;&gt;"",FT!B965*100,"")</f>
        <v/>
      </c>
      <c r="H965" s="60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0" t="str">
        <f>IF(FT!A966&lt;&gt;"",FT!A966*10,"")</f>
        <v/>
      </c>
      <c r="G966" s="60" t="str">
        <f>IF(FT!B966&lt;&gt;"",FT!B966*100,"")</f>
        <v/>
      </c>
      <c r="H966" s="60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0" t="str">
        <f>IF(FT!A967&lt;&gt;"",FT!A967*10,"")</f>
        <v/>
      </c>
      <c r="G967" s="60" t="str">
        <f>IF(FT!B967&lt;&gt;"",FT!B967*100,"")</f>
        <v/>
      </c>
      <c r="H967" s="60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0" t="str">
        <f>IF(FT!A968&lt;&gt;"",FT!A968*10,"")</f>
        <v/>
      </c>
      <c r="G968" s="60" t="str">
        <f>IF(FT!B968&lt;&gt;"",FT!B968*100,"")</f>
        <v/>
      </c>
      <c r="H968" s="60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0" t="str">
        <f>IF(FT!A969&lt;&gt;"",FT!A969*10,"")</f>
        <v/>
      </c>
      <c r="G969" s="60" t="str">
        <f>IF(FT!B969&lt;&gt;"",FT!B969*100,"")</f>
        <v/>
      </c>
      <c r="H969" s="60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0" t="str">
        <f>IF(FT!A970&lt;&gt;"",FT!A970*10,"")</f>
        <v/>
      </c>
      <c r="G970" s="60" t="str">
        <f>IF(FT!B970&lt;&gt;"",FT!B970*100,"")</f>
        <v/>
      </c>
      <c r="H970" s="60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0" t="str">
        <f>IF(FT!A971&lt;&gt;"",FT!A971*10,"")</f>
        <v/>
      </c>
      <c r="G971" s="60" t="str">
        <f>IF(FT!B971&lt;&gt;"",FT!B971*100,"")</f>
        <v/>
      </c>
      <c r="H971" s="60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0" t="str">
        <f>IF(FT!A972&lt;&gt;"",FT!A972*10,"")</f>
        <v/>
      </c>
      <c r="G972" s="60" t="str">
        <f>IF(FT!B972&lt;&gt;"",FT!B972*100,"")</f>
        <v/>
      </c>
      <c r="H972" s="60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0" t="str">
        <f>IF(FT!A973&lt;&gt;"",FT!A973*10,"")</f>
        <v/>
      </c>
      <c r="G973" s="60" t="str">
        <f>IF(FT!B973&lt;&gt;"",FT!B973*100,"")</f>
        <v/>
      </c>
      <c r="H973" s="60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0" t="str">
        <f>IF(FT!A974&lt;&gt;"",FT!A974*10,"")</f>
        <v/>
      </c>
      <c r="G974" s="60" t="str">
        <f>IF(FT!B974&lt;&gt;"",FT!B974*100,"")</f>
        <v/>
      </c>
      <c r="H974" s="60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0" t="str">
        <f>IF(FT!A975&lt;&gt;"",FT!A975*10,"")</f>
        <v/>
      </c>
      <c r="G975" s="60" t="str">
        <f>IF(FT!B975&lt;&gt;"",FT!B975*100,"")</f>
        <v/>
      </c>
      <c r="H975" s="60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0" t="str">
        <f>IF(FT!A976&lt;&gt;"",FT!A976*10,"")</f>
        <v/>
      </c>
      <c r="G976" s="60" t="str">
        <f>IF(FT!B976&lt;&gt;"",FT!B976*100,"")</f>
        <v/>
      </c>
      <c r="H976" s="60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0" t="str">
        <f>IF(FT!A977&lt;&gt;"",FT!A977*10,"")</f>
        <v/>
      </c>
      <c r="G977" s="60" t="str">
        <f>IF(FT!B977&lt;&gt;"",FT!B977*100,"")</f>
        <v/>
      </c>
      <c r="H977" s="60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0" t="str">
        <f>IF(FT!A978&lt;&gt;"",FT!A978*10,"")</f>
        <v/>
      </c>
      <c r="G978" s="60" t="str">
        <f>IF(FT!B978&lt;&gt;"",FT!B978*100,"")</f>
        <v/>
      </c>
      <c r="H978" s="60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0" t="str">
        <f>IF(FT!A979&lt;&gt;"",FT!A979*10,"")</f>
        <v/>
      </c>
      <c r="G979" s="60" t="str">
        <f>IF(FT!B979&lt;&gt;"",FT!B979*100,"")</f>
        <v/>
      </c>
      <c r="H979" s="60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0" t="str">
        <f>IF(FT!A980&lt;&gt;"",FT!A980*10,"")</f>
        <v/>
      </c>
      <c r="G980" s="60" t="str">
        <f>IF(FT!B980&lt;&gt;"",FT!B980*100,"")</f>
        <v/>
      </c>
      <c r="H980" s="60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0" t="str">
        <f>IF(FT!A981&lt;&gt;"",FT!A981*10,"")</f>
        <v/>
      </c>
      <c r="G981" s="60" t="str">
        <f>IF(FT!B981&lt;&gt;"",FT!B981*100,"")</f>
        <v/>
      </c>
      <c r="H981" s="60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0" t="str">
        <f>IF(FT!A982&lt;&gt;"",FT!A982*10,"")</f>
        <v/>
      </c>
      <c r="G982" s="60" t="str">
        <f>IF(FT!B982&lt;&gt;"",FT!B982*100,"")</f>
        <v/>
      </c>
      <c r="H982" s="60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0" t="str">
        <f>IF(FT!A983&lt;&gt;"",FT!A983*10,"")</f>
        <v/>
      </c>
      <c r="G983" s="60" t="str">
        <f>IF(FT!B983&lt;&gt;"",FT!B983*100,"")</f>
        <v/>
      </c>
      <c r="H983" s="60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0" t="str">
        <f>IF(FT!A984&lt;&gt;"",FT!A984*10,"")</f>
        <v/>
      </c>
      <c r="G984" s="60" t="str">
        <f>IF(FT!B984&lt;&gt;"",FT!B984*100,"")</f>
        <v/>
      </c>
      <c r="H984" s="60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0" t="str">
        <f>IF(FT!A985&lt;&gt;"",FT!A985*10,"")</f>
        <v/>
      </c>
      <c r="G985" s="60" t="str">
        <f>IF(FT!B985&lt;&gt;"",FT!B985*100,"")</f>
        <v/>
      </c>
      <c r="H985" s="60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0" t="str">
        <f>IF(FT!A986&lt;&gt;"",FT!A986*10,"")</f>
        <v/>
      </c>
      <c r="G986" s="60" t="str">
        <f>IF(FT!B986&lt;&gt;"",FT!B986*100,"")</f>
        <v/>
      </c>
      <c r="H986" s="60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0" t="str">
        <f>IF(FT!A987&lt;&gt;"",FT!A987*10,"")</f>
        <v/>
      </c>
      <c r="G987" s="60" t="str">
        <f>IF(FT!B987&lt;&gt;"",FT!B987*100,"")</f>
        <v/>
      </c>
      <c r="H987" s="60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0" t="str">
        <f>IF(FT!A988&lt;&gt;"",FT!A988*10,"")</f>
        <v/>
      </c>
      <c r="G988" s="60" t="str">
        <f>IF(FT!B988&lt;&gt;"",FT!B988*100,"")</f>
        <v/>
      </c>
      <c r="H988" s="60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0" t="str">
        <f>IF(FT!A989&lt;&gt;"",FT!A989*10,"")</f>
        <v/>
      </c>
      <c r="G989" s="60" t="str">
        <f>IF(FT!B989&lt;&gt;"",FT!B989*100,"")</f>
        <v/>
      </c>
      <c r="H989" s="60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0" t="str">
        <f>IF(FT!A990&lt;&gt;"",FT!A990*10,"")</f>
        <v/>
      </c>
      <c r="G990" s="60" t="str">
        <f>IF(FT!B990&lt;&gt;"",FT!B990*100,"")</f>
        <v/>
      </c>
      <c r="H990" s="60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0" t="str">
        <f>IF(FT!A991&lt;&gt;"",FT!A991*10,"")</f>
        <v/>
      </c>
      <c r="G991" s="60" t="str">
        <f>IF(FT!B991&lt;&gt;"",FT!B991*100,"")</f>
        <v/>
      </c>
      <c r="H991" s="60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0" t="str">
        <f>IF(FT!A992&lt;&gt;"",FT!A992*10,"")</f>
        <v/>
      </c>
      <c r="G992" s="60" t="str">
        <f>IF(FT!B992&lt;&gt;"",FT!B992*100,"")</f>
        <v/>
      </c>
      <c r="H992" s="60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0" t="str">
        <f>IF(FT!A993&lt;&gt;"",FT!A993*10,"")</f>
        <v/>
      </c>
      <c r="G993" s="60" t="str">
        <f>IF(FT!B993&lt;&gt;"",FT!B993*100,"")</f>
        <v/>
      </c>
      <c r="H993" s="60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0" t="str">
        <f>IF(FT!A994&lt;&gt;"",FT!A994*10,"")</f>
        <v/>
      </c>
      <c r="G994" s="60" t="str">
        <f>IF(FT!B994&lt;&gt;"",FT!B994*100,"")</f>
        <v/>
      </c>
      <c r="H994" s="60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0" t="str">
        <f>IF(FT!A995&lt;&gt;"",FT!A995*10,"")</f>
        <v/>
      </c>
      <c r="G995" s="60" t="str">
        <f>IF(FT!B995&lt;&gt;"",FT!B995*100,"")</f>
        <v/>
      </c>
      <c r="H995" s="60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0" t="str">
        <f>IF(FT!A996&lt;&gt;"",FT!A996*10,"")</f>
        <v/>
      </c>
      <c r="G996" s="60" t="str">
        <f>IF(FT!B996&lt;&gt;"",FT!B996*100,"")</f>
        <v/>
      </c>
      <c r="H996" s="60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0" t="str">
        <f>IF(FT!A997&lt;&gt;"",FT!A997*10,"")</f>
        <v/>
      </c>
      <c r="G997" s="60" t="str">
        <f>IF(FT!B997&lt;&gt;"",FT!B997*100,"")</f>
        <v/>
      </c>
      <c r="H997" s="60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0" t="str">
        <f>IF(FT!A998&lt;&gt;"",FT!A998*10,"")</f>
        <v/>
      </c>
      <c r="G998" s="60" t="str">
        <f>IF(FT!B998&lt;&gt;"",FT!B998*100,"")</f>
        <v/>
      </c>
      <c r="H998" s="60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0" t="str">
        <f>IF(FT!A999&lt;&gt;"",FT!A999*10,"")</f>
        <v/>
      </c>
      <c r="G999" s="60" t="str">
        <f>IF(FT!B999&lt;&gt;"",FT!B999*100,"")</f>
        <v/>
      </c>
      <c r="H999" s="60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0" t="str">
        <f>IF(FT!A1000&lt;&gt;"",FT!A1000*10,"")</f>
        <v/>
      </c>
      <c r="G1000" s="60" t="str">
        <f>IF(FT!B1000&lt;&gt;"",FT!B1000*100,"")</f>
        <v/>
      </c>
      <c r="H1000" s="60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0" t="str">
        <f>IF(FT!A1001&lt;&gt;"",FT!A1001*10,"")</f>
        <v/>
      </c>
      <c r="G1001" s="60" t="str">
        <f>IF(FT!B1001&lt;&gt;"",FT!B1001*100,"")</f>
        <v/>
      </c>
      <c r="H1001" s="60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0" t="str">
        <f>IF(FT!A1002&lt;&gt;"",FT!A1002*10,"")</f>
        <v/>
      </c>
      <c r="G1002" s="60" t="str">
        <f>IF(FT!B1002&lt;&gt;"",FT!B1002*100,"")</f>
        <v/>
      </c>
      <c r="H1002" s="60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0" t="str">
        <f>IF(FT!A1003&lt;&gt;"",FT!A1003*10,"")</f>
        <v/>
      </c>
      <c r="G1003" s="60" t="str">
        <f>IF(FT!B1003&lt;&gt;"",FT!B1003*100,"")</f>
        <v/>
      </c>
      <c r="H1003" s="60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0" t="str">
        <f>IF(FT!A1004&lt;&gt;"",FT!A1004*10,"")</f>
        <v/>
      </c>
      <c r="G1004" s="60" t="str">
        <f>IF(FT!B1004&lt;&gt;"",FT!B1004*100,"")</f>
        <v/>
      </c>
      <c r="H1004" s="60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0" t="str">
        <f>IF(FT!A1005&lt;&gt;"",FT!A1005*10,"")</f>
        <v/>
      </c>
      <c r="G1005" s="60" t="str">
        <f>IF(FT!B1005&lt;&gt;"",FT!B1005*100,"")</f>
        <v/>
      </c>
      <c r="H1005" s="60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0" t="str">
        <f>IF(FT!A1006&lt;&gt;"",FT!A1006*10,"")</f>
        <v/>
      </c>
      <c r="G1006" s="60" t="str">
        <f>IF(FT!B1006&lt;&gt;"",FT!B1006*100,"")</f>
        <v/>
      </c>
      <c r="H1006" s="60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0" t="str">
        <f>IF(FT!A1007&lt;&gt;"",FT!A1007*10,"")</f>
        <v/>
      </c>
      <c r="G1007" s="60" t="str">
        <f>IF(FT!B1007&lt;&gt;"",FT!B1007*100,"")</f>
        <v/>
      </c>
      <c r="H1007" s="60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0" t="str">
        <f>IF(FT!A1008&lt;&gt;"",FT!A1008*10,"")</f>
        <v/>
      </c>
      <c r="G1008" s="60" t="str">
        <f>IF(FT!B1008&lt;&gt;"",FT!B1008*100,"")</f>
        <v/>
      </c>
      <c r="H1008" s="60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0" t="str">
        <f>IF(FT!A1009&lt;&gt;"",FT!A1009*10,"")</f>
        <v/>
      </c>
      <c r="G1009" s="60" t="str">
        <f>IF(FT!B1009&lt;&gt;"",FT!B1009*100,"")</f>
        <v/>
      </c>
      <c r="H1009" s="60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0" t="str">
        <f>IF(FT!A1010&lt;&gt;"",FT!A1010*10,"")</f>
        <v/>
      </c>
      <c r="G1010" s="60" t="str">
        <f>IF(FT!B1010&lt;&gt;"",FT!B1010*100,"")</f>
        <v/>
      </c>
      <c r="H1010" s="60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0" t="str">
        <f>IF(FT!A1011&lt;&gt;"",FT!A1011*10,"")</f>
        <v/>
      </c>
      <c r="G1011" s="60" t="str">
        <f>IF(FT!B1011&lt;&gt;"",FT!B1011*100,"")</f>
        <v/>
      </c>
      <c r="H1011" s="60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0" t="str">
        <f>IF(FT!A1012&lt;&gt;"",FT!A1012*10,"")</f>
        <v/>
      </c>
      <c r="G1012" s="60" t="str">
        <f>IF(FT!B1012&lt;&gt;"",FT!B1012*100,"")</f>
        <v/>
      </c>
      <c r="H1012" s="60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0" t="str">
        <f>IF(FT!A1013&lt;&gt;"",FT!A1013*10,"")</f>
        <v/>
      </c>
      <c r="G1013" s="60" t="str">
        <f>IF(FT!B1013&lt;&gt;"",FT!B1013*100,"")</f>
        <v/>
      </c>
      <c r="H1013" s="60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0" t="str">
        <f>IF(FT!A1014&lt;&gt;"",FT!A1014*10,"")</f>
        <v/>
      </c>
      <c r="G1014" s="60" t="str">
        <f>IF(FT!B1014&lt;&gt;"",FT!B1014*100,"")</f>
        <v/>
      </c>
      <c r="H1014" s="60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0" t="str">
        <f>IF(FT!A1015&lt;&gt;"",FT!A1015*10,"")</f>
        <v/>
      </c>
      <c r="G1015" s="60" t="str">
        <f>IF(FT!B1015&lt;&gt;"",FT!B1015*100,"")</f>
        <v/>
      </c>
      <c r="H1015" s="60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0" t="str">
        <f>IF(FT!A1016&lt;&gt;"",FT!A1016*10,"")</f>
        <v/>
      </c>
      <c r="G1016" s="60" t="str">
        <f>IF(FT!B1016&lt;&gt;"",FT!B1016*100,"")</f>
        <v/>
      </c>
      <c r="H1016" s="60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0" t="str">
        <f>IF(FT!A1017&lt;&gt;"",FT!A1017*10,"")</f>
        <v/>
      </c>
      <c r="G1017" s="60" t="str">
        <f>IF(FT!B1017&lt;&gt;"",FT!B1017*100,"")</f>
        <v/>
      </c>
      <c r="H1017" s="60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0" t="str">
        <f>IF(FT!A1018&lt;&gt;"",FT!A1018*10,"")</f>
        <v/>
      </c>
      <c r="G1018" s="60" t="str">
        <f>IF(FT!B1018&lt;&gt;"",FT!B1018*100,"")</f>
        <v/>
      </c>
      <c r="H1018" s="60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0" t="str">
        <f>IF(FT!A1019&lt;&gt;"",FT!A1019*10,"")</f>
        <v/>
      </c>
      <c r="G1019" s="60" t="str">
        <f>IF(FT!B1019&lt;&gt;"",FT!B1019*100,"")</f>
        <v/>
      </c>
      <c r="H1019" s="60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0" t="str">
        <f>IF(FT!A1020&lt;&gt;"",FT!A1020*10,"")</f>
        <v/>
      </c>
      <c r="G1020" s="60" t="str">
        <f>IF(FT!B1020&lt;&gt;"",FT!B1020*100,"")</f>
        <v/>
      </c>
      <c r="H1020" s="60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0" t="str">
        <f>IF(FT!A1021&lt;&gt;"",FT!A1021*10,"")</f>
        <v/>
      </c>
      <c r="G1021" s="60" t="str">
        <f>IF(FT!B1021&lt;&gt;"",FT!B1021*100,"")</f>
        <v/>
      </c>
      <c r="H1021" s="60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0" t="str">
        <f>IF(FT!A1022&lt;&gt;"",FT!A1022*10,"")</f>
        <v/>
      </c>
      <c r="G1022" s="60" t="str">
        <f>IF(FT!B1022&lt;&gt;"",FT!B1022*100,"")</f>
        <v/>
      </c>
      <c r="H1022" s="60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0" t="str">
        <f>IF(FT!A1023&lt;&gt;"",FT!A1023*10,"")</f>
        <v/>
      </c>
      <c r="G1023" s="60" t="str">
        <f>IF(FT!B1023&lt;&gt;"",FT!B1023*100,"")</f>
        <v/>
      </c>
      <c r="H1023" s="60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0" t="str">
        <f>IF(FT!A1024&lt;&gt;"",FT!A1024*10,"")</f>
        <v/>
      </c>
      <c r="G1024" s="60" t="str">
        <f>IF(FT!B1024&lt;&gt;"",FT!B1024*100,"")</f>
        <v/>
      </c>
      <c r="H1024" s="60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0" t="str">
        <f>IF(FT!A1025&lt;&gt;"",FT!A1025*10,"")</f>
        <v/>
      </c>
      <c r="G1025" s="60" t="str">
        <f>IF(FT!B1025&lt;&gt;"",FT!B1025*100,"")</f>
        <v/>
      </c>
      <c r="H1025" s="60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0" t="str">
        <f>IF(FT!A1026&lt;&gt;"",FT!A1026*10,"")</f>
        <v/>
      </c>
      <c r="G1026" s="60" t="str">
        <f>IF(FT!B1026&lt;&gt;"",FT!B1026*100,"")</f>
        <v/>
      </c>
      <c r="H1026" s="60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0" t="str">
        <f>IF(FT!A1027&lt;&gt;"",FT!A1027*10,"")</f>
        <v/>
      </c>
      <c r="G1027" s="60" t="str">
        <f>IF(FT!B1027&lt;&gt;"",FT!B1027*100,"")</f>
        <v/>
      </c>
      <c r="H1027" s="60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0" t="str">
        <f>IF(FT!A1028&lt;&gt;"",FT!A1028*10,"")</f>
        <v/>
      </c>
      <c r="G1028" s="60" t="str">
        <f>IF(FT!B1028&lt;&gt;"",FT!B1028*100,"")</f>
        <v/>
      </c>
      <c r="H1028" s="60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0" t="str">
        <f>IF(FT!A1029&lt;&gt;"",FT!A1029*10,"")</f>
        <v/>
      </c>
      <c r="G1029" s="60" t="str">
        <f>IF(FT!B1029&lt;&gt;"",FT!B1029*100,"")</f>
        <v/>
      </c>
      <c r="H1029" s="60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0" t="str">
        <f>IF(FT!A1030&lt;&gt;"",FT!A1030*10,"")</f>
        <v/>
      </c>
      <c r="G1030" s="60" t="str">
        <f>IF(FT!B1030&lt;&gt;"",FT!B1030*100,"")</f>
        <v/>
      </c>
      <c r="H1030" s="60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0" t="str">
        <f>IF(FT!A1031&lt;&gt;"",FT!A1031*10,"")</f>
        <v/>
      </c>
      <c r="G1031" s="60" t="str">
        <f>IF(FT!B1031&lt;&gt;"",FT!B1031*100,"")</f>
        <v/>
      </c>
      <c r="H1031" s="60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0" t="str">
        <f>IF(FT!A1032&lt;&gt;"",FT!A1032*10,"")</f>
        <v/>
      </c>
      <c r="G1032" s="60" t="str">
        <f>IF(FT!B1032&lt;&gt;"",FT!B1032*100,"")</f>
        <v/>
      </c>
      <c r="H1032" s="60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0" t="str">
        <f>IF(FT!A1033&lt;&gt;"",FT!A1033*10,"")</f>
        <v/>
      </c>
      <c r="G1033" s="60" t="str">
        <f>IF(FT!B1033&lt;&gt;"",FT!B1033*100,"")</f>
        <v/>
      </c>
      <c r="H1033" s="60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0" t="str">
        <f>IF(FT!A1034&lt;&gt;"",FT!A1034*10,"")</f>
        <v/>
      </c>
      <c r="G1034" s="60" t="str">
        <f>IF(FT!B1034&lt;&gt;"",FT!B1034*100,"")</f>
        <v/>
      </c>
      <c r="H1034" s="60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0" t="str">
        <f>IF(FT!A1035&lt;&gt;"",FT!A1035*10,"")</f>
        <v/>
      </c>
      <c r="G1035" s="60" t="str">
        <f>IF(FT!B1035&lt;&gt;"",FT!B1035*100,"")</f>
        <v/>
      </c>
      <c r="H1035" s="60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0" t="str">
        <f>IF(FT!A1036&lt;&gt;"",FT!A1036*10,"")</f>
        <v/>
      </c>
      <c r="G1036" s="60" t="str">
        <f>IF(FT!B1036&lt;&gt;"",FT!B1036*100,"")</f>
        <v/>
      </c>
      <c r="H1036" s="60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0" t="str">
        <f>IF(FT!A1037&lt;&gt;"",FT!A1037*10,"")</f>
        <v/>
      </c>
      <c r="G1037" s="60" t="str">
        <f>IF(FT!B1037&lt;&gt;"",FT!B1037*100,"")</f>
        <v/>
      </c>
      <c r="H1037" s="60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0" t="str">
        <f>IF(FT!A1038&lt;&gt;"",FT!A1038*10,"")</f>
        <v/>
      </c>
      <c r="G1038" s="60" t="str">
        <f>IF(FT!B1038&lt;&gt;"",FT!B1038*100,"")</f>
        <v/>
      </c>
      <c r="H1038" s="60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0" t="str">
        <f>IF(FT!A1039&lt;&gt;"",FT!A1039*10,"")</f>
        <v/>
      </c>
      <c r="G1039" s="60" t="str">
        <f>IF(FT!B1039&lt;&gt;"",FT!B1039*100,"")</f>
        <v/>
      </c>
      <c r="H1039" s="60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0" t="str">
        <f>IF(FT!A1040&lt;&gt;"",FT!A1040*10,"")</f>
        <v/>
      </c>
      <c r="G1040" s="60" t="str">
        <f>IF(FT!B1040&lt;&gt;"",FT!B1040*100,"")</f>
        <v/>
      </c>
      <c r="H1040" s="60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0" t="str">
        <f>IF(FT!A1041&lt;&gt;"",FT!A1041*10,"")</f>
        <v/>
      </c>
      <c r="G1041" s="60" t="str">
        <f>IF(FT!B1041&lt;&gt;"",FT!B1041*100,"")</f>
        <v/>
      </c>
      <c r="H1041" s="60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0" t="str">
        <f>IF(FT!A1042&lt;&gt;"",FT!A1042*10,"")</f>
        <v/>
      </c>
      <c r="G1042" s="60" t="str">
        <f>IF(FT!B1042&lt;&gt;"",FT!B1042*100,"")</f>
        <v/>
      </c>
      <c r="H1042" s="60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0" t="str">
        <f>IF(FT!A1043&lt;&gt;"",FT!A1043*10,"")</f>
        <v/>
      </c>
      <c r="G1043" s="60" t="str">
        <f>IF(FT!B1043&lt;&gt;"",FT!B1043*100,"")</f>
        <v/>
      </c>
      <c r="H1043" s="60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0" t="str">
        <f>IF(FT!A1044&lt;&gt;"",FT!A1044*10,"")</f>
        <v/>
      </c>
      <c r="G1044" s="60" t="str">
        <f>IF(FT!B1044&lt;&gt;"",FT!B1044*100,"")</f>
        <v/>
      </c>
      <c r="H1044" s="60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0" t="str">
        <f>IF(FT!A1045&lt;&gt;"",FT!A1045*10,"")</f>
        <v/>
      </c>
      <c r="G1045" s="60" t="str">
        <f>IF(FT!B1045&lt;&gt;"",FT!B1045*100,"")</f>
        <v/>
      </c>
      <c r="H1045" s="60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0" t="str">
        <f>IF(FT!A1046&lt;&gt;"",FT!A1046*10,"")</f>
        <v/>
      </c>
      <c r="G1046" s="60" t="str">
        <f>IF(FT!B1046&lt;&gt;"",FT!B1046*100,"")</f>
        <v/>
      </c>
      <c r="H1046" s="60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0" t="str">
        <f>IF(FT!A1047&lt;&gt;"",FT!A1047*10,"")</f>
        <v/>
      </c>
      <c r="G1047" s="60" t="str">
        <f>IF(FT!B1047&lt;&gt;"",FT!B1047*100,"")</f>
        <v/>
      </c>
      <c r="H1047" s="60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0" t="str">
        <f>IF(FT!A1048&lt;&gt;"",FT!A1048*10,"")</f>
        <v/>
      </c>
      <c r="G1048" s="60" t="str">
        <f>IF(FT!B1048&lt;&gt;"",FT!B1048*100,"")</f>
        <v/>
      </c>
      <c r="H1048" s="60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0" t="str">
        <f>IF(FT!A1049&lt;&gt;"",FT!A1049*10,"")</f>
        <v/>
      </c>
      <c r="G1049" s="60" t="str">
        <f>IF(FT!B1049&lt;&gt;"",FT!B1049*100,"")</f>
        <v/>
      </c>
      <c r="H1049" s="60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0" t="str">
        <f>IF(FT!A1050&lt;&gt;"",FT!A1050*10,"")</f>
        <v/>
      </c>
      <c r="G1050" s="60" t="str">
        <f>IF(FT!B1050&lt;&gt;"",FT!B1050*100,"")</f>
        <v/>
      </c>
      <c r="H1050" s="60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0" t="str">
        <f>IF(FT!A1051&lt;&gt;"",FT!A1051*10,"")</f>
        <v/>
      </c>
      <c r="G1051" s="60" t="str">
        <f>IF(FT!B1051&lt;&gt;"",FT!B1051*100,"")</f>
        <v/>
      </c>
      <c r="H1051" s="60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0" t="str">
        <f>IF(FT!A1052&lt;&gt;"",FT!A1052*10,"")</f>
        <v/>
      </c>
      <c r="G1052" s="60" t="str">
        <f>IF(FT!B1052&lt;&gt;"",FT!B1052*100,"")</f>
        <v/>
      </c>
      <c r="H1052" s="60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0" t="str">
        <f>IF(FT!A1053&lt;&gt;"",FT!A1053*10,"")</f>
        <v/>
      </c>
      <c r="G1053" s="60" t="str">
        <f>IF(FT!B1053&lt;&gt;"",FT!B1053*100,"")</f>
        <v/>
      </c>
      <c r="H1053" s="60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0" t="str">
        <f>IF(FT!A1054&lt;&gt;"",FT!A1054*10,"")</f>
        <v/>
      </c>
      <c r="G1054" s="60" t="str">
        <f>IF(FT!B1054&lt;&gt;"",FT!B1054*100,"")</f>
        <v/>
      </c>
      <c r="H1054" s="60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0" t="str">
        <f>IF(FT!A1055&lt;&gt;"",FT!A1055*10,"")</f>
        <v/>
      </c>
      <c r="G1055" s="60" t="str">
        <f>IF(FT!B1055&lt;&gt;"",FT!B1055*100,"")</f>
        <v/>
      </c>
      <c r="H1055" s="60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0" t="str">
        <f>IF(FT!A1056&lt;&gt;"",FT!A1056*10,"")</f>
        <v/>
      </c>
      <c r="G1056" s="60" t="str">
        <f>IF(FT!B1056&lt;&gt;"",FT!B1056*100,"")</f>
        <v/>
      </c>
      <c r="H1056" s="60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0" t="str">
        <f>IF(FT!A1057&lt;&gt;"",FT!A1057*10,"")</f>
        <v/>
      </c>
      <c r="G1057" s="60" t="str">
        <f>IF(FT!B1057&lt;&gt;"",FT!B1057*100,"")</f>
        <v/>
      </c>
      <c r="H1057" s="60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0" t="str">
        <f>IF(FT!A1058&lt;&gt;"",FT!A1058*10,"")</f>
        <v/>
      </c>
      <c r="G1058" s="60" t="str">
        <f>IF(FT!B1058&lt;&gt;"",FT!B1058*100,"")</f>
        <v/>
      </c>
      <c r="H1058" s="60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0" t="str">
        <f>IF(FT!A1059&lt;&gt;"",FT!A1059*10,"")</f>
        <v/>
      </c>
      <c r="G1059" s="60" t="str">
        <f>IF(FT!B1059&lt;&gt;"",FT!B1059*100,"")</f>
        <v/>
      </c>
      <c r="H1059" s="60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0" t="str">
        <f>IF(FT!A1060&lt;&gt;"",FT!A1060*10,"")</f>
        <v/>
      </c>
      <c r="G1060" s="60" t="str">
        <f>IF(FT!B1060&lt;&gt;"",FT!B1060*100,"")</f>
        <v/>
      </c>
      <c r="H1060" s="60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0" t="str">
        <f>IF(FT!A1061&lt;&gt;"",FT!A1061*10,"")</f>
        <v/>
      </c>
      <c r="G1061" s="60" t="str">
        <f>IF(FT!B1061&lt;&gt;"",FT!B1061*100,"")</f>
        <v/>
      </c>
      <c r="H1061" s="60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0" t="str">
        <f>IF(FT!A1062&lt;&gt;"",FT!A1062*10,"")</f>
        <v/>
      </c>
      <c r="G1062" s="60" t="str">
        <f>IF(FT!B1062&lt;&gt;"",FT!B1062*100,"")</f>
        <v/>
      </c>
      <c r="H1062" s="60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0" t="str">
        <f>IF(FT!A1063&lt;&gt;"",FT!A1063*10,"")</f>
        <v/>
      </c>
      <c r="G1063" s="60" t="str">
        <f>IF(FT!B1063&lt;&gt;"",FT!B1063*100,"")</f>
        <v/>
      </c>
      <c r="H1063" s="60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0" t="str">
        <f>IF(FT!A1064&lt;&gt;"",FT!A1064*10,"")</f>
        <v/>
      </c>
      <c r="G1064" s="60" t="str">
        <f>IF(FT!B1064&lt;&gt;"",FT!B1064*100,"")</f>
        <v/>
      </c>
      <c r="H1064" s="60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0" t="str">
        <f>IF(FT!A1065&lt;&gt;"",FT!A1065*10,"")</f>
        <v/>
      </c>
      <c r="G1065" s="60" t="str">
        <f>IF(FT!B1065&lt;&gt;"",FT!B1065*100,"")</f>
        <v/>
      </c>
      <c r="H1065" s="60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0" t="str">
        <f>IF(FT!A1066&lt;&gt;"",FT!A1066*10,"")</f>
        <v/>
      </c>
      <c r="G1066" s="60" t="str">
        <f>IF(FT!B1066&lt;&gt;"",FT!B1066*100,"")</f>
        <v/>
      </c>
      <c r="H1066" s="60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0" t="str">
        <f>IF(FT!A1067&lt;&gt;"",FT!A1067*10,"")</f>
        <v/>
      </c>
      <c r="G1067" s="60" t="str">
        <f>IF(FT!B1067&lt;&gt;"",FT!B1067*100,"")</f>
        <v/>
      </c>
      <c r="H1067" s="60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0" t="str">
        <f>IF(FT!A1068&lt;&gt;"",FT!A1068*10,"")</f>
        <v/>
      </c>
      <c r="G1068" s="60" t="str">
        <f>IF(FT!B1068&lt;&gt;"",FT!B1068*100,"")</f>
        <v/>
      </c>
      <c r="H1068" s="60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0" t="str">
        <f>IF(FT!A1069&lt;&gt;"",FT!A1069*10,"")</f>
        <v/>
      </c>
      <c r="G1069" s="60" t="str">
        <f>IF(FT!B1069&lt;&gt;"",FT!B1069*100,"")</f>
        <v/>
      </c>
      <c r="H1069" s="60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0" t="str">
        <f>IF(FT!A1070&lt;&gt;"",FT!A1070*10,"")</f>
        <v/>
      </c>
      <c r="G1070" s="60" t="str">
        <f>IF(FT!B1070&lt;&gt;"",FT!B1070*100,"")</f>
        <v/>
      </c>
      <c r="H1070" s="60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0" t="str">
        <f>IF(FT!A1071&lt;&gt;"",FT!A1071*10,"")</f>
        <v/>
      </c>
      <c r="G1071" s="60" t="str">
        <f>IF(FT!B1071&lt;&gt;"",FT!B1071*100,"")</f>
        <v/>
      </c>
      <c r="H1071" s="60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0" t="str">
        <f>IF(FT!A1072&lt;&gt;"",FT!A1072*10,"")</f>
        <v/>
      </c>
      <c r="G1072" s="60" t="str">
        <f>IF(FT!B1072&lt;&gt;"",FT!B1072*100,"")</f>
        <v/>
      </c>
      <c r="H1072" s="60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0" t="str">
        <f>IF(FT!A1073&lt;&gt;"",FT!A1073*10,"")</f>
        <v/>
      </c>
      <c r="G1073" s="60" t="str">
        <f>IF(FT!B1073&lt;&gt;"",FT!B1073*100,"")</f>
        <v/>
      </c>
      <c r="H1073" s="60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0" t="str">
        <f>IF(FT!A1074&lt;&gt;"",FT!A1074*10,"")</f>
        <v/>
      </c>
      <c r="G1074" s="60" t="str">
        <f>IF(FT!B1074&lt;&gt;"",FT!B1074*100,"")</f>
        <v/>
      </c>
      <c r="H1074" s="60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0" t="str">
        <f>IF(FT!A1075&lt;&gt;"",FT!A1075*10,"")</f>
        <v/>
      </c>
      <c r="G1075" s="60" t="str">
        <f>IF(FT!B1075&lt;&gt;"",FT!B1075*100,"")</f>
        <v/>
      </c>
      <c r="H1075" s="60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0" t="str">
        <f>IF(FT!A1076&lt;&gt;"",FT!A1076*10,"")</f>
        <v/>
      </c>
      <c r="G1076" s="60" t="str">
        <f>IF(FT!B1076&lt;&gt;"",FT!B1076*100,"")</f>
        <v/>
      </c>
      <c r="H1076" s="60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0" t="str">
        <f>IF(FT!A1077&lt;&gt;"",FT!A1077*10,"")</f>
        <v/>
      </c>
      <c r="G1077" s="60" t="str">
        <f>IF(FT!B1077&lt;&gt;"",FT!B1077*100,"")</f>
        <v/>
      </c>
      <c r="H1077" s="60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0" t="str">
        <f>IF(FT!A1078&lt;&gt;"",FT!A1078*10,"")</f>
        <v/>
      </c>
      <c r="G1078" s="60" t="str">
        <f>IF(FT!B1078&lt;&gt;"",FT!B1078*100,"")</f>
        <v/>
      </c>
      <c r="H1078" s="60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0" t="str">
        <f>IF(FT!A1079&lt;&gt;"",FT!A1079*10,"")</f>
        <v/>
      </c>
      <c r="G1079" s="60" t="str">
        <f>IF(FT!B1079&lt;&gt;"",FT!B1079*100,"")</f>
        <v/>
      </c>
      <c r="H1079" s="60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0" t="str">
        <f>IF(FT!A1080&lt;&gt;"",FT!A1080*10,"")</f>
        <v/>
      </c>
      <c r="G1080" s="60" t="str">
        <f>IF(FT!B1080&lt;&gt;"",FT!B1080*100,"")</f>
        <v/>
      </c>
      <c r="H1080" s="60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0" t="str">
        <f>IF(FT!A1081&lt;&gt;"",FT!A1081*10,"")</f>
        <v/>
      </c>
      <c r="G1081" s="60" t="str">
        <f>IF(FT!B1081&lt;&gt;"",FT!B1081*100,"")</f>
        <v/>
      </c>
      <c r="H1081" s="60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0" t="str">
        <f>IF(FT!A1082&lt;&gt;"",FT!A1082*10,"")</f>
        <v/>
      </c>
      <c r="G1082" s="60" t="str">
        <f>IF(FT!B1082&lt;&gt;"",FT!B1082*100,"")</f>
        <v/>
      </c>
      <c r="H1082" s="60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0" t="str">
        <f>IF(FT!A1083&lt;&gt;"",FT!A1083*10,"")</f>
        <v/>
      </c>
      <c r="G1083" s="60" t="str">
        <f>IF(FT!B1083&lt;&gt;"",FT!B1083*100,"")</f>
        <v/>
      </c>
      <c r="H1083" s="60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0" t="str">
        <f>IF(FT!A1084&lt;&gt;"",FT!A1084*10,"")</f>
        <v/>
      </c>
      <c r="G1084" s="60" t="str">
        <f>IF(FT!B1084&lt;&gt;"",FT!B1084*100,"")</f>
        <v/>
      </c>
      <c r="H1084" s="60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0" t="str">
        <f>IF(FT!A1085&lt;&gt;"",FT!A1085*10,"")</f>
        <v/>
      </c>
      <c r="G1085" s="60" t="str">
        <f>IF(FT!B1085&lt;&gt;"",FT!B1085*100,"")</f>
        <v/>
      </c>
      <c r="H1085" s="60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0" t="str">
        <f>IF(FT!A1086&lt;&gt;"",FT!A1086*10,"")</f>
        <v/>
      </c>
      <c r="G1086" s="60" t="str">
        <f>IF(FT!B1086&lt;&gt;"",FT!B1086*100,"")</f>
        <v/>
      </c>
      <c r="H1086" s="60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0" t="str">
        <f>IF(FT!A1087&lt;&gt;"",FT!A1087*10,"")</f>
        <v/>
      </c>
      <c r="G1087" s="60" t="str">
        <f>IF(FT!B1087&lt;&gt;"",FT!B1087*100,"")</f>
        <v/>
      </c>
      <c r="H1087" s="60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0" t="str">
        <f>IF(FT!A1088&lt;&gt;"",FT!A1088*10,"")</f>
        <v/>
      </c>
      <c r="G1088" s="60" t="str">
        <f>IF(FT!B1088&lt;&gt;"",FT!B1088*100,"")</f>
        <v/>
      </c>
      <c r="H1088" s="60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0" t="str">
        <f>IF(FT!A1089&lt;&gt;"",FT!A1089*10,"")</f>
        <v/>
      </c>
      <c r="G1089" s="60" t="str">
        <f>IF(FT!B1089&lt;&gt;"",FT!B1089*100,"")</f>
        <v/>
      </c>
      <c r="H1089" s="60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0" t="str">
        <f>IF(FT!A1090&lt;&gt;"",FT!A1090*10,"")</f>
        <v/>
      </c>
      <c r="G1090" s="60" t="str">
        <f>IF(FT!B1090&lt;&gt;"",FT!B1090*100,"")</f>
        <v/>
      </c>
      <c r="H1090" s="60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0" t="str">
        <f>IF(FT!A1091&lt;&gt;"",FT!A1091*10,"")</f>
        <v/>
      </c>
      <c r="G1091" s="60" t="str">
        <f>IF(FT!B1091&lt;&gt;"",FT!B1091*100,"")</f>
        <v/>
      </c>
      <c r="H1091" s="60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0" t="str">
        <f>IF(FT!A1092&lt;&gt;"",FT!A1092*10,"")</f>
        <v/>
      </c>
      <c r="G1092" s="60" t="str">
        <f>IF(FT!B1092&lt;&gt;"",FT!B1092*100,"")</f>
        <v/>
      </c>
      <c r="H1092" s="60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0" t="str">
        <f>IF(FT!A1093&lt;&gt;"",FT!A1093*10,"")</f>
        <v/>
      </c>
      <c r="G1093" s="60" t="str">
        <f>IF(FT!B1093&lt;&gt;"",FT!B1093*100,"")</f>
        <v/>
      </c>
      <c r="H1093" s="60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0" t="str">
        <f>IF(FT!A1094&lt;&gt;"",FT!A1094*10,"")</f>
        <v/>
      </c>
      <c r="G1094" s="60" t="str">
        <f>IF(FT!B1094&lt;&gt;"",FT!B1094*100,"")</f>
        <v/>
      </c>
      <c r="H1094" s="60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0" t="str">
        <f>IF(FT!A1095&lt;&gt;"",FT!A1095*10,"")</f>
        <v/>
      </c>
      <c r="G1095" s="60" t="str">
        <f>IF(FT!B1095&lt;&gt;"",FT!B1095*100,"")</f>
        <v/>
      </c>
      <c r="H1095" s="60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0" t="str">
        <f>IF(FT!A1096&lt;&gt;"",FT!A1096*10,"")</f>
        <v/>
      </c>
      <c r="G1096" s="60" t="str">
        <f>IF(FT!B1096&lt;&gt;"",FT!B1096*100,"")</f>
        <v/>
      </c>
      <c r="H1096" s="60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0" t="str">
        <f>IF(FT!A1097&lt;&gt;"",FT!A1097*10,"")</f>
        <v/>
      </c>
      <c r="G1097" s="60" t="str">
        <f>IF(FT!B1097&lt;&gt;"",FT!B1097*100,"")</f>
        <v/>
      </c>
      <c r="H1097" s="60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0" t="str">
        <f>IF(FT!A1098&lt;&gt;"",FT!A1098*10,"")</f>
        <v/>
      </c>
      <c r="G1098" s="60" t="str">
        <f>IF(FT!B1098&lt;&gt;"",FT!B1098*100,"")</f>
        <v/>
      </c>
      <c r="H1098" s="60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0" t="str">
        <f>IF(FT!A1099&lt;&gt;"",FT!A1099*10,"")</f>
        <v/>
      </c>
      <c r="G1099" s="60" t="str">
        <f>IF(FT!B1099&lt;&gt;"",FT!B1099*100,"")</f>
        <v/>
      </c>
      <c r="H1099" s="60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0" t="str">
        <f>IF(FT!A1100&lt;&gt;"",FT!A1100*10,"")</f>
        <v/>
      </c>
      <c r="G1100" s="60" t="str">
        <f>IF(FT!B1100&lt;&gt;"",FT!B1100*100,"")</f>
        <v/>
      </c>
      <c r="H1100" s="60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0" t="str">
        <f>IF(FT!A1101&lt;&gt;"",FT!A1101*10,"")</f>
        <v/>
      </c>
      <c r="G1101" s="60" t="str">
        <f>IF(FT!B1101&lt;&gt;"",FT!B1101*100,"")</f>
        <v/>
      </c>
      <c r="H1101" s="60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0" t="str">
        <f>IF(FT!A1102&lt;&gt;"",FT!A1102*10,"")</f>
        <v/>
      </c>
      <c r="G1102" s="60" t="str">
        <f>IF(FT!B1102&lt;&gt;"",FT!B1102*100,"")</f>
        <v/>
      </c>
      <c r="H1102" s="60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0" t="str">
        <f>IF(FT!A1103&lt;&gt;"",FT!A1103*10,"")</f>
        <v/>
      </c>
      <c r="G1103" s="60" t="str">
        <f>IF(FT!B1103&lt;&gt;"",FT!B1103*100,"")</f>
        <v/>
      </c>
      <c r="H1103" s="60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0" t="str">
        <f>IF(FT!A1104&lt;&gt;"",FT!A1104*10,"")</f>
        <v/>
      </c>
      <c r="G1104" s="60" t="str">
        <f>IF(FT!B1104&lt;&gt;"",FT!B1104*100,"")</f>
        <v/>
      </c>
      <c r="H1104" s="60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0" t="str">
        <f>IF(FT!A1105&lt;&gt;"",FT!A1105*10,"")</f>
        <v/>
      </c>
      <c r="G1105" s="60" t="str">
        <f>IF(FT!B1105&lt;&gt;"",FT!B1105*100,"")</f>
        <v/>
      </c>
      <c r="H1105" s="60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0" t="str">
        <f>IF(FT!A1106&lt;&gt;"",FT!A1106*10,"")</f>
        <v/>
      </c>
      <c r="G1106" s="60" t="str">
        <f>IF(FT!B1106&lt;&gt;"",FT!B1106*100,"")</f>
        <v/>
      </c>
      <c r="H1106" s="60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0" t="str">
        <f>IF(FT!A1107&lt;&gt;"",FT!A1107*10,"")</f>
        <v/>
      </c>
      <c r="G1107" s="60" t="str">
        <f>IF(FT!B1107&lt;&gt;"",FT!B1107*100,"")</f>
        <v/>
      </c>
      <c r="H1107" s="60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0" t="str">
        <f>IF(FT!A1108&lt;&gt;"",FT!A1108*10,"")</f>
        <v/>
      </c>
      <c r="G1108" s="60" t="str">
        <f>IF(FT!B1108&lt;&gt;"",FT!B1108*100,"")</f>
        <v/>
      </c>
      <c r="H1108" s="60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0" t="str">
        <f>IF(FT!A1109&lt;&gt;"",FT!A1109*10,"")</f>
        <v/>
      </c>
      <c r="G1109" s="60" t="str">
        <f>IF(FT!B1109&lt;&gt;"",FT!B1109*100,"")</f>
        <v/>
      </c>
      <c r="H1109" s="60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0" t="str">
        <f>IF(FT!A1110&lt;&gt;"",FT!A1110*10,"")</f>
        <v/>
      </c>
      <c r="G1110" s="60" t="str">
        <f>IF(FT!B1110&lt;&gt;"",FT!B1110*100,"")</f>
        <v/>
      </c>
      <c r="H1110" s="60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0" t="str">
        <f>IF(FT!A1111&lt;&gt;"",FT!A1111*10,"")</f>
        <v/>
      </c>
      <c r="G1111" s="60" t="str">
        <f>IF(FT!B1111&lt;&gt;"",FT!B1111*100,"")</f>
        <v/>
      </c>
      <c r="H1111" s="60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0" t="str">
        <f>IF(FT!A1112&lt;&gt;"",FT!A1112*10,"")</f>
        <v/>
      </c>
      <c r="G1112" s="60" t="str">
        <f>IF(FT!B1112&lt;&gt;"",FT!B1112*100,"")</f>
        <v/>
      </c>
      <c r="H1112" s="60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0" t="str">
        <f>IF(FT!A1113&lt;&gt;"",FT!A1113*10,"")</f>
        <v/>
      </c>
      <c r="G1113" s="60" t="str">
        <f>IF(FT!B1113&lt;&gt;"",FT!B1113*100,"")</f>
        <v/>
      </c>
      <c r="H1113" s="60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0" t="str">
        <f>IF(FT!A1114&lt;&gt;"",FT!A1114*10,"")</f>
        <v/>
      </c>
      <c r="G1114" s="60" t="str">
        <f>IF(FT!B1114&lt;&gt;"",FT!B1114*100,"")</f>
        <v/>
      </c>
      <c r="H1114" s="60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0" t="str">
        <f>IF(FT!A1115&lt;&gt;"",FT!A1115*10,"")</f>
        <v/>
      </c>
      <c r="G1115" s="60" t="str">
        <f>IF(FT!B1115&lt;&gt;"",FT!B1115*100,"")</f>
        <v/>
      </c>
      <c r="H1115" s="60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0" t="str">
        <f>IF(FT!A1116&lt;&gt;"",FT!A1116*10,"")</f>
        <v/>
      </c>
      <c r="G1116" s="60" t="str">
        <f>IF(FT!B1116&lt;&gt;"",FT!B1116*100,"")</f>
        <v/>
      </c>
      <c r="H1116" s="60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0" t="str">
        <f>IF(FT!A1117&lt;&gt;"",FT!A1117*10,"")</f>
        <v/>
      </c>
      <c r="G1117" s="60" t="str">
        <f>IF(FT!B1117&lt;&gt;"",FT!B1117*100,"")</f>
        <v/>
      </c>
      <c r="H1117" s="60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0" t="str">
        <f>IF(FT!A1118&lt;&gt;"",FT!A1118*10,"")</f>
        <v/>
      </c>
      <c r="G1118" s="60" t="str">
        <f>IF(FT!B1118&lt;&gt;"",FT!B1118*100,"")</f>
        <v/>
      </c>
      <c r="H1118" s="60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0" t="str">
        <f>IF(FT!A1119&lt;&gt;"",FT!A1119*10,"")</f>
        <v/>
      </c>
      <c r="G1119" s="60" t="str">
        <f>IF(FT!B1119&lt;&gt;"",FT!B1119*100,"")</f>
        <v/>
      </c>
      <c r="H1119" s="60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0" t="str">
        <f>IF(FT!A1120&lt;&gt;"",FT!A1120*10,"")</f>
        <v/>
      </c>
      <c r="G1120" s="60" t="str">
        <f>IF(FT!B1120&lt;&gt;"",FT!B1120*100,"")</f>
        <v/>
      </c>
      <c r="H1120" s="60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0" t="str">
        <f>IF(FT!A1121&lt;&gt;"",FT!A1121*10,"")</f>
        <v/>
      </c>
      <c r="G1121" s="60" t="str">
        <f>IF(FT!B1121&lt;&gt;"",FT!B1121*100,"")</f>
        <v/>
      </c>
      <c r="H1121" s="60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0" t="str">
        <f>IF(FT!A1122&lt;&gt;"",FT!A1122*10,"")</f>
        <v/>
      </c>
      <c r="G1122" s="60" t="str">
        <f>IF(FT!B1122&lt;&gt;"",FT!B1122*100,"")</f>
        <v/>
      </c>
      <c r="H1122" s="60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0" t="str">
        <f>IF(FT!A1123&lt;&gt;"",FT!A1123*10,"")</f>
        <v/>
      </c>
      <c r="G1123" s="60" t="str">
        <f>IF(FT!B1123&lt;&gt;"",FT!B1123*100,"")</f>
        <v/>
      </c>
      <c r="H1123" s="60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0" t="str">
        <f>IF(FT!A1124&lt;&gt;"",FT!A1124*10,"")</f>
        <v/>
      </c>
      <c r="G1124" s="60" t="str">
        <f>IF(FT!B1124&lt;&gt;"",FT!B1124*100,"")</f>
        <v/>
      </c>
      <c r="H1124" s="60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0" t="str">
        <f>IF(FT!A1125&lt;&gt;"",FT!A1125*10,"")</f>
        <v/>
      </c>
      <c r="G1125" s="60" t="str">
        <f>IF(FT!B1125&lt;&gt;"",FT!B1125*100,"")</f>
        <v/>
      </c>
      <c r="H1125" s="60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0" t="str">
        <f>IF(FT!A1126&lt;&gt;"",FT!A1126*10,"")</f>
        <v/>
      </c>
      <c r="G1126" s="60" t="str">
        <f>IF(FT!B1126&lt;&gt;"",FT!B1126*100,"")</f>
        <v/>
      </c>
      <c r="H1126" s="60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0" t="str">
        <f>IF(FT!A1127&lt;&gt;"",FT!A1127*10,"")</f>
        <v/>
      </c>
      <c r="G1127" s="60" t="str">
        <f>IF(FT!B1127&lt;&gt;"",FT!B1127*100,"")</f>
        <v/>
      </c>
      <c r="H1127" s="60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0" t="str">
        <f>IF(FT!A1128&lt;&gt;"",FT!A1128*10,"")</f>
        <v/>
      </c>
      <c r="G1128" s="60" t="str">
        <f>IF(FT!B1128&lt;&gt;"",FT!B1128*100,"")</f>
        <v/>
      </c>
      <c r="H1128" s="60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0" t="str">
        <f>IF(FT!A1129&lt;&gt;"",FT!A1129*10,"")</f>
        <v/>
      </c>
      <c r="G1129" s="60" t="str">
        <f>IF(FT!B1129&lt;&gt;"",FT!B1129*100,"")</f>
        <v/>
      </c>
      <c r="H1129" s="60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0" t="str">
        <f>IF(FT!A1130&lt;&gt;"",FT!A1130*10,"")</f>
        <v/>
      </c>
      <c r="G1130" s="60" t="str">
        <f>IF(FT!B1130&lt;&gt;"",FT!B1130*100,"")</f>
        <v/>
      </c>
      <c r="H1130" s="60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0" t="str">
        <f>IF(FT!A1131&lt;&gt;"",FT!A1131*10,"")</f>
        <v/>
      </c>
      <c r="G1131" s="60" t="str">
        <f>IF(FT!B1131&lt;&gt;"",FT!B1131*100,"")</f>
        <v/>
      </c>
      <c r="H1131" s="60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0" t="str">
        <f>IF(FT!A1132&lt;&gt;"",FT!A1132*10,"")</f>
        <v/>
      </c>
      <c r="G1132" s="60" t="str">
        <f>IF(FT!B1132&lt;&gt;"",FT!B1132*100,"")</f>
        <v/>
      </c>
      <c r="H1132" s="60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0" t="str">
        <f>IF(FT!A1133&lt;&gt;"",FT!A1133*10,"")</f>
        <v/>
      </c>
      <c r="G1133" s="60" t="str">
        <f>IF(FT!B1133&lt;&gt;"",FT!B1133*100,"")</f>
        <v/>
      </c>
      <c r="H1133" s="60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0" t="str">
        <f>IF(FT!A1134&lt;&gt;"",FT!A1134*10,"")</f>
        <v/>
      </c>
      <c r="G1134" s="60" t="str">
        <f>IF(FT!B1134&lt;&gt;"",FT!B1134*100,"")</f>
        <v/>
      </c>
      <c r="H1134" s="60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0" t="str">
        <f>IF(FT!A1135&lt;&gt;"",FT!A1135*10,"")</f>
        <v/>
      </c>
      <c r="G1135" s="60" t="str">
        <f>IF(FT!B1135&lt;&gt;"",FT!B1135*100,"")</f>
        <v/>
      </c>
      <c r="H1135" s="60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0" t="str">
        <f>IF(FT!A1136&lt;&gt;"",FT!A1136*10,"")</f>
        <v/>
      </c>
      <c r="G1136" s="60" t="str">
        <f>IF(FT!B1136&lt;&gt;"",FT!B1136*100,"")</f>
        <v/>
      </c>
      <c r="H1136" s="60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0" t="str">
        <f>IF(FT!A1137&lt;&gt;"",FT!A1137*10,"")</f>
        <v/>
      </c>
      <c r="G1137" s="60" t="str">
        <f>IF(FT!B1137&lt;&gt;"",FT!B1137*100,"")</f>
        <v/>
      </c>
      <c r="H1137" s="60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0" t="str">
        <f>IF(FT!A1138&lt;&gt;"",FT!A1138*10,"")</f>
        <v/>
      </c>
      <c r="G1138" s="60" t="str">
        <f>IF(FT!B1138&lt;&gt;"",FT!B1138*100,"")</f>
        <v/>
      </c>
      <c r="H1138" s="60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0" t="str">
        <f>IF(FT!A1139&lt;&gt;"",FT!A1139*10,"")</f>
        <v/>
      </c>
      <c r="G1139" s="60" t="str">
        <f>IF(FT!B1139&lt;&gt;"",FT!B1139*100,"")</f>
        <v/>
      </c>
      <c r="H1139" s="60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0" t="str">
        <f>IF(FT!A1140&lt;&gt;"",FT!A1140*10,"")</f>
        <v/>
      </c>
      <c r="G1140" s="60" t="str">
        <f>IF(FT!B1140&lt;&gt;"",FT!B1140*100,"")</f>
        <v/>
      </c>
      <c r="H1140" s="60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0" t="str">
        <f>IF(FT!A1141&lt;&gt;"",FT!A1141*10,"")</f>
        <v/>
      </c>
      <c r="G1141" s="60" t="str">
        <f>IF(FT!B1141&lt;&gt;"",FT!B1141*100,"")</f>
        <v/>
      </c>
      <c r="H1141" s="60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0" t="str">
        <f>IF(FT!A1142&lt;&gt;"",FT!A1142*10,"")</f>
        <v/>
      </c>
      <c r="G1142" s="60" t="str">
        <f>IF(FT!B1142&lt;&gt;"",FT!B1142*100,"")</f>
        <v/>
      </c>
      <c r="H1142" s="60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0" t="str">
        <f>IF(FT!A1143&lt;&gt;"",FT!A1143*10,"")</f>
        <v/>
      </c>
      <c r="G1143" s="60" t="str">
        <f>IF(FT!B1143&lt;&gt;"",FT!B1143*100,"")</f>
        <v/>
      </c>
      <c r="H1143" s="60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0" t="str">
        <f>IF(FT!A1144&lt;&gt;"",FT!A1144*10,"")</f>
        <v/>
      </c>
      <c r="G1144" s="60" t="str">
        <f>IF(FT!B1144&lt;&gt;"",FT!B1144*100,"")</f>
        <v/>
      </c>
      <c r="H1144" s="60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0" t="str">
        <f>IF(FT!A1145&lt;&gt;"",FT!A1145*10,"")</f>
        <v/>
      </c>
      <c r="G1145" s="60" t="str">
        <f>IF(FT!B1145&lt;&gt;"",FT!B1145*100,"")</f>
        <v/>
      </c>
      <c r="H1145" s="60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0" t="str">
        <f>IF(FT!A1146&lt;&gt;"",FT!A1146*10,"")</f>
        <v/>
      </c>
      <c r="G1146" s="60" t="str">
        <f>IF(FT!B1146&lt;&gt;"",FT!B1146*100,"")</f>
        <v/>
      </c>
      <c r="H1146" s="60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0" t="str">
        <f>IF(FT!A1147&lt;&gt;"",FT!A1147*10,"")</f>
        <v/>
      </c>
      <c r="G1147" s="60" t="str">
        <f>IF(FT!B1147&lt;&gt;"",FT!B1147*100,"")</f>
        <v/>
      </c>
      <c r="H1147" s="60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0" t="str">
        <f>IF(FT!A1148&lt;&gt;"",FT!A1148*10,"")</f>
        <v/>
      </c>
      <c r="G1148" s="60" t="str">
        <f>IF(FT!B1148&lt;&gt;"",FT!B1148*100,"")</f>
        <v/>
      </c>
      <c r="H1148" s="60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0" t="str">
        <f>IF(FT!A1149&lt;&gt;"",FT!A1149*10,"")</f>
        <v/>
      </c>
      <c r="G1149" s="60" t="str">
        <f>IF(FT!B1149&lt;&gt;"",FT!B1149*100,"")</f>
        <v/>
      </c>
      <c r="H1149" s="60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0" t="str">
        <f>IF(FT!A1150&lt;&gt;"",FT!A1150*10,"")</f>
        <v/>
      </c>
      <c r="G1150" s="60" t="str">
        <f>IF(FT!B1150&lt;&gt;"",FT!B1150*100,"")</f>
        <v/>
      </c>
      <c r="H1150" s="60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0" t="str">
        <f>IF(FT!A1151&lt;&gt;"",FT!A1151*10,"")</f>
        <v/>
      </c>
      <c r="G1151" s="60" t="str">
        <f>IF(FT!B1151&lt;&gt;"",FT!B1151*100,"")</f>
        <v/>
      </c>
      <c r="H1151" s="60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0" t="str">
        <f>IF(FT!A1152&lt;&gt;"",FT!A1152*10,"")</f>
        <v/>
      </c>
      <c r="G1152" s="60" t="str">
        <f>IF(FT!B1152&lt;&gt;"",FT!B1152*100,"")</f>
        <v/>
      </c>
      <c r="H1152" s="60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0" t="str">
        <f>IF(FT!A1153&lt;&gt;"",FT!A1153*10,"")</f>
        <v/>
      </c>
      <c r="G1153" s="60" t="str">
        <f>IF(FT!B1153&lt;&gt;"",FT!B1153*100,"")</f>
        <v/>
      </c>
      <c r="H1153" s="60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0" t="str">
        <f>IF(FT!A1154&lt;&gt;"",FT!A1154*10,"")</f>
        <v/>
      </c>
      <c r="G1154" s="60" t="str">
        <f>IF(FT!B1154&lt;&gt;"",FT!B1154*100,"")</f>
        <v/>
      </c>
      <c r="H1154" s="60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0" t="str">
        <f>IF(FT!A1155&lt;&gt;"",FT!A1155*10,"")</f>
        <v/>
      </c>
      <c r="G1155" s="60" t="str">
        <f>IF(FT!B1155&lt;&gt;"",FT!B1155*100,"")</f>
        <v/>
      </c>
      <c r="H1155" s="60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0" t="str">
        <f>IF(FT!A1156&lt;&gt;"",FT!A1156*10,"")</f>
        <v/>
      </c>
      <c r="G1156" s="60" t="str">
        <f>IF(FT!B1156&lt;&gt;"",FT!B1156*100,"")</f>
        <v/>
      </c>
      <c r="H1156" s="60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0" t="str">
        <f>IF(FT!A1157&lt;&gt;"",FT!A1157*10,"")</f>
        <v/>
      </c>
      <c r="G1157" s="60" t="str">
        <f>IF(FT!B1157&lt;&gt;"",FT!B1157*100,"")</f>
        <v/>
      </c>
      <c r="H1157" s="60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0" t="str">
        <f>IF(FT!A1158&lt;&gt;"",FT!A1158*10,"")</f>
        <v/>
      </c>
      <c r="G1158" s="60" t="str">
        <f>IF(FT!B1158&lt;&gt;"",FT!B1158*100,"")</f>
        <v/>
      </c>
      <c r="H1158" s="60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0" t="str">
        <f>IF(FT!A1159&lt;&gt;"",FT!A1159*10,"")</f>
        <v/>
      </c>
      <c r="G1159" s="60" t="str">
        <f>IF(FT!B1159&lt;&gt;"",FT!B1159*100,"")</f>
        <v/>
      </c>
      <c r="H1159" s="60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0" t="str">
        <f>IF(FT!A1160&lt;&gt;"",FT!A1160*10,"")</f>
        <v/>
      </c>
      <c r="G1160" s="60" t="str">
        <f>IF(FT!B1160&lt;&gt;"",FT!B1160*100,"")</f>
        <v/>
      </c>
      <c r="H1160" s="60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0" t="str">
        <f>IF(FT!A1161&lt;&gt;"",FT!A1161*10,"")</f>
        <v/>
      </c>
      <c r="G1161" s="60" t="str">
        <f>IF(FT!B1161&lt;&gt;"",FT!B1161*100,"")</f>
        <v/>
      </c>
      <c r="H1161" s="60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0" t="str">
        <f>IF(FT!A1162&lt;&gt;"",FT!A1162*10,"")</f>
        <v/>
      </c>
      <c r="G1162" s="60" t="str">
        <f>IF(FT!B1162&lt;&gt;"",FT!B1162*100,"")</f>
        <v/>
      </c>
      <c r="H1162" s="60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0" t="str">
        <f>IF(FT!A1163&lt;&gt;"",FT!A1163*10,"")</f>
        <v/>
      </c>
      <c r="G1163" s="60" t="str">
        <f>IF(FT!B1163&lt;&gt;"",FT!B1163*100,"")</f>
        <v/>
      </c>
      <c r="H1163" s="60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0" t="str">
        <f>IF(FT!A1164&lt;&gt;"",FT!A1164*10,"")</f>
        <v/>
      </c>
      <c r="G1164" s="60" t="str">
        <f>IF(FT!B1164&lt;&gt;"",FT!B1164*100,"")</f>
        <v/>
      </c>
      <c r="H1164" s="60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0" t="str">
        <f>IF(FT!A1165&lt;&gt;"",FT!A1165*10,"")</f>
        <v/>
      </c>
      <c r="G1165" s="60" t="str">
        <f>IF(FT!B1165&lt;&gt;"",FT!B1165*100,"")</f>
        <v/>
      </c>
      <c r="H1165" s="60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0" t="str">
        <f>IF(FT!A1166&lt;&gt;"",FT!A1166*10,"")</f>
        <v/>
      </c>
      <c r="G1166" s="60" t="str">
        <f>IF(FT!B1166&lt;&gt;"",FT!B1166*100,"")</f>
        <v/>
      </c>
      <c r="H1166" s="60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0" t="str">
        <f>IF(FT!A1167&lt;&gt;"",FT!A1167*10,"")</f>
        <v/>
      </c>
      <c r="G1167" s="60" t="str">
        <f>IF(FT!B1167&lt;&gt;"",FT!B1167*100,"")</f>
        <v/>
      </c>
      <c r="H1167" s="60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0" t="str">
        <f>IF(FT!A1168&lt;&gt;"",FT!A1168*10,"")</f>
        <v/>
      </c>
      <c r="G1168" s="60" t="str">
        <f>IF(FT!B1168&lt;&gt;"",FT!B1168*100,"")</f>
        <v/>
      </c>
      <c r="H1168" s="60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0" t="str">
        <f>IF(FT!A1169&lt;&gt;"",FT!A1169*10,"")</f>
        <v/>
      </c>
      <c r="G1169" s="60" t="str">
        <f>IF(FT!B1169&lt;&gt;"",FT!B1169*100,"")</f>
        <v/>
      </c>
      <c r="H1169" s="60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0" t="str">
        <f>IF(FT!A1170&lt;&gt;"",FT!A1170*10,"")</f>
        <v/>
      </c>
      <c r="G1170" s="60" t="str">
        <f>IF(FT!B1170&lt;&gt;"",FT!B1170*100,"")</f>
        <v/>
      </c>
      <c r="H1170" s="60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0" t="str">
        <f>IF(FT!A1171&lt;&gt;"",FT!A1171*10,"")</f>
        <v/>
      </c>
      <c r="G1171" s="60" t="str">
        <f>IF(FT!B1171&lt;&gt;"",FT!B1171*100,"")</f>
        <v/>
      </c>
      <c r="H1171" s="60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0" t="str">
        <f>IF(FT!A1172&lt;&gt;"",FT!A1172*10,"")</f>
        <v/>
      </c>
      <c r="G1172" s="60" t="str">
        <f>IF(FT!B1172&lt;&gt;"",FT!B1172*100,"")</f>
        <v/>
      </c>
      <c r="H1172" s="60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0" t="str">
        <f>IF(FT!A1173&lt;&gt;"",FT!A1173*10,"")</f>
        <v/>
      </c>
      <c r="G1173" s="60" t="str">
        <f>IF(FT!B1173&lt;&gt;"",FT!B1173*100,"")</f>
        <v/>
      </c>
      <c r="H1173" s="60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0" t="str">
        <f>IF(FT!A1174&lt;&gt;"",FT!A1174*10,"")</f>
        <v/>
      </c>
      <c r="G1174" s="60" t="str">
        <f>IF(FT!B1174&lt;&gt;"",FT!B1174*100,"")</f>
        <v/>
      </c>
      <c r="H1174" s="60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0" t="str">
        <f>IF(FT!A1175&lt;&gt;"",FT!A1175*10,"")</f>
        <v/>
      </c>
      <c r="G1175" s="60" t="str">
        <f>IF(FT!B1175&lt;&gt;"",FT!B1175*100,"")</f>
        <v/>
      </c>
      <c r="H1175" s="60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0" t="str">
        <f>IF(FT!A1176&lt;&gt;"",FT!A1176*10,"")</f>
        <v/>
      </c>
      <c r="G1176" s="60" t="str">
        <f>IF(FT!B1176&lt;&gt;"",FT!B1176*100,"")</f>
        <v/>
      </c>
      <c r="H1176" s="60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0" t="str">
        <f>IF(FT!A1177&lt;&gt;"",FT!A1177*10,"")</f>
        <v/>
      </c>
      <c r="G1177" s="60" t="str">
        <f>IF(FT!B1177&lt;&gt;"",FT!B1177*100,"")</f>
        <v/>
      </c>
      <c r="H1177" s="60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0" t="str">
        <f>IF(FT!A1178&lt;&gt;"",FT!A1178*10,"")</f>
        <v/>
      </c>
      <c r="G1178" s="60" t="str">
        <f>IF(FT!B1178&lt;&gt;"",FT!B1178*100,"")</f>
        <v/>
      </c>
      <c r="H1178" s="60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0" t="str">
        <f>IF(FT!A1179&lt;&gt;"",FT!A1179*10,"")</f>
        <v/>
      </c>
      <c r="G1179" s="60" t="str">
        <f>IF(FT!B1179&lt;&gt;"",FT!B1179*100,"")</f>
        <v/>
      </c>
      <c r="H1179" s="60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0" t="str">
        <f>IF(FT!A1180&lt;&gt;"",FT!A1180*10,"")</f>
        <v/>
      </c>
      <c r="G1180" s="60" t="str">
        <f>IF(FT!B1180&lt;&gt;"",FT!B1180*100,"")</f>
        <v/>
      </c>
      <c r="H1180" s="60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0" t="str">
        <f>IF(FT!A1181&lt;&gt;"",FT!A1181*10,"")</f>
        <v/>
      </c>
      <c r="G1181" s="60" t="str">
        <f>IF(FT!B1181&lt;&gt;"",FT!B1181*100,"")</f>
        <v/>
      </c>
      <c r="H1181" s="60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0" t="str">
        <f>IF(FT!A1182&lt;&gt;"",FT!A1182*10,"")</f>
        <v/>
      </c>
      <c r="G1182" s="60" t="str">
        <f>IF(FT!B1182&lt;&gt;"",FT!B1182*100,"")</f>
        <v/>
      </c>
      <c r="H1182" s="60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0" t="str">
        <f>IF(FT!A1183&lt;&gt;"",FT!A1183*10,"")</f>
        <v/>
      </c>
      <c r="G1183" s="60" t="str">
        <f>IF(FT!B1183&lt;&gt;"",FT!B1183*100,"")</f>
        <v/>
      </c>
      <c r="H1183" s="60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0" t="str">
        <f>IF(FT!A1184&lt;&gt;"",FT!A1184*10,"")</f>
        <v/>
      </c>
      <c r="G1184" s="60" t="str">
        <f>IF(FT!B1184&lt;&gt;"",FT!B1184*100,"")</f>
        <v/>
      </c>
      <c r="H1184" s="60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0" t="str">
        <f>IF(FT!A1185&lt;&gt;"",FT!A1185*10,"")</f>
        <v/>
      </c>
      <c r="G1185" s="60" t="str">
        <f>IF(FT!B1185&lt;&gt;"",FT!B1185*100,"")</f>
        <v/>
      </c>
      <c r="H1185" s="60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0" t="str">
        <f>IF(FT!A1186&lt;&gt;"",FT!A1186*10,"")</f>
        <v/>
      </c>
      <c r="G1186" s="60" t="str">
        <f>IF(FT!B1186&lt;&gt;"",FT!B1186*100,"")</f>
        <v/>
      </c>
      <c r="H1186" s="60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0" t="str">
        <f>IF(FT!A1187&lt;&gt;"",FT!A1187*10,"")</f>
        <v/>
      </c>
      <c r="G1187" s="60" t="str">
        <f>IF(FT!B1187&lt;&gt;"",FT!B1187*100,"")</f>
        <v/>
      </c>
      <c r="H1187" s="60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0" t="str">
        <f>IF(FT!A1188&lt;&gt;"",FT!A1188*10,"")</f>
        <v/>
      </c>
      <c r="G1188" s="60" t="str">
        <f>IF(FT!B1188&lt;&gt;"",FT!B1188*100,"")</f>
        <v/>
      </c>
      <c r="H1188" s="60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0" t="str">
        <f>IF(FT!A1189&lt;&gt;"",FT!A1189*10,"")</f>
        <v/>
      </c>
      <c r="G1189" s="60" t="str">
        <f>IF(FT!B1189&lt;&gt;"",FT!B1189*100,"")</f>
        <v/>
      </c>
      <c r="H1189" s="60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0" t="str">
        <f>IF(FT!A1190&lt;&gt;"",FT!A1190*10,"")</f>
        <v/>
      </c>
      <c r="G1190" s="60" t="str">
        <f>IF(FT!B1190&lt;&gt;"",FT!B1190*100,"")</f>
        <v/>
      </c>
      <c r="H1190" s="60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0" t="str">
        <f>IF(FT!A1191&lt;&gt;"",FT!A1191*10,"")</f>
        <v/>
      </c>
      <c r="G1191" s="60" t="str">
        <f>IF(FT!B1191&lt;&gt;"",FT!B1191*100,"")</f>
        <v/>
      </c>
      <c r="H1191" s="60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0" t="str">
        <f>IF(FT!A1192&lt;&gt;"",FT!A1192*10,"")</f>
        <v/>
      </c>
      <c r="G1192" s="60" t="str">
        <f>IF(FT!B1192&lt;&gt;"",FT!B1192*100,"")</f>
        <v/>
      </c>
      <c r="H1192" s="60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0" t="str">
        <f>IF(FT!A1193&lt;&gt;"",FT!A1193*10,"")</f>
        <v/>
      </c>
      <c r="G1193" s="60" t="str">
        <f>IF(FT!B1193&lt;&gt;"",FT!B1193*100,"")</f>
        <v/>
      </c>
      <c r="H1193" s="60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0" t="str">
        <f>IF(FT!A1194&lt;&gt;"",FT!A1194*10,"")</f>
        <v/>
      </c>
      <c r="G1194" s="60" t="str">
        <f>IF(FT!B1194&lt;&gt;"",FT!B1194*100,"")</f>
        <v/>
      </c>
      <c r="H1194" s="60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0" t="str">
        <f>IF(FT!A1195&lt;&gt;"",FT!A1195*10,"")</f>
        <v/>
      </c>
      <c r="G1195" s="60" t="str">
        <f>IF(FT!B1195&lt;&gt;"",FT!B1195*100,"")</f>
        <v/>
      </c>
      <c r="H1195" s="60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0" t="str">
        <f>IF(FT!A1196&lt;&gt;"",FT!A1196*10,"")</f>
        <v/>
      </c>
      <c r="G1196" s="60" t="str">
        <f>IF(FT!B1196&lt;&gt;"",FT!B1196*100,"")</f>
        <v/>
      </c>
      <c r="H1196" s="60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0" t="str">
        <f>IF(FT!A1197&lt;&gt;"",FT!A1197*10,"")</f>
        <v/>
      </c>
      <c r="G1197" s="60" t="str">
        <f>IF(FT!B1197&lt;&gt;"",FT!B1197*100,"")</f>
        <v/>
      </c>
      <c r="H1197" s="60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0" t="str">
        <f>IF(FT!A1198&lt;&gt;"",FT!A1198*10,"")</f>
        <v/>
      </c>
      <c r="G1198" s="60" t="str">
        <f>IF(FT!B1198&lt;&gt;"",FT!B1198*100,"")</f>
        <v/>
      </c>
      <c r="H1198" s="60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0" t="str">
        <f>IF(FT!A1199&lt;&gt;"",FT!A1199*10,"")</f>
        <v/>
      </c>
      <c r="G1199" s="60" t="str">
        <f>IF(FT!B1199&lt;&gt;"",FT!B1199*100,"")</f>
        <v/>
      </c>
      <c r="H1199" s="60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0" t="str">
        <f>IF(FT!A1200&lt;&gt;"",FT!A1200*10,"")</f>
        <v/>
      </c>
      <c r="G1200" s="60" t="str">
        <f>IF(FT!B1200&lt;&gt;"",FT!B1200*100,"")</f>
        <v/>
      </c>
      <c r="H1200" s="60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0" t="str">
        <f>IF(FT!A1201&lt;&gt;"",FT!A1201*10,"")</f>
        <v/>
      </c>
      <c r="G1201" s="60" t="str">
        <f>IF(FT!B1201&lt;&gt;"",FT!B1201*100,"")</f>
        <v/>
      </c>
      <c r="H1201" s="60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0" t="str">
        <f>IF(FT!A1202&lt;&gt;"",FT!A1202*10,"")</f>
        <v/>
      </c>
      <c r="G1202" s="60" t="str">
        <f>IF(FT!B1202&lt;&gt;"",FT!B1202*100,"")</f>
        <v/>
      </c>
      <c r="H1202" s="60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0" t="str">
        <f>IF(FT!A1203&lt;&gt;"",FT!A1203*10,"")</f>
        <v/>
      </c>
      <c r="G1203" s="60" t="str">
        <f>IF(FT!B1203&lt;&gt;"",FT!B1203*100,"")</f>
        <v/>
      </c>
      <c r="H1203" s="60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0" t="str">
        <f>IF(FT!A1204&lt;&gt;"",FT!A1204*10,"")</f>
        <v/>
      </c>
      <c r="G1204" s="60" t="str">
        <f>IF(FT!B1204&lt;&gt;"",FT!B1204*100,"")</f>
        <v/>
      </c>
      <c r="H1204" s="60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0" t="str">
        <f>IF(FT!A1205&lt;&gt;"",FT!A1205*10,"")</f>
        <v/>
      </c>
      <c r="G1205" s="60" t="str">
        <f>IF(FT!B1205&lt;&gt;"",FT!B1205*100,"")</f>
        <v/>
      </c>
      <c r="H1205" s="60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0" t="str">
        <f>IF(FT!A1206&lt;&gt;"",FT!A1206*10,"")</f>
        <v/>
      </c>
      <c r="G1206" s="60" t="str">
        <f>IF(FT!B1206&lt;&gt;"",FT!B1206*100,"")</f>
        <v/>
      </c>
      <c r="H1206" s="60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0" t="str">
        <f>IF(FT!A1207&lt;&gt;"",FT!A1207*10,"")</f>
        <v/>
      </c>
      <c r="G1207" s="60" t="str">
        <f>IF(FT!B1207&lt;&gt;"",FT!B1207*100,"")</f>
        <v/>
      </c>
      <c r="H1207" s="60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0" t="str">
        <f>IF(FT!A1208&lt;&gt;"",FT!A1208*10,"")</f>
        <v/>
      </c>
      <c r="G1208" s="60" t="str">
        <f>IF(FT!B1208&lt;&gt;"",FT!B1208*100,"")</f>
        <v/>
      </c>
      <c r="H1208" s="60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0" t="str">
        <f>IF(FT!A1209&lt;&gt;"",FT!A1209*10,"")</f>
        <v/>
      </c>
      <c r="G1209" s="60" t="str">
        <f>IF(FT!B1209&lt;&gt;"",FT!B1209*100,"")</f>
        <v/>
      </c>
      <c r="H1209" s="60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0" t="str">
        <f>IF(FT!A1210&lt;&gt;"",FT!A1210*10,"")</f>
        <v/>
      </c>
      <c r="G1210" s="60" t="str">
        <f>IF(FT!B1210&lt;&gt;"",FT!B1210*100,"")</f>
        <v/>
      </c>
      <c r="H1210" s="60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0" t="str">
        <f>IF(FT!A1211&lt;&gt;"",FT!A1211*10,"")</f>
        <v/>
      </c>
      <c r="G1211" s="60" t="str">
        <f>IF(FT!B1211&lt;&gt;"",FT!B1211*100,"")</f>
        <v/>
      </c>
      <c r="H1211" s="60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0" t="str">
        <f>IF(FT!A1212&lt;&gt;"",FT!A1212*10,"")</f>
        <v/>
      </c>
      <c r="G1212" s="60" t="str">
        <f>IF(FT!B1212&lt;&gt;"",FT!B1212*100,"")</f>
        <v/>
      </c>
      <c r="H1212" s="60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0" t="str">
        <f>IF(FT!A1213&lt;&gt;"",FT!A1213*10,"")</f>
        <v/>
      </c>
      <c r="G1213" s="60" t="str">
        <f>IF(FT!B1213&lt;&gt;"",FT!B1213*100,"")</f>
        <v/>
      </c>
      <c r="H1213" s="60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0" t="str">
        <f>IF(FT!A1214&lt;&gt;"",FT!A1214*10,"")</f>
        <v/>
      </c>
      <c r="G1214" s="60" t="str">
        <f>IF(FT!B1214&lt;&gt;"",FT!B1214*100,"")</f>
        <v/>
      </c>
      <c r="H1214" s="60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0" t="str">
        <f>IF(FT!A1215&lt;&gt;"",FT!A1215*10,"")</f>
        <v/>
      </c>
      <c r="G1215" s="60" t="str">
        <f>IF(FT!B1215&lt;&gt;"",FT!B1215*100,"")</f>
        <v/>
      </c>
      <c r="H1215" s="60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0" t="str">
        <f>IF(FT!A1216&lt;&gt;"",FT!A1216*10,"")</f>
        <v/>
      </c>
      <c r="G1216" s="60" t="str">
        <f>IF(FT!B1216&lt;&gt;"",FT!B1216*100,"")</f>
        <v/>
      </c>
      <c r="H1216" s="60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0" t="str">
        <f>IF(FT!A1217&lt;&gt;"",FT!A1217*10,"")</f>
        <v/>
      </c>
      <c r="G1217" s="60" t="str">
        <f>IF(FT!B1217&lt;&gt;"",FT!B1217*100,"")</f>
        <v/>
      </c>
      <c r="H1217" s="60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0" t="str">
        <f>IF(FT!A1218&lt;&gt;"",FT!A1218*10,"")</f>
        <v/>
      </c>
      <c r="G1218" s="60" t="str">
        <f>IF(FT!B1218&lt;&gt;"",FT!B1218*100,"")</f>
        <v/>
      </c>
      <c r="H1218" s="60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0" t="str">
        <f>IF(FT!A1219&lt;&gt;"",FT!A1219*10,"")</f>
        <v/>
      </c>
      <c r="G1219" s="60" t="str">
        <f>IF(FT!B1219&lt;&gt;"",FT!B1219*100,"")</f>
        <v/>
      </c>
      <c r="H1219" s="60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0" t="str">
        <f>IF(FT!A1220&lt;&gt;"",FT!A1220*10,"")</f>
        <v/>
      </c>
      <c r="G1220" s="60" t="str">
        <f>IF(FT!B1220&lt;&gt;"",FT!B1220*100,"")</f>
        <v/>
      </c>
      <c r="H1220" s="60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0" t="str">
        <f>IF(FT!A1221&lt;&gt;"",FT!A1221*10,"")</f>
        <v/>
      </c>
      <c r="G1221" s="60" t="str">
        <f>IF(FT!B1221&lt;&gt;"",FT!B1221*100,"")</f>
        <v/>
      </c>
      <c r="H1221" s="60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0" t="str">
        <f>IF(FT!A1222&lt;&gt;"",FT!A1222*10,"")</f>
        <v/>
      </c>
      <c r="G1222" s="60" t="str">
        <f>IF(FT!B1222&lt;&gt;"",FT!B1222*100,"")</f>
        <v/>
      </c>
      <c r="H1222" s="60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0" t="str">
        <f>IF(FT!A1223&lt;&gt;"",FT!A1223*10,"")</f>
        <v/>
      </c>
      <c r="G1223" s="60" t="str">
        <f>IF(FT!B1223&lt;&gt;"",FT!B1223*100,"")</f>
        <v/>
      </c>
      <c r="H1223" s="60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0" t="str">
        <f>IF(FT!A1224&lt;&gt;"",FT!A1224*10,"")</f>
        <v/>
      </c>
      <c r="G1224" s="60" t="str">
        <f>IF(FT!B1224&lt;&gt;"",FT!B1224*100,"")</f>
        <v/>
      </c>
      <c r="H1224" s="60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0" t="str">
        <f>IF(FT!A1225&lt;&gt;"",FT!A1225*10,"")</f>
        <v/>
      </c>
      <c r="G1225" s="60" t="str">
        <f>IF(FT!B1225&lt;&gt;"",FT!B1225*100,"")</f>
        <v/>
      </c>
      <c r="H1225" s="60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0" t="str">
        <f>IF(FT!A1226&lt;&gt;"",FT!A1226*10,"")</f>
        <v/>
      </c>
      <c r="G1226" s="60" t="str">
        <f>IF(FT!B1226&lt;&gt;"",FT!B1226*100,"")</f>
        <v/>
      </c>
      <c r="H1226" s="60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0" t="str">
        <f>IF(FT!A1227&lt;&gt;"",FT!A1227*10,"")</f>
        <v/>
      </c>
      <c r="G1227" s="60" t="str">
        <f>IF(FT!B1227&lt;&gt;"",FT!B1227*100,"")</f>
        <v/>
      </c>
      <c r="H1227" s="60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0" t="str">
        <f>IF(FT!A1228&lt;&gt;"",FT!A1228*10,"")</f>
        <v/>
      </c>
      <c r="G1228" s="60" t="str">
        <f>IF(FT!B1228&lt;&gt;"",FT!B1228*100,"")</f>
        <v/>
      </c>
      <c r="H1228" s="60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0" t="str">
        <f>IF(FT!A1229&lt;&gt;"",FT!A1229*10,"")</f>
        <v/>
      </c>
      <c r="G1229" s="60" t="str">
        <f>IF(FT!B1229&lt;&gt;"",FT!B1229*100,"")</f>
        <v/>
      </c>
      <c r="H1229" s="60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0" t="str">
        <f>IF(FT!A1230&lt;&gt;"",FT!A1230*10,"")</f>
        <v/>
      </c>
      <c r="G1230" s="60" t="str">
        <f>IF(FT!B1230&lt;&gt;"",FT!B1230*100,"")</f>
        <v/>
      </c>
      <c r="H1230" s="60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0" t="str">
        <f>IF(FT!A1231&lt;&gt;"",FT!A1231*10,"")</f>
        <v/>
      </c>
      <c r="G1231" s="60" t="str">
        <f>IF(FT!B1231&lt;&gt;"",FT!B1231*100,"")</f>
        <v/>
      </c>
      <c r="H1231" s="60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0" t="str">
        <f>IF(FT!A1232&lt;&gt;"",FT!A1232*10,"")</f>
        <v/>
      </c>
      <c r="G1232" s="60" t="str">
        <f>IF(FT!B1232&lt;&gt;"",FT!B1232*100,"")</f>
        <v/>
      </c>
      <c r="H1232" s="60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0" t="str">
        <f>IF(FT!A1233&lt;&gt;"",FT!A1233*10,"")</f>
        <v/>
      </c>
      <c r="G1233" s="60" t="str">
        <f>IF(FT!B1233&lt;&gt;"",FT!B1233*100,"")</f>
        <v/>
      </c>
      <c r="H1233" s="60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0" t="str">
        <f>IF(FT!A1234&lt;&gt;"",FT!A1234*10,"")</f>
        <v/>
      </c>
      <c r="G1234" s="60" t="str">
        <f>IF(FT!B1234&lt;&gt;"",FT!B1234*100,"")</f>
        <v/>
      </c>
      <c r="H1234" s="60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0" t="str">
        <f>IF(FT!A1235&lt;&gt;"",FT!A1235*10,"")</f>
        <v/>
      </c>
      <c r="G1235" s="60" t="str">
        <f>IF(FT!B1235&lt;&gt;"",FT!B1235*100,"")</f>
        <v/>
      </c>
      <c r="H1235" s="60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0" t="str">
        <f>IF(FT!A1236&lt;&gt;"",FT!A1236*10,"")</f>
        <v/>
      </c>
      <c r="G1236" s="60" t="str">
        <f>IF(FT!B1236&lt;&gt;"",FT!B1236*100,"")</f>
        <v/>
      </c>
      <c r="H1236" s="60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0" t="str">
        <f>IF(FT!A1237&lt;&gt;"",FT!A1237*10,"")</f>
        <v/>
      </c>
      <c r="G1237" s="60" t="str">
        <f>IF(FT!B1237&lt;&gt;"",FT!B1237*100,"")</f>
        <v/>
      </c>
      <c r="H1237" s="60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0" t="str">
        <f>IF(FT!A1238&lt;&gt;"",FT!A1238*10,"")</f>
        <v/>
      </c>
      <c r="G1238" s="60" t="str">
        <f>IF(FT!B1238&lt;&gt;"",FT!B1238*100,"")</f>
        <v/>
      </c>
      <c r="H1238" s="60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0" t="str">
        <f>IF(FT!A1239&lt;&gt;"",FT!A1239*10,"")</f>
        <v/>
      </c>
      <c r="G1239" s="60" t="str">
        <f>IF(FT!B1239&lt;&gt;"",FT!B1239*100,"")</f>
        <v/>
      </c>
      <c r="H1239" s="60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0" t="str">
        <f>IF(FT!A1240&lt;&gt;"",FT!A1240*10,"")</f>
        <v/>
      </c>
      <c r="G1240" s="60" t="str">
        <f>IF(FT!B1240&lt;&gt;"",FT!B1240*100,"")</f>
        <v/>
      </c>
      <c r="H1240" s="60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0" t="str">
        <f>IF(FT!A1241&lt;&gt;"",FT!A1241*10,"")</f>
        <v/>
      </c>
      <c r="G1241" s="60" t="str">
        <f>IF(FT!B1241&lt;&gt;"",FT!B1241*100,"")</f>
        <v/>
      </c>
      <c r="H1241" s="60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0" t="str">
        <f>IF(FT!A1242&lt;&gt;"",FT!A1242*10,"")</f>
        <v/>
      </c>
      <c r="G1242" s="60" t="str">
        <f>IF(FT!B1242&lt;&gt;"",FT!B1242*100,"")</f>
        <v/>
      </c>
      <c r="H1242" s="60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0" t="str">
        <f>IF(FT!A1243&lt;&gt;"",FT!A1243*10,"")</f>
        <v/>
      </c>
      <c r="G1243" s="60" t="str">
        <f>IF(FT!B1243&lt;&gt;"",FT!B1243*100,"")</f>
        <v/>
      </c>
      <c r="H1243" s="60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0" t="str">
        <f>IF(FT!A1244&lt;&gt;"",FT!A1244*10,"")</f>
        <v/>
      </c>
      <c r="G1244" s="60" t="str">
        <f>IF(FT!B1244&lt;&gt;"",FT!B1244*100,"")</f>
        <v/>
      </c>
      <c r="H1244" s="60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0" t="str">
        <f>IF(FT!A1245&lt;&gt;"",FT!A1245*10,"")</f>
        <v/>
      </c>
      <c r="G1245" s="60" t="str">
        <f>IF(FT!B1245&lt;&gt;"",FT!B1245*100,"")</f>
        <v/>
      </c>
      <c r="H1245" s="60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0" t="str">
        <f>IF(FT!A1246&lt;&gt;"",FT!A1246*10,"")</f>
        <v/>
      </c>
      <c r="G1246" s="60" t="str">
        <f>IF(FT!B1246&lt;&gt;"",FT!B1246*100,"")</f>
        <v/>
      </c>
      <c r="H1246" s="60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0" t="str">
        <f>IF(FT!A1247&lt;&gt;"",FT!A1247*10,"")</f>
        <v/>
      </c>
      <c r="G1247" s="60" t="str">
        <f>IF(FT!B1247&lt;&gt;"",FT!B1247*100,"")</f>
        <v/>
      </c>
      <c r="H1247" s="60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0" t="str">
        <f>IF(FT!A1248&lt;&gt;"",FT!A1248*10,"")</f>
        <v/>
      </c>
      <c r="G1248" s="60" t="str">
        <f>IF(FT!B1248&lt;&gt;"",FT!B1248*100,"")</f>
        <v/>
      </c>
      <c r="H1248" s="60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0" t="str">
        <f>IF(FT!A1249&lt;&gt;"",FT!A1249*10,"")</f>
        <v/>
      </c>
      <c r="G1249" s="60" t="str">
        <f>IF(FT!B1249&lt;&gt;"",FT!B1249*100,"")</f>
        <v/>
      </c>
      <c r="H1249" s="60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0" t="str">
        <f>IF(FT!A1250&lt;&gt;"",FT!A1250*10,"")</f>
        <v/>
      </c>
      <c r="G1250" s="60" t="str">
        <f>IF(FT!B1250&lt;&gt;"",FT!B1250*100,"")</f>
        <v/>
      </c>
      <c r="H1250" s="60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0" t="str">
        <f>IF(FT!A1251&lt;&gt;"",FT!A1251*10,"")</f>
        <v/>
      </c>
      <c r="G1251" s="60" t="str">
        <f>IF(FT!B1251&lt;&gt;"",FT!B1251*100,"")</f>
        <v/>
      </c>
      <c r="H1251" s="60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0" t="str">
        <f>IF(FT!A1252&lt;&gt;"",FT!A1252*10,"")</f>
        <v/>
      </c>
      <c r="G1252" s="60" t="str">
        <f>IF(FT!B1252&lt;&gt;"",FT!B1252*100,"")</f>
        <v/>
      </c>
      <c r="H1252" s="60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0" t="str">
        <f>IF(FT!A1253&lt;&gt;"",FT!A1253*10,"")</f>
        <v/>
      </c>
      <c r="G1253" s="60" t="str">
        <f>IF(FT!B1253&lt;&gt;"",FT!B1253*100,"")</f>
        <v/>
      </c>
      <c r="H1253" s="60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0" t="str">
        <f>IF(FT!A1254&lt;&gt;"",FT!A1254*10,"")</f>
        <v/>
      </c>
      <c r="G1254" s="60" t="str">
        <f>IF(FT!B1254&lt;&gt;"",FT!B1254*100,"")</f>
        <v/>
      </c>
      <c r="H1254" s="60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0" t="str">
        <f>IF(FT!A1255&lt;&gt;"",FT!A1255*10,"")</f>
        <v/>
      </c>
      <c r="G1255" s="60" t="str">
        <f>IF(FT!B1255&lt;&gt;"",FT!B1255*100,"")</f>
        <v/>
      </c>
      <c r="H1255" s="60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0" t="str">
        <f>IF(FT!A1256&lt;&gt;"",FT!A1256*10,"")</f>
        <v/>
      </c>
      <c r="G1256" s="60" t="str">
        <f>IF(FT!B1256&lt;&gt;"",FT!B1256*100,"")</f>
        <v/>
      </c>
      <c r="H1256" s="60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0" t="str">
        <f>IF(FT!A1257&lt;&gt;"",FT!A1257*10,"")</f>
        <v/>
      </c>
      <c r="G1257" s="60" t="str">
        <f>IF(FT!B1257&lt;&gt;"",FT!B1257*100,"")</f>
        <v/>
      </c>
      <c r="H1257" s="60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0" t="str">
        <f>IF(FT!A1258&lt;&gt;"",FT!A1258*10,"")</f>
        <v/>
      </c>
      <c r="G1258" s="60" t="str">
        <f>IF(FT!B1258&lt;&gt;"",FT!B1258*100,"")</f>
        <v/>
      </c>
      <c r="H1258" s="60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0" t="str">
        <f>IF(FT!A1259&lt;&gt;"",FT!A1259*10,"")</f>
        <v/>
      </c>
      <c r="G1259" s="60" t="str">
        <f>IF(FT!B1259&lt;&gt;"",FT!B1259*100,"")</f>
        <v/>
      </c>
      <c r="H1259" s="60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0" t="str">
        <f>IF(FT!A1260&lt;&gt;"",FT!A1260*10,"")</f>
        <v/>
      </c>
      <c r="G1260" s="60" t="str">
        <f>IF(FT!B1260&lt;&gt;"",FT!B1260*100,"")</f>
        <v/>
      </c>
      <c r="H1260" s="60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0" t="str">
        <f>IF(FT!A1261&lt;&gt;"",FT!A1261*10,"")</f>
        <v/>
      </c>
      <c r="G1261" s="60" t="str">
        <f>IF(FT!B1261&lt;&gt;"",FT!B1261*100,"")</f>
        <v/>
      </c>
      <c r="H1261" s="60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0" t="str">
        <f>IF(FT!A1262&lt;&gt;"",FT!A1262*10,"")</f>
        <v/>
      </c>
      <c r="G1262" s="60" t="str">
        <f>IF(FT!B1262&lt;&gt;"",FT!B1262*100,"")</f>
        <v/>
      </c>
      <c r="H1262" s="60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0" t="str">
        <f>IF(FT!A1263&lt;&gt;"",FT!A1263*10,"")</f>
        <v/>
      </c>
      <c r="G1263" s="60" t="str">
        <f>IF(FT!B1263&lt;&gt;"",FT!B1263*100,"")</f>
        <v/>
      </c>
      <c r="H1263" s="60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0" t="str">
        <f>IF(FT!A1264&lt;&gt;"",FT!A1264*10,"")</f>
        <v/>
      </c>
      <c r="G1264" s="60" t="str">
        <f>IF(FT!B1264&lt;&gt;"",FT!B1264*100,"")</f>
        <v/>
      </c>
      <c r="H1264" s="60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0" t="str">
        <f>IF(FT!A1265&lt;&gt;"",FT!A1265*10,"")</f>
        <v/>
      </c>
      <c r="G1265" s="60" t="str">
        <f>IF(FT!B1265&lt;&gt;"",FT!B1265*100,"")</f>
        <v/>
      </c>
      <c r="H1265" s="60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0" t="str">
        <f>IF(FT!A1266&lt;&gt;"",FT!A1266*10,"")</f>
        <v/>
      </c>
      <c r="G1266" s="60" t="str">
        <f>IF(FT!B1266&lt;&gt;"",FT!B1266*100,"")</f>
        <v/>
      </c>
      <c r="H1266" s="60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0" t="str">
        <f>IF(FT!A1267&lt;&gt;"",FT!A1267*10,"")</f>
        <v/>
      </c>
      <c r="G1267" s="60" t="str">
        <f>IF(FT!B1267&lt;&gt;"",FT!B1267*100,"")</f>
        <v/>
      </c>
      <c r="H1267" s="60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0" t="str">
        <f>IF(FT!A1268&lt;&gt;"",FT!A1268*10,"")</f>
        <v/>
      </c>
      <c r="G1268" s="60" t="str">
        <f>IF(FT!B1268&lt;&gt;"",FT!B1268*100,"")</f>
        <v/>
      </c>
      <c r="H1268" s="60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0" t="str">
        <f>IF(FT!A1269&lt;&gt;"",FT!A1269*10,"")</f>
        <v/>
      </c>
      <c r="G1269" s="60" t="str">
        <f>IF(FT!B1269&lt;&gt;"",FT!B1269*100,"")</f>
        <v/>
      </c>
      <c r="H1269" s="60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0" t="str">
        <f>IF(FT!A1270&lt;&gt;"",FT!A1270*10,"")</f>
        <v/>
      </c>
      <c r="G1270" s="60" t="str">
        <f>IF(FT!B1270&lt;&gt;"",FT!B1270*100,"")</f>
        <v/>
      </c>
      <c r="H1270" s="60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0" t="str">
        <f>IF(FT!A1271&lt;&gt;"",FT!A1271*10,"")</f>
        <v/>
      </c>
      <c r="G1271" s="60" t="str">
        <f>IF(FT!B1271&lt;&gt;"",FT!B1271*100,"")</f>
        <v/>
      </c>
      <c r="H1271" s="60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0" t="str">
        <f>IF(FT!A1272&lt;&gt;"",FT!A1272*10,"")</f>
        <v/>
      </c>
      <c r="G1272" s="60" t="str">
        <f>IF(FT!B1272&lt;&gt;"",FT!B1272*100,"")</f>
        <v/>
      </c>
      <c r="H1272" s="60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0" t="str">
        <f>IF(FT!A1273&lt;&gt;"",FT!A1273*10,"")</f>
        <v/>
      </c>
      <c r="G1273" s="60" t="str">
        <f>IF(FT!B1273&lt;&gt;"",FT!B1273*100,"")</f>
        <v/>
      </c>
      <c r="H1273" s="60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0" t="str">
        <f>IF(FT!A1274&lt;&gt;"",FT!A1274*10,"")</f>
        <v/>
      </c>
      <c r="G1274" s="60" t="str">
        <f>IF(FT!B1274&lt;&gt;"",FT!B1274*100,"")</f>
        <v/>
      </c>
      <c r="H1274" s="60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0" t="str">
        <f>IF(FT!A1275&lt;&gt;"",FT!A1275*10,"")</f>
        <v/>
      </c>
      <c r="G1275" s="60" t="str">
        <f>IF(FT!B1275&lt;&gt;"",FT!B1275*100,"")</f>
        <v/>
      </c>
      <c r="H1275" s="60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0" t="str">
        <f>IF(FT!A1276&lt;&gt;"",FT!A1276*10,"")</f>
        <v/>
      </c>
      <c r="G1276" s="60" t="str">
        <f>IF(FT!B1276&lt;&gt;"",FT!B1276*100,"")</f>
        <v/>
      </c>
      <c r="H1276" s="60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0" t="str">
        <f>IF(FT!A1277&lt;&gt;"",FT!A1277*10,"")</f>
        <v/>
      </c>
      <c r="G1277" s="60" t="str">
        <f>IF(FT!B1277&lt;&gt;"",FT!B1277*100,"")</f>
        <v/>
      </c>
      <c r="H1277" s="60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0" t="str">
        <f>IF(FT!A1278&lt;&gt;"",FT!A1278*10,"")</f>
        <v/>
      </c>
      <c r="G1278" s="60" t="str">
        <f>IF(FT!B1278&lt;&gt;"",FT!B1278*100,"")</f>
        <v/>
      </c>
      <c r="H1278" s="60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0" t="str">
        <f>IF(FT!A1279&lt;&gt;"",FT!A1279*10,"")</f>
        <v/>
      </c>
      <c r="G1279" s="60" t="str">
        <f>IF(FT!B1279&lt;&gt;"",FT!B1279*100,"")</f>
        <v/>
      </c>
      <c r="H1279" s="60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0" t="str">
        <f>IF(FT!A1280&lt;&gt;"",FT!A1280*10,"")</f>
        <v/>
      </c>
      <c r="G1280" s="60" t="str">
        <f>IF(FT!B1280&lt;&gt;"",FT!B1280*100,"")</f>
        <v/>
      </c>
      <c r="H1280" s="60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0" t="str">
        <f>IF(FT!A1281&lt;&gt;"",FT!A1281*10,"")</f>
        <v/>
      </c>
      <c r="G1281" s="60" t="str">
        <f>IF(FT!B1281&lt;&gt;"",FT!B1281*100,"")</f>
        <v/>
      </c>
      <c r="H1281" s="60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0" t="str">
        <f>IF(FT!A1282&lt;&gt;"",FT!A1282*10,"")</f>
        <v/>
      </c>
      <c r="G1282" s="60" t="str">
        <f>IF(FT!B1282&lt;&gt;"",FT!B1282*100,"")</f>
        <v/>
      </c>
      <c r="H1282" s="60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0" t="str">
        <f>IF(FT!A1283&lt;&gt;"",FT!A1283*10,"")</f>
        <v/>
      </c>
      <c r="G1283" s="60" t="str">
        <f>IF(FT!B1283&lt;&gt;"",FT!B1283*100,"")</f>
        <v/>
      </c>
      <c r="H1283" s="60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0" t="str">
        <f>IF(FT!A1284&lt;&gt;"",FT!A1284*10,"")</f>
        <v/>
      </c>
      <c r="G1284" s="60" t="str">
        <f>IF(FT!B1284&lt;&gt;"",FT!B1284*100,"")</f>
        <v/>
      </c>
      <c r="H1284" s="60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0" t="str">
        <f>IF(FT!A1285&lt;&gt;"",FT!A1285*10,"")</f>
        <v/>
      </c>
      <c r="G1285" s="60" t="str">
        <f>IF(FT!B1285&lt;&gt;"",FT!B1285*100,"")</f>
        <v/>
      </c>
      <c r="H1285" s="60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0" t="str">
        <f>IF(FT!A1286&lt;&gt;"",FT!A1286*10,"")</f>
        <v/>
      </c>
      <c r="G1286" s="60" t="str">
        <f>IF(FT!B1286&lt;&gt;"",FT!B1286*100,"")</f>
        <v/>
      </c>
      <c r="H1286" s="60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0" t="str">
        <f>IF(FT!A1287&lt;&gt;"",FT!A1287*10,"")</f>
        <v/>
      </c>
      <c r="G1287" s="60" t="str">
        <f>IF(FT!B1287&lt;&gt;"",FT!B1287*100,"")</f>
        <v/>
      </c>
      <c r="H1287" s="60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0" t="str">
        <f>IF(FT!A1288&lt;&gt;"",FT!A1288*10,"")</f>
        <v/>
      </c>
      <c r="G1288" s="60" t="str">
        <f>IF(FT!B1288&lt;&gt;"",FT!B1288*100,"")</f>
        <v/>
      </c>
      <c r="H1288" s="60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0" t="str">
        <f>IF(FT!A1289&lt;&gt;"",FT!A1289*10,"")</f>
        <v/>
      </c>
      <c r="G1289" s="60" t="str">
        <f>IF(FT!B1289&lt;&gt;"",FT!B1289*100,"")</f>
        <v/>
      </c>
      <c r="H1289" s="60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0" t="str">
        <f>IF(FT!A1290&lt;&gt;"",FT!A1290*10,"")</f>
        <v/>
      </c>
      <c r="G1290" s="60" t="str">
        <f>IF(FT!B1290&lt;&gt;"",FT!B1290*100,"")</f>
        <v/>
      </c>
      <c r="H1290" s="60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0" t="str">
        <f>IF(FT!A1291&lt;&gt;"",FT!A1291*10,"")</f>
        <v/>
      </c>
      <c r="G1291" s="60" t="str">
        <f>IF(FT!B1291&lt;&gt;"",FT!B1291*100,"")</f>
        <v/>
      </c>
      <c r="H1291" s="60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0" t="str">
        <f>IF(FT!A1292&lt;&gt;"",FT!A1292*10,"")</f>
        <v/>
      </c>
      <c r="G1292" s="60" t="str">
        <f>IF(FT!B1292&lt;&gt;"",FT!B1292*100,"")</f>
        <v/>
      </c>
      <c r="H1292" s="60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0" t="str">
        <f>IF(FT!A1293&lt;&gt;"",FT!A1293*10,"")</f>
        <v/>
      </c>
      <c r="G1293" s="60" t="str">
        <f>IF(FT!B1293&lt;&gt;"",FT!B1293*100,"")</f>
        <v/>
      </c>
      <c r="H1293" s="60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0" t="str">
        <f>IF(FT!A1294&lt;&gt;"",FT!A1294*10,"")</f>
        <v/>
      </c>
      <c r="G1294" s="60" t="str">
        <f>IF(FT!B1294&lt;&gt;"",FT!B1294*100,"")</f>
        <v/>
      </c>
      <c r="H1294" s="60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0" t="str">
        <f>IF(FT!A1295&lt;&gt;"",FT!A1295*10,"")</f>
        <v/>
      </c>
      <c r="G1295" s="60" t="str">
        <f>IF(FT!B1295&lt;&gt;"",FT!B1295*100,"")</f>
        <v/>
      </c>
      <c r="H1295" s="60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0" t="str">
        <f>IF(FT!A1296&lt;&gt;"",FT!A1296*10,"")</f>
        <v/>
      </c>
      <c r="G1296" s="60" t="str">
        <f>IF(FT!B1296&lt;&gt;"",FT!B1296*100,"")</f>
        <v/>
      </c>
      <c r="H1296" s="60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0" t="str">
        <f>IF(FT!A1297&lt;&gt;"",FT!A1297*10,"")</f>
        <v/>
      </c>
      <c r="G1297" s="60" t="str">
        <f>IF(FT!B1297&lt;&gt;"",FT!B1297*100,"")</f>
        <v/>
      </c>
      <c r="H1297" s="60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0" t="str">
        <f>IF(FT!A1298&lt;&gt;"",FT!A1298*10,"")</f>
        <v/>
      </c>
      <c r="G1298" s="60" t="str">
        <f>IF(FT!B1298&lt;&gt;"",FT!B1298*100,"")</f>
        <v/>
      </c>
      <c r="H1298" s="60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0" t="str">
        <f>IF(FT!A1299&lt;&gt;"",FT!A1299*10,"")</f>
        <v/>
      </c>
      <c r="G1299" s="60" t="str">
        <f>IF(FT!B1299&lt;&gt;"",FT!B1299*100,"")</f>
        <v/>
      </c>
      <c r="H1299" s="60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0" t="str">
        <f>IF(FT!A1300&lt;&gt;"",FT!A1300*10,"")</f>
        <v/>
      </c>
      <c r="G1300" s="60" t="str">
        <f>IF(FT!B1300&lt;&gt;"",FT!B1300*100,"")</f>
        <v/>
      </c>
      <c r="H1300" s="60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0" t="str">
        <f>IF(FT!A1301&lt;&gt;"",FT!A1301*10,"")</f>
        <v/>
      </c>
      <c r="G1301" s="60" t="str">
        <f>IF(FT!B1301&lt;&gt;"",FT!B1301*100,"")</f>
        <v/>
      </c>
      <c r="H1301" s="60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0" t="str">
        <f>IF(FT!A1302&lt;&gt;"",FT!A1302*10,"")</f>
        <v/>
      </c>
      <c r="G1302" s="60" t="str">
        <f>IF(FT!B1302&lt;&gt;"",FT!B1302*100,"")</f>
        <v/>
      </c>
      <c r="H1302" s="60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0" t="str">
        <f>IF(FT!A1303&lt;&gt;"",FT!A1303*10,"")</f>
        <v/>
      </c>
      <c r="G1303" s="60" t="str">
        <f>IF(FT!B1303&lt;&gt;"",FT!B1303*100,"")</f>
        <v/>
      </c>
      <c r="H1303" s="60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0" t="str">
        <f>IF(FT!A1304&lt;&gt;"",FT!A1304*10,"")</f>
        <v/>
      </c>
      <c r="G1304" s="60" t="str">
        <f>IF(FT!B1304&lt;&gt;"",FT!B1304*100,"")</f>
        <v/>
      </c>
      <c r="H1304" s="60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0" t="str">
        <f>IF(FT!A1305&lt;&gt;"",FT!A1305*10,"")</f>
        <v/>
      </c>
      <c r="G1305" s="60" t="str">
        <f>IF(FT!B1305&lt;&gt;"",FT!B1305*100,"")</f>
        <v/>
      </c>
      <c r="H1305" s="60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0" t="str">
        <f>IF(FT!A1306&lt;&gt;"",FT!A1306*10,"")</f>
        <v/>
      </c>
      <c r="G1306" s="60" t="str">
        <f>IF(FT!B1306&lt;&gt;"",FT!B1306*100,"")</f>
        <v/>
      </c>
      <c r="H1306" s="60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0" t="str">
        <f>IF(FT!A1307&lt;&gt;"",FT!A1307*10,"")</f>
        <v/>
      </c>
      <c r="G1307" s="60" t="str">
        <f>IF(FT!B1307&lt;&gt;"",FT!B1307*100,"")</f>
        <v/>
      </c>
      <c r="H1307" s="60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0" t="str">
        <f>IF(FT!A1308&lt;&gt;"",FT!A1308*10,"")</f>
        <v/>
      </c>
      <c r="G1308" s="60" t="str">
        <f>IF(FT!B1308&lt;&gt;"",FT!B1308*100,"")</f>
        <v/>
      </c>
      <c r="H1308" s="60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0" t="str">
        <f>IF(FT!A1309&lt;&gt;"",FT!A1309*10,"")</f>
        <v/>
      </c>
      <c r="G1309" s="60" t="str">
        <f>IF(FT!B1309&lt;&gt;"",FT!B1309*100,"")</f>
        <v/>
      </c>
      <c r="H1309" s="60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0" t="str">
        <f>IF(FT!A1310&lt;&gt;"",FT!A1310*10,"")</f>
        <v/>
      </c>
      <c r="G1310" s="60" t="str">
        <f>IF(FT!B1310&lt;&gt;"",FT!B1310*100,"")</f>
        <v/>
      </c>
      <c r="H1310" s="60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0" t="str">
        <f>IF(FT!A1311&lt;&gt;"",FT!A1311*10,"")</f>
        <v/>
      </c>
      <c r="G1311" s="60" t="str">
        <f>IF(FT!B1311&lt;&gt;"",FT!B1311*100,"")</f>
        <v/>
      </c>
      <c r="H1311" s="60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0" t="str">
        <f>IF(FT!A1312&lt;&gt;"",FT!A1312*10,"")</f>
        <v/>
      </c>
      <c r="G1312" s="60" t="str">
        <f>IF(FT!B1312&lt;&gt;"",FT!B1312*100,"")</f>
        <v/>
      </c>
      <c r="H1312" s="60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0" t="str">
        <f>IF(FT!A1313&lt;&gt;"",FT!A1313*10,"")</f>
        <v/>
      </c>
      <c r="G1313" s="60" t="str">
        <f>IF(FT!B1313&lt;&gt;"",FT!B1313*100,"")</f>
        <v/>
      </c>
      <c r="H1313" s="60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0" t="str">
        <f>IF(FT!A1314&lt;&gt;"",FT!A1314*10,"")</f>
        <v/>
      </c>
      <c r="G1314" s="60" t="str">
        <f>IF(FT!B1314&lt;&gt;"",FT!B1314*100,"")</f>
        <v/>
      </c>
      <c r="H1314" s="60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0" t="str">
        <f>IF(FT!A1315&lt;&gt;"",FT!A1315*10,"")</f>
        <v/>
      </c>
      <c r="G1315" s="60" t="str">
        <f>IF(FT!B1315&lt;&gt;"",FT!B1315*100,"")</f>
        <v/>
      </c>
      <c r="H1315" s="60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0" t="str">
        <f>IF(FT!A1316&lt;&gt;"",FT!A1316*10,"")</f>
        <v/>
      </c>
      <c r="G1316" s="60" t="str">
        <f>IF(FT!B1316&lt;&gt;"",FT!B1316*100,"")</f>
        <v/>
      </c>
      <c r="H1316" s="60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0" t="str">
        <f>IF(FT!A1317&lt;&gt;"",FT!A1317*10,"")</f>
        <v/>
      </c>
      <c r="G1317" s="60" t="str">
        <f>IF(FT!B1317&lt;&gt;"",FT!B1317*100,"")</f>
        <v/>
      </c>
      <c r="H1317" s="60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0" t="str">
        <f>IF(FT!A1318&lt;&gt;"",FT!A1318*10,"")</f>
        <v/>
      </c>
      <c r="G1318" s="60" t="str">
        <f>IF(FT!B1318&lt;&gt;"",FT!B1318*100,"")</f>
        <v/>
      </c>
      <c r="H1318" s="60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0" t="str">
        <f>IF(FT!A1319&lt;&gt;"",FT!A1319*10,"")</f>
        <v/>
      </c>
      <c r="G1319" s="60" t="str">
        <f>IF(FT!B1319&lt;&gt;"",FT!B1319*100,"")</f>
        <v/>
      </c>
      <c r="H1319" s="60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0" t="str">
        <f>IF(FT!A1320&lt;&gt;"",FT!A1320*10,"")</f>
        <v/>
      </c>
      <c r="G1320" s="60" t="str">
        <f>IF(FT!B1320&lt;&gt;"",FT!B1320*100,"")</f>
        <v/>
      </c>
      <c r="H1320" s="60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0" t="str">
        <f>IF(FT!A1321&lt;&gt;"",FT!A1321*10,"")</f>
        <v/>
      </c>
      <c r="G1321" s="60" t="str">
        <f>IF(FT!B1321&lt;&gt;"",FT!B1321*100,"")</f>
        <v/>
      </c>
      <c r="H1321" s="60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0" t="str">
        <f>IF(FT!A1322&lt;&gt;"",FT!A1322*10,"")</f>
        <v/>
      </c>
      <c r="G1322" s="60" t="str">
        <f>IF(FT!B1322&lt;&gt;"",FT!B1322*100,"")</f>
        <v/>
      </c>
      <c r="H1322" s="60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0" t="str">
        <f>IF(FT!A1323&lt;&gt;"",FT!A1323*10,"")</f>
        <v/>
      </c>
      <c r="G1323" s="60" t="str">
        <f>IF(FT!B1323&lt;&gt;"",FT!B1323*100,"")</f>
        <v/>
      </c>
      <c r="H1323" s="60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0" t="str">
        <f>IF(FT!A1324&lt;&gt;"",FT!A1324*10,"")</f>
        <v/>
      </c>
      <c r="G1324" s="60" t="str">
        <f>IF(FT!B1324&lt;&gt;"",FT!B1324*100,"")</f>
        <v/>
      </c>
      <c r="H1324" s="60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0" t="str">
        <f>IF(FT!A1325&lt;&gt;"",FT!A1325*10,"")</f>
        <v/>
      </c>
      <c r="G1325" s="60" t="str">
        <f>IF(FT!B1325&lt;&gt;"",FT!B1325*100,"")</f>
        <v/>
      </c>
      <c r="H1325" s="60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0" t="str">
        <f>IF(FT!A1326&lt;&gt;"",FT!A1326*10,"")</f>
        <v/>
      </c>
      <c r="G1326" s="60" t="str">
        <f>IF(FT!B1326&lt;&gt;"",FT!B1326*100,"")</f>
        <v/>
      </c>
      <c r="H1326" s="60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0" t="str">
        <f>IF(FT!A1327&lt;&gt;"",FT!A1327*10,"")</f>
        <v/>
      </c>
      <c r="G1327" s="60" t="str">
        <f>IF(FT!B1327&lt;&gt;"",FT!B1327*100,"")</f>
        <v/>
      </c>
      <c r="H1327" s="60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0" t="str">
        <f>IF(FT!A1328&lt;&gt;"",FT!A1328*10,"")</f>
        <v/>
      </c>
      <c r="G1328" s="60" t="str">
        <f>IF(FT!B1328&lt;&gt;"",FT!B1328*100,"")</f>
        <v/>
      </c>
      <c r="H1328" s="60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0" t="str">
        <f>IF(FT!A1329&lt;&gt;"",FT!A1329*10,"")</f>
        <v/>
      </c>
      <c r="G1329" s="60" t="str">
        <f>IF(FT!B1329&lt;&gt;"",FT!B1329*100,"")</f>
        <v/>
      </c>
      <c r="H1329" s="60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0" t="str">
        <f>IF(FT!A1330&lt;&gt;"",FT!A1330*10,"")</f>
        <v/>
      </c>
      <c r="G1330" s="60" t="str">
        <f>IF(FT!B1330&lt;&gt;"",FT!B1330*100,"")</f>
        <v/>
      </c>
      <c r="H1330" s="60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0" t="str">
        <f>IF(FT!A1331&lt;&gt;"",FT!A1331*10,"")</f>
        <v/>
      </c>
      <c r="G1331" s="60" t="str">
        <f>IF(FT!B1331&lt;&gt;"",FT!B1331*100,"")</f>
        <v/>
      </c>
      <c r="H1331" s="60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0" t="str">
        <f>IF(FT!A1332&lt;&gt;"",FT!A1332*10,"")</f>
        <v/>
      </c>
      <c r="G1332" s="60" t="str">
        <f>IF(FT!B1332&lt;&gt;"",FT!B1332*100,"")</f>
        <v/>
      </c>
      <c r="H1332" s="60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0" t="str">
        <f>IF(FT!A1333&lt;&gt;"",FT!A1333*10,"")</f>
        <v/>
      </c>
      <c r="G1333" s="60" t="str">
        <f>IF(FT!B1333&lt;&gt;"",FT!B1333*100,"")</f>
        <v/>
      </c>
      <c r="H1333" s="60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0" t="str">
        <f>IF(FT!A1334&lt;&gt;"",FT!A1334*10,"")</f>
        <v/>
      </c>
      <c r="G1334" s="60" t="str">
        <f>IF(FT!B1334&lt;&gt;"",FT!B1334*100,"")</f>
        <v/>
      </c>
      <c r="H1334" s="60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0" t="str">
        <f>IF(FT!A1335&lt;&gt;"",FT!A1335*10,"")</f>
        <v/>
      </c>
      <c r="G1335" s="60" t="str">
        <f>IF(FT!B1335&lt;&gt;"",FT!B1335*100,"")</f>
        <v/>
      </c>
      <c r="H1335" s="60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0" t="str">
        <f>IF(FT!A1336&lt;&gt;"",FT!A1336*10,"")</f>
        <v/>
      </c>
      <c r="G1336" s="60" t="str">
        <f>IF(FT!B1336&lt;&gt;"",FT!B1336*100,"")</f>
        <v/>
      </c>
      <c r="H1336" s="60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0" t="str">
        <f>IF(FT!A1337&lt;&gt;"",FT!A1337*10,"")</f>
        <v/>
      </c>
      <c r="G1337" s="60" t="str">
        <f>IF(FT!B1337&lt;&gt;"",FT!B1337*100,"")</f>
        <v/>
      </c>
      <c r="H1337" s="60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0" t="str">
        <f>IF(FT!A1338&lt;&gt;"",FT!A1338*10,"")</f>
        <v/>
      </c>
      <c r="G1338" s="60" t="str">
        <f>IF(FT!B1338&lt;&gt;"",FT!B1338*100,"")</f>
        <v/>
      </c>
      <c r="H1338" s="60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0" t="str">
        <f>IF(FT!A1339&lt;&gt;"",FT!A1339*10,"")</f>
        <v/>
      </c>
      <c r="G1339" s="60" t="str">
        <f>IF(FT!B1339&lt;&gt;"",FT!B1339*100,"")</f>
        <v/>
      </c>
      <c r="H1339" s="60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0" t="str">
        <f>IF(FT!A1340&lt;&gt;"",FT!A1340*10,"")</f>
        <v/>
      </c>
      <c r="G1340" s="60" t="str">
        <f>IF(FT!B1340&lt;&gt;"",FT!B1340*100,"")</f>
        <v/>
      </c>
      <c r="H1340" s="60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0" t="str">
        <f>IF(FT!A1341&lt;&gt;"",FT!A1341*10,"")</f>
        <v/>
      </c>
      <c r="G1341" s="60" t="str">
        <f>IF(FT!B1341&lt;&gt;"",FT!B1341*100,"")</f>
        <v/>
      </c>
      <c r="H1341" s="60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0" t="str">
        <f>IF(FT!A1342&lt;&gt;"",FT!A1342*10,"")</f>
        <v/>
      </c>
      <c r="G1342" s="60" t="str">
        <f>IF(FT!B1342&lt;&gt;"",FT!B1342*100,"")</f>
        <v/>
      </c>
      <c r="H1342" s="60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0" t="str">
        <f>IF(FT!A1343&lt;&gt;"",FT!A1343*10,"")</f>
        <v/>
      </c>
      <c r="G1343" s="60" t="str">
        <f>IF(FT!B1343&lt;&gt;"",FT!B1343*100,"")</f>
        <v/>
      </c>
      <c r="H1343" s="60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0" t="str">
        <f>IF(FT!A1344&lt;&gt;"",FT!A1344*10,"")</f>
        <v/>
      </c>
      <c r="G1344" s="60" t="str">
        <f>IF(FT!B1344&lt;&gt;"",FT!B1344*100,"")</f>
        <v/>
      </c>
      <c r="H1344" s="60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0" t="str">
        <f>IF(FT!A1345&lt;&gt;"",FT!A1345*10,"")</f>
        <v/>
      </c>
      <c r="G1345" s="60" t="str">
        <f>IF(FT!B1345&lt;&gt;"",FT!B1345*100,"")</f>
        <v/>
      </c>
      <c r="H1345" s="60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0" t="str">
        <f>IF(FT!A1346&lt;&gt;"",FT!A1346*10,"")</f>
        <v/>
      </c>
      <c r="G1346" s="60" t="str">
        <f>IF(FT!B1346&lt;&gt;"",FT!B1346*100,"")</f>
        <v/>
      </c>
      <c r="H1346" s="60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0" t="str">
        <f>IF(FT!A1347&lt;&gt;"",FT!A1347*10,"")</f>
        <v/>
      </c>
      <c r="G1347" s="60" t="str">
        <f>IF(FT!B1347&lt;&gt;"",FT!B1347*100,"")</f>
        <v/>
      </c>
      <c r="H1347" s="60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0" t="str">
        <f>IF(FT!A1348&lt;&gt;"",FT!A1348*10,"")</f>
        <v/>
      </c>
      <c r="G1348" s="60" t="str">
        <f>IF(FT!B1348&lt;&gt;"",FT!B1348*100,"")</f>
        <v/>
      </c>
      <c r="H1348" s="60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0" t="str">
        <f>IF(FT!A1349&lt;&gt;"",FT!A1349*10,"")</f>
        <v/>
      </c>
      <c r="G1349" s="60" t="str">
        <f>IF(FT!B1349&lt;&gt;"",FT!B1349*100,"")</f>
        <v/>
      </c>
      <c r="H1349" s="60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0" t="str">
        <f>IF(FT!A1350&lt;&gt;"",FT!A1350*10,"")</f>
        <v/>
      </c>
      <c r="G1350" s="60" t="str">
        <f>IF(FT!B1350&lt;&gt;"",FT!B1350*100,"")</f>
        <v/>
      </c>
      <c r="H1350" s="60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0" t="str">
        <f>IF(FT!A1351&lt;&gt;"",FT!A1351*10,"")</f>
        <v/>
      </c>
      <c r="G1351" s="60" t="str">
        <f>IF(FT!B1351&lt;&gt;"",FT!B1351*100,"")</f>
        <v/>
      </c>
      <c r="H1351" s="60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0" t="str">
        <f>IF(FT!A1352&lt;&gt;"",FT!A1352*10,"")</f>
        <v/>
      </c>
      <c r="G1352" s="60" t="str">
        <f>IF(FT!B1352&lt;&gt;"",FT!B1352*100,"")</f>
        <v/>
      </c>
      <c r="H1352" s="60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0" t="str">
        <f>IF(FT!A1353&lt;&gt;"",FT!A1353*10,"")</f>
        <v/>
      </c>
      <c r="G1353" s="60" t="str">
        <f>IF(FT!B1353&lt;&gt;"",FT!B1353*100,"")</f>
        <v/>
      </c>
      <c r="H1353" s="60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0" t="str">
        <f>IF(FT!A1354&lt;&gt;"",FT!A1354*10,"")</f>
        <v/>
      </c>
      <c r="G1354" s="60" t="str">
        <f>IF(FT!B1354&lt;&gt;"",FT!B1354*100,"")</f>
        <v/>
      </c>
      <c r="H1354" s="60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0" t="str">
        <f>IF(FT!A1355&lt;&gt;"",FT!A1355*10,"")</f>
        <v/>
      </c>
      <c r="G1355" s="60" t="str">
        <f>IF(FT!B1355&lt;&gt;"",FT!B1355*100,"")</f>
        <v/>
      </c>
      <c r="H1355" s="60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0" t="str">
        <f>IF(FT!A1356&lt;&gt;"",FT!A1356*10,"")</f>
        <v/>
      </c>
      <c r="G1356" s="60" t="str">
        <f>IF(FT!B1356&lt;&gt;"",FT!B1356*100,"")</f>
        <v/>
      </c>
      <c r="H1356" s="60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0" t="str">
        <f>IF(FT!A1357&lt;&gt;"",FT!A1357*10,"")</f>
        <v/>
      </c>
      <c r="G1357" s="60" t="str">
        <f>IF(FT!B1357&lt;&gt;"",FT!B1357*100,"")</f>
        <v/>
      </c>
      <c r="H1357" s="60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0" t="str">
        <f>IF(FT!A1358&lt;&gt;"",FT!A1358*10,"")</f>
        <v/>
      </c>
      <c r="G1358" s="60" t="str">
        <f>IF(FT!B1358&lt;&gt;"",FT!B1358*100,"")</f>
        <v/>
      </c>
      <c r="H1358" s="60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0" t="str">
        <f>IF(FT!A1359&lt;&gt;"",FT!A1359*10,"")</f>
        <v/>
      </c>
      <c r="G1359" s="60" t="str">
        <f>IF(FT!B1359&lt;&gt;"",FT!B1359*100,"")</f>
        <v/>
      </c>
      <c r="H1359" s="60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0" t="str">
        <f>IF(FT!A1360&lt;&gt;"",FT!A1360*10,"")</f>
        <v/>
      </c>
      <c r="G1360" s="60" t="str">
        <f>IF(FT!B1360&lt;&gt;"",FT!B1360*100,"")</f>
        <v/>
      </c>
      <c r="H1360" s="60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0" t="str">
        <f>IF(FT!A1361&lt;&gt;"",FT!A1361*10,"")</f>
        <v/>
      </c>
      <c r="G1361" s="60" t="str">
        <f>IF(FT!B1361&lt;&gt;"",FT!B1361*100,"")</f>
        <v/>
      </c>
      <c r="H1361" s="60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0" t="str">
        <f>IF(FT!A1362&lt;&gt;"",FT!A1362*10,"")</f>
        <v/>
      </c>
      <c r="G1362" s="60" t="str">
        <f>IF(FT!B1362&lt;&gt;"",FT!B1362*100,"")</f>
        <v/>
      </c>
      <c r="H1362" s="60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0" t="str">
        <f>IF(FT!A1363&lt;&gt;"",FT!A1363*10,"")</f>
        <v/>
      </c>
      <c r="G1363" s="60" t="str">
        <f>IF(FT!B1363&lt;&gt;"",FT!B1363*100,"")</f>
        <v/>
      </c>
      <c r="H1363" s="60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0" t="str">
        <f>IF(FT!A1364&lt;&gt;"",FT!A1364*10,"")</f>
        <v/>
      </c>
      <c r="G1364" s="60" t="str">
        <f>IF(FT!B1364&lt;&gt;"",FT!B1364*100,"")</f>
        <v/>
      </c>
      <c r="H1364" s="60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0" t="str">
        <f>IF(FT!A1365&lt;&gt;"",FT!A1365*10,"")</f>
        <v/>
      </c>
      <c r="G1365" s="60" t="str">
        <f>IF(FT!B1365&lt;&gt;"",FT!B1365*100,"")</f>
        <v/>
      </c>
      <c r="H1365" s="60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0" t="str">
        <f>IF(FT!A1366&lt;&gt;"",FT!A1366*10,"")</f>
        <v/>
      </c>
      <c r="G1366" s="60" t="str">
        <f>IF(FT!B1366&lt;&gt;"",FT!B1366*100,"")</f>
        <v/>
      </c>
      <c r="H1366" s="60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0" t="str">
        <f>IF(FT!A1367&lt;&gt;"",FT!A1367*10,"")</f>
        <v/>
      </c>
      <c r="G1367" s="60" t="str">
        <f>IF(FT!B1367&lt;&gt;"",FT!B1367*100,"")</f>
        <v/>
      </c>
      <c r="H1367" s="60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0" t="str">
        <f>IF(FT!A1368&lt;&gt;"",FT!A1368*10,"")</f>
        <v/>
      </c>
      <c r="G1368" s="60" t="str">
        <f>IF(FT!B1368&lt;&gt;"",FT!B1368*100,"")</f>
        <v/>
      </c>
      <c r="H1368" s="60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0" t="str">
        <f>IF(FT!A1369&lt;&gt;"",FT!A1369*10,"")</f>
        <v/>
      </c>
      <c r="G1369" s="60" t="str">
        <f>IF(FT!B1369&lt;&gt;"",FT!B1369*100,"")</f>
        <v/>
      </c>
      <c r="H1369" s="60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0" t="str">
        <f>IF(FT!A1370&lt;&gt;"",FT!A1370*10,"")</f>
        <v/>
      </c>
      <c r="G1370" s="60" t="str">
        <f>IF(FT!B1370&lt;&gt;"",FT!B1370*100,"")</f>
        <v/>
      </c>
      <c r="H1370" s="60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0" t="str">
        <f>IF(FT!A1371&lt;&gt;"",FT!A1371*10,"")</f>
        <v/>
      </c>
      <c r="G1371" s="60" t="str">
        <f>IF(FT!B1371&lt;&gt;"",FT!B1371*100,"")</f>
        <v/>
      </c>
      <c r="H1371" s="60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0" t="str">
        <f>IF(FT!A1372&lt;&gt;"",FT!A1372*10,"")</f>
        <v/>
      </c>
      <c r="G1372" s="60" t="str">
        <f>IF(FT!B1372&lt;&gt;"",FT!B1372*100,"")</f>
        <v/>
      </c>
      <c r="H1372" s="60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0" t="str">
        <f>IF(FT!A1373&lt;&gt;"",FT!A1373*10,"")</f>
        <v/>
      </c>
      <c r="G1373" s="60" t="str">
        <f>IF(FT!B1373&lt;&gt;"",FT!B1373*100,"")</f>
        <v/>
      </c>
      <c r="H1373" s="60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0" t="str">
        <f>IF(FT!A1374&lt;&gt;"",FT!A1374*10,"")</f>
        <v/>
      </c>
      <c r="G1374" s="60" t="str">
        <f>IF(FT!B1374&lt;&gt;"",FT!B1374*100,"")</f>
        <v/>
      </c>
      <c r="H1374" s="60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0" t="str">
        <f>IF(FT!A1375&lt;&gt;"",FT!A1375*10,"")</f>
        <v/>
      </c>
      <c r="G1375" s="60" t="str">
        <f>IF(FT!B1375&lt;&gt;"",FT!B1375*100,"")</f>
        <v/>
      </c>
      <c r="H1375" s="60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0" t="str">
        <f>IF(FT!A1376&lt;&gt;"",FT!A1376*10,"")</f>
        <v/>
      </c>
      <c r="G1376" s="60" t="str">
        <f>IF(FT!B1376&lt;&gt;"",FT!B1376*100,"")</f>
        <v/>
      </c>
      <c r="H1376" s="60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0" t="str">
        <f>IF(FT!A1377&lt;&gt;"",FT!A1377*10,"")</f>
        <v/>
      </c>
      <c r="G1377" s="60" t="str">
        <f>IF(FT!B1377&lt;&gt;"",FT!B1377*100,"")</f>
        <v/>
      </c>
      <c r="H1377" s="60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0" t="str">
        <f>IF(FT!A1378&lt;&gt;"",FT!A1378*10,"")</f>
        <v/>
      </c>
      <c r="G1378" s="60" t="str">
        <f>IF(FT!B1378&lt;&gt;"",FT!B1378*100,"")</f>
        <v/>
      </c>
      <c r="H1378" s="60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0" t="str">
        <f>IF(FT!A1379&lt;&gt;"",FT!A1379*10,"")</f>
        <v/>
      </c>
      <c r="G1379" s="60" t="str">
        <f>IF(FT!B1379&lt;&gt;"",FT!B1379*100,"")</f>
        <v/>
      </c>
      <c r="H1379" s="60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0" t="str">
        <f>IF(FT!A1380&lt;&gt;"",FT!A1380*10,"")</f>
        <v/>
      </c>
      <c r="G1380" s="60" t="str">
        <f>IF(FT!B1380&lt;&gt;"",FT!B1380*100,"")</f>
        <v/>
      </c>
      <c r="H1380" s="60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0" t="str">
        <f>IF(FT!A1381&lt;&gt;"",FT!A1381*10,"")</f>
        <v/>
      </c>
      <c r="G1381" s="60" t="str">
        <f>IF(FT!B1381&lt;&gt;"",FT!B1381*100,"")</f>
        <v/>
      </c>
      <c r="H1381" s="60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0" t="str">
        <f>IF(FT!A1382&lt;&gt;"",FT!A1382*10,"")</f>
        <v/>
      </c>
      <c r="G1382" s="60" t="str">
        <f>IF(FT!B1382&lt;&gt;"",FT!B1382*100,"")</f>
        <v/>
      </c>
      <c r="H1382" s="60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0" t="str">
        <f>IF(FT!A1383&lt;&gt;"",FT!A1383*10,"")</f>
        <v/>
      </c>
      <c r="G1383" s="60" t="str">
        <f>IF(FT!B1383&lt;&gt;"",FT!B1383*100,"")</f>
        <v/>
      </c>
      <c r="H1383" s="60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0" t="str">
        <f>IF(FT!A1384&lt;&gt;"",FT!A1384*10,"")</f>
        <v/>
      </c>
      <c r="G1384" s="60" t="str">
        <f>IF(FT!B1384&lt;&gt;"",FT!B1384*100,"")</f>
        <v/>
      </c>
      <c r="H1384" s="60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0" t="str">
        <f>IF(FT!A1385&lt;&gt;"",FT!A1385*10,"")</f>
        <v/>
      </c>
      <c r="G1385" s="60" t="str">
        <f>IF(FT!B1385&lt;&gt;"",FT!B1385*100,"")</f>
        <v/>
      </c>
      <c r="H1385" s="60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0" t="str">
        <f>IF(FT!A1386&lt;&gt;"",FT!A1386*10,"")</f>
        <v/>
      </c>
      <c r="G1386" s="60" t="str">
        <f>IF(FT!B1386&lt;&gt;"",FT!B1386*100,"")</f>
        <v/>
      </c>
      <c r="H1386" s="60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0" t="str">
        <f>IF(FT!A1387&lt;&gt;"",FT!A1387*10,"")</f>
        <v/>
      </c>
      <c r="G1387" s="60" t="str">
        <f>IF(FT!B1387&lt;&gt;"",FT!B1387*100,"")</f>
        <v/>
      </c>
      <c r="H1387" s="60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0" t="str">
        <f>IF(FT!A1388&lt;&gt;"",FT!A1388*10,"")</f>
        <v/>
      </c>
      <c r="G1388" s="60" t="str">
        <f>IF(FT!B1388&lt;&gt;"",FT!B1388*100,"")</f>
        <v/>
      </c>
      <c r="H1388" s="60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0" t="str">
        <f>IF(FT!A1389&lt;&gt;"",FT!A1389*10,"")</f>
        <v/>
      </c>
      <c r="G1389" s="60" t="str">
        <f>IF(FT!B1389&lt;&gt;"",FT!B1389*100,"")</f>
        <v/>
      </c>
      <c r="H1389" s="60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0" t="str">
        <f>IF(FT!A1390&lt;&gt;"",FT!A1390*10,"")</f>
        <v/>
      </c>
      <c r="G1390" s="60" t="str">
        <f>IF(FT!B1390&lt;&gt;"",FT!B1390*100,"")</f>
        <v/>
      </c>
      <c r="H1390" s="60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0" t="str">
        <f>IF(FT!A1391&lt;&gt;"",FT!A1391*10,"")</f>
        <v/>
      </c>
      <c r="G1391" s="60" t="str">
        <f>IF(FT!B1391&lt;&gt;"",FT!B1391*100,"")</f>
        <v/>
      </c>
      <c r="H1391" s="60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0" t="str">
        <f>IF(FT!A1392&lt;&gt;"",FT!A1392*10,"")</f>
        <v/>
      </c>
      <c r="G1392" s="60" t="str">
        <f>IF(FT!B1392&lt;&gt;"",FT!B1392*100,"")</f>
        <v/>
      </c>
      <c r="H1392" s="60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0" t="str">
        <f>IF(FT!A1393&lt;&gt;"",FT!A1393*10,"")</f>
        <v/>
      </c>
      <c r="G1393" s="60" t="str">
        <f>IF(FT!B1393&lt;&gt;"",FT!B1393*100,"")</f>
        <v/>
      </c>
      <c r="H1393" s="60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0" t="str">
        <f>IF(FT!A1394&lt;&gt;"",FT!A1394*10,"")</f>
        <v/>
      </c>
      <c r="G1394" s="60" t="str">
        <f>IF(FT!B1394&lt;&gt;"",FT!B1394*100,"")</f>
        <v/>
      </c>
      <c r="H1394" s="60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0" t="str">
        <f>IF(FT!A1395&lt;&gt;"",FT!A1395*10,"")</f>
        <v/>
      </c>
      <c r="G1395" s="60" t="str">
        <f>IF(FT!B1395&lt;&gt;"",FT!B1395*100,"")</f>
        <v/>
      </c>
      <c r="H1395" s="60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0" t="str">
        <f>IF(FT!A1396&lt;&gt;"",FT!A1396*10,"")</f>
        <v/>
      </c>
      <c r="G1396" s="60" t="str">
        <f>IF(FT!B1396&lt;&gt;"",FT!B1396*100,"")</f>
        <v/>
      </c>
      <c r="H1396" s="60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0" t="str">
        <f>IF(FT!A1397&lt;&gt;"",FT!A1397*10,"")</f>
        <v/>
      </c>
      <c r="G1397" s="60" t="str">
        <f>IF(FT!B1397&lt;&gt;"",FT!B1397*100,"")</f>
        <v/>
      </c>
      <c r="H1397" s="60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0" t="str">
        <f>IF(FT!A1398&lt;&gt;"",FT!A1398*10,"")</f>
        <v/>
      </c>
      <c r="G1398" s="60" t="str">
        <f>IF(FT!B1398&lt;&gt;"",FT!B1398*100,"")</f>
        <v/>
      </c>
      <c r="H1398" s="60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0" t="str">
        <f>IF(FT!A1399&lt;&gt;"",FT!A1399*10,"")</f>
        <v/>
      </c>
      <c r="G1399" s="60" t="str">
        <f>IF(FT!B1399&lt;&gt;"",FT!B1399*100,"")</f>
        <v/>
      </c>
      <c r="H1399" s="60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0" t="str">
        <f>IF(FT!A1400&lt;&gt;"",FT!A1400*10,"")</f>
        <v/>
      </c>
      <c r="G1400" s="60" t="str">
        <f>IF(FT!B1400&lt;&gt;"",FT!B1400*100,"")</f>
        <v/>
      </c>
      <c r="H1400" s="60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0" t="str">
        <f>IF(FT!A1401&lt;&gt;"",FT!A1401*10,"")</f>
        <v/>
      </c>
      <c r="G1401" s="60" t="str">
        <f>IF(FT!B1401&lt;&gt;"",FT!B1401*100,"")</f>
        <v/>
      </c>
      <c r="H1401" s="60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0" t="str">
        <f>IF(FT!A1402&lt;&gt;"",FT!A1402*10,"")</f>
        <v/>
      </c>
      <c r="G1402" s="60" t="str">
        <f>IF(FT!B1402&lt;&gt;"",FT!B1402*100,"")</f>
        <v/>
      </c>
      <c r="H1402" s="60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0" t="str">
        <f>IF(FT!A1403&lt;&gt;"",FT!A1403*10,"")</f>
        <v/>
      </c>
      <c r="G1403" s="60" t="str">
        <f>IF(FT!B1403&lt;&gt;"",FT!B1403*100,"")</f>
        <v/>
      </c>
      <c r="H1403" s="60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0" t="str">
        <f>IF(FT!A1404&lt;&gt;"",FT!A1404*10,"")</f>
        <v/>
      </c>
      <c r="G1404" s="60" t="str">
        <f>IF(FT!B1404&lt;&gt;"",FT!B1404*100,"")</f>
        <v/>
      </c>
      <c r="H1404" s="60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0" t="str">
        <f>IF(FT!A1405&lt;&gt;"",FT!A1405*10,"")</f>
        <v/>
      </c>
      <c r="G1405" s="60" t="str">
        <f>IF(FT!B1405&lt;&gt;"",FT!B1405*100,"")</f>
        <v/>
      </c>
      <c r="H1405" s="60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0" t="str">
        <f>IF(FT!A1406&lt;&gt;"",FT!A1406*10,"")</f>
        <v/>
      </c>
      <c r="G1406" s="60" t="str">
        <f>IF(FT!B1406&lt;&gt;"",FT!B1406*100,"")</f>
        <v/>
      </c>
      <c r="H1406" s="60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0" t="str">
        <f>IF(FT!A1407&lt;&gt;"",FT!A1407*10,"")</f>
        <v/>
      </c>
      <c r="G1407" s="60" t="str">
        <f>IF(FT!B1407&lt;&gt;"",FT!B1407*100,"")</f>
        <v/>
      </c>
      <c r="H1407" s="60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0" t="str">
        <f>IF(FT!A1408&lt;&gt;"",FT!A1408*10,"")</f>
        <v/>
      </c>
      <c r="G1408" s="60" t="str">
        <f>IF(FT!B1408&lt;&gt;"",FT!B1408*100,"")</f>
        <v/>
      </c>
      <c r="H1408" s="60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0" t="str">
        <f>IF(FT!A1409&lt;&gt;"",FT!A1409*10,"")</f>
        <v/>
      </c>
      <c r="G1409" s="60" t="str">
        <f>IF(FT!B1409&lt;&gt;"",FT!B1409*100,"")</f>
        <v/>
      </c>
      <c r="H1409" s="60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0" t="str">
        <f>IF(FT!A1410&lt;&gt;"",FT!A1410*10,"")</f>
        <v/>
      </c>
      <c r="G1410" s="60" t="str">
        <f>IF(FT!B1410&lt;&gt;"",FT!B1410*100,"")</f>
        <v/>
      </c>
      <c r="H1410" s="60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0" t="str">
        <f>IF(FT!A1411&lt;&gt;"",FT!A1411*10,"")</f>
        <v/>
      </c>
      <c r="G1411" s="60" t="str">
        <f>IF(FT!B1411&lt;&gt;"",FT!B1411*100,"")</f>
        <v/>
      </c>
      <c r="H1411" s="60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0" t="str">
        <f>IF(FT!A1412&lt;&gt;"",FT!A1412*10,"")</f>
        <v/>
      </c>
      <c r="G1412" s="60" t="str">
        <f>IF(FT!B1412&lt;&gt;"",FT!B1412*100,"")</f>
        <v/>
      </c>
      <c r="H1412" s="60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0" t="str">
        <f>IF(FT!A1413&lt;&gt;"",FT!A1413*10,"")</f>
        <v/>
      </c>
      <c r="G1413" s="60" t="str">
        <f>IF(FT!B1413&lt;&gt;"",FT!B1413*100,"")</f>
        <v/>
      </c>
      <c r="H1413" s="60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0" t="str">
        <f>IF(FT!A1414&lt;&gt;"",FT!A1414*10,"")</f>
        <v/>
      </c>
      <c r="G1414" s="60" t="str">
        <f>IF(FT!B1414&lt;&gt;"",FT!B1414*100,"")</f>
        <v/>
      </c>
      <c r="H1414" s="60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0" t="str">
        <f>IF(FT!A1415&lt;&gt;"",FT!A1415*10,"")</f>
        <v/>
      </c>
      <c r="G1415" s="60" t="str">
        <f>IF(FT!B1415&lt;&gt;"",FT!B1415*100,"")</f>
        <v/>
      </c>
      <c r="H1415" s="60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0" t="str">
        <f>IF(FT!A1416&lt;&gt;"",FT!A1416*10,"")</f>
        <v/>
      </c>
      <c r="G1416" s="60" t="str">
        <f>IF(FT!B1416&lt;&gt;"",FT!B1416*100,"")</f>
        <v/>
      </c>
      <c r="H1416" s="60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0" t="str">
        <f>IF(FT!A1417&lt;&gt;"",FT!A1417*10,"")</f>
        <v/>
      </c>
      <c r="G1417" s="60" t="str">
        <f>IF(FT!B1417&lt;&gt;"",FT!B1417*100,"")</f>
        <v/>
      </c>
      <c r="H1417" s="60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0" t="str">
        <f>IF(FT!A1418&lt;&gt;"",FT!A1418*10,"")</f>
        <v/>
      </c>
      <c r="G1418" s="60" t="str">
        <f>IF(FT!B1418&lt;&gt;"",FT!B1418*100,"")</f>
        <v/>
      </c>
      <c r="H1418" s="60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0" t="str">
        <f>IF(FT!A1419&lt;&gt;"",FT!A1419*10,"")</f>
        <v/>
      </c>
      <c r="G1419" s="60" t="str">
        <f>IF(FT!B1419&lt;&gt;"",FT!B1419*100,"")</f>
        <v/>
      </c>
      <c r="H1419" s="60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0" t="str">
        <f>IF(FT!A1420&lt;&gt;"",FT!A1420*10,"")</f>
        <v/>
      </c>
      <c r="G1420" s="60" t="str">
        <f>IF(FT!B1420&lt;&gt;"",FT!B1420*100,"")</f>
        <v/>
      </c>
      <c r="H1420" s="60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0" t="str">
        <f>IF(FT!A1421&lt;&gt;"",FT!A1421*10,"")</f>
        <v/>
      </c>
      <c r="G1421" s="60" t="str">
        <f>IF(FT!B1421&lt;&gt;"",FT!B1421*100,"")</f>
        <v/>
      </c>
      <c r="H1421" s="60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0" t="str">
        <f>IF(FT!A1422&lt;&gt;"",FT!A1422*10,"")</f>
        <v/>
      </c>
      <c r="G1422" s="60" t="str">
        <f>IF(FT!B1422&lt;&gt;"",FT!B1422*100,"")</f>
        <v/>
      </c>
      <c r="H1422" s="60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0" t="str">
        <f>IF(FT!A1423&lt;&gt;"",FT!A1423*10,"")</f>
        <v/>
      </c>
      <c r="G1423" s="60" t="str">
        <f>IF(FT!B1423&lt;&gt;"",FT!B1423*100,"")</f>
        <v/>
      </c>
      <c r="H1423" s="60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0" t="str">
        <f>IF(FT!A1424&lt;&gt;"",FT!A1424*10,"")</f>
        <v/>
      </c>
      <c r="G1424" s="60" t="str">
        <f>IF(FT!B1424&lt;&gt;"",FT!B1424*100,"")</f>
        <v/>
      </c>
      <c r="H1424" s="60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0" t="str">
        <f>IF(FT!A1425&lt;&gt;"",FT!A1425*10,"")</f>
        <v/>
      </c>
      <c r="G1425" s="60" t="str">
        <f>IF(FT!B1425&lt;&gt;"",FT!B1425*100,"")</f>
        <v/>
      </c>
      <c r="H1425" s="60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0" t="str">
        <f>IF(FT!A1426&lt;&gt;"",FT!A1426*10,"")</f>
        <v/>
      </c>
      <c r="G1426" s="60" t="str">
        <f>IF(FT!B1426&lt;&gt;"",FT!B1426*100,"")</f>
        <v/>
      </c>
      <c r="H1426" s="60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0" t="str">
        <f>IF(FT!A1427&lt;&gt;"",FT!A1427*10,"")</f>
        <v/>
      </c>
      <c r="G1427" s="60" t="str">
        <f>IF(FT!B1427&lt;&gt;"",FT!B1427*100,"")</f>
        <v/>
      </c>
      <c r="H1427" s="60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0" t="str">
        <f>IF(FT!A1428&lt;&gt;"",FT!A1428*10,"")</f>
        <v/>
      </c>
      <c r="G1428" s="60" t="str">
        <f>IF(FT!B1428&lt;&gt;"",FT!B1428*100,"")</f>
        <v/>
      </c>
      <c r="H1428" s="60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0" t="str">
        <f>IF(FT!A1429&lt;&gt;"",FT!A1429*10,"")</f>
        <v/>
      </c>
      <c r="G1429" s="60" t="str">
        <f>IF(FT!B1429&lt;&gt;"",FT!B1429*100,"")</f>
        <v/>
      </c>
      <c r="H1429" s="60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0" t="str">
        <f>IF(FT!A1430&lt;&gt;"",FT!A1430*10,"")</f>
        <v/>
      </c>
      <c r="G1430" s="60" t="str">
        <f>IF(FT!B1430&lt;&gt;"",FT!B1430*100,"")</f>
        <v/>
      </c>
      <c r="H1430" s="60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0" t="str">
        <f>IF(FT!A1431&lt;&gt;"",FT!A1431*10,"")</f>
        <v/>
      </c>
      <c r="G1431" s="60" t="str">
        <f>IF(FT!B1431&lt;&gt;"",FT!B1431*100,"")</f>
        <v/>
      </c>
      <c r="H1431" s="60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0" t="str">
        <f>IF(FT!A1432&lt;&gt;"",FT!A1432*10,"")</f>
        <v/>
      </c>
      <c r="G1432" s="60" t="str">
        <f>IF(FT!B1432&lt;&gt;"",FT!B1432*100,"")</f>
        <v/>
      </c>
      <c r="H1432" s="60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0" t="str">
        <f>IF(FT!A1433&lt;&gt;"",FT!A1433*10,"")</f>
        <v/>
      </c>
      <c r="G1433" s="60" t="str">
        <f>IF(FT!B1433&lt;&gt;"",FT!B1433*100,"")</f>
        <v/>
      </c>
      <c r="H1433" s="60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0" t="str">
        <f>IF(FT!A1434&lt;&gt;"",FT!A1434*10,"")</f>
        <v/>
      </c>
      <c r="G1434" s="60" t="str">
        <f>IF(FT!B1434&lt;&gt;"",FT!B1434*100,"")</f>
        <v/>
      </c>
      <c r="H1434" s="60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0" t="str">
        <f>IF(FT!A1435&lt;&gt;"",FT!A1435*10,"")</f>
        <v/>
      </c>
      <c r="G1435" s="60" t="str">
        <f>IF(FT!B1435&lt;&gt;"",FT!B1435*100,"")</f>
        <v/>
      </c>
      <c r="H1435" s="60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0" t="str">
        <f>IF(FT!A1436&lt;&gt;"",FT!A1436*10,"")</f>
        <v/>
      </c>
      <c r="G1436" s="60" t="str">
        <f>IF(FT!B1436&lt;&gt;"",FT!B1436*100,"")</f>
        <v/>
      </c>
      <c r="H1436" s="60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0" t="str">
        <f>IF(FT!A1437&lt;&gt;"",FT!A1437*10,"")</f>
        <v/>
      </c>
      <c r="G1437" s="60" t="str">
        <f>IF(FT!B1437&lt;&gt;"",FT!B1437*100,"")</f>
        <v/>
      </c>
      <c r="H1437" s="60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0" t="str">
        <f>IF(FT!A1438&lt;&gt;"",FT!A1438*10,"")</f>
        <v/>
      </c>
      <c r="G1438" s="60" t="str">
        <f>IF(FT!B1438&lt;&gt;"",FT!B1438*100,"")</f>
        <v/>
      </c>
      <c r="H1438" s="60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0" t="str">
        <f>IF(FT!A1439&lt;&gt;"",FT!A1439*10,"")</f>
        <v/>
      </c>
      <c r="G1439" s="60" t="str">
        <f>IF(FT!B1439&lt;&gt;"",FT!B1439*100,"")</f>
        <v/>
      </c>
      <c r="H1439" s="60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0" t="str">
        <f>IF(FT!A1440&lt;&gt;"",FT!A1440*10,"")</f>
        <v/>
      </c>
      <c r="G1440" s="60" t="str">
        <f>IF(FT!B1440&lt;&gt;"",FT!B1440*100,"")</f>
        <v/>
      </c>
      <c r="H1440" s="60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0" t="str">
        <f>IF(FT!A1441&lt;&gt;"",FT!A1441*10,"")</f>
        <v/>
      </c>
      <c r="G1441" s="60" t="str">
        <f>IF(FT!B1441&lt;&gt;"",FT!B1441*100,"")</f>
        <v/>
      </c>
      <c r="H1441" s="60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0" t="str">
        <f>IF(FT!A1442&lt;&gt;"",FT!A1442*10,"")</f>
        <v/>
      </c>
      <c r="G1442" s="60" t="str">
        <f>IF(FT!B1442&lt;&gt;"",FT!B1442*100,"")</f>
        <v/>
      </c>
      <c r="H1442" s="60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0" t="str">
        <f>IF(FT!A1443&lt;&gt;"",FT!A1443*10,"")</f>
        <v/>
      </c>
      <c r="G1443" s="60" t="str">
        <f>IF(FT!B1443&lt;&gt;"",FT!B1443*100,"")</f>
        <v/>
      </c>
      <c r="H1443" s="60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0" t="str">
        <f>IF(FT!A1444&lt;&gt;"",FT!A1444*10,"")</f>
        <v/>
      </c>
      <c r="G1444" s="60" t="str">
        <f>IF(FT!B1444&lt;&gt;"",FT!B1444*100,"")</f>
        <v/>
      </c>
      <c r="H1444" s="60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0" t="str">
        <f>IF(FT!A1445&lt;&gt;"",FT!A1445*10,"")</f>
        <v/>
      </c>
      <c r="G1445" s="60" t="str">
        <f>IF(FT!B1445&lt;&gt;"",FT!B1445*100,"")</f>
        <v/>
      </c>
      <c r="H1445" s="60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0" t="str">
        <f>IF(FT!A1446&lt;&gt;"",FT!A1446*10,"")</f>
        <v/>
      </c>
      <c r="G1446" s="60" t="str">
        <f>IF(FT!B1446&lt;&gt;"",FT!B1446*100,"")</f>
        <v/>
      </c>
      <c r="H1446" s="60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0" t="str">
        <f>IF(FT!A1447&lt;&gt;"",FT!A1447*10,"")</f>
        <v/>
      </c>
      <c r="G1447" s="60" t="str">
        <f>IF(FT!B1447&lt;&gt;"",FT!B1447*100,"")</f>
        <v/>
      </c>
      <c r="H1447" s="60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0" t="str">
        <f>IF(FT!A1448&lt;&gt;"",FT!A1448*10,"")</f>
        <v/>
      </c>
      <c r="G1448" s="60" t="str">
        <f>IF(FT!B1448&lt;&gt;"",FT!B1448*100,"")</f>
        <v/>
      </c>
      <c r="H1448" s="60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0" t="str">
        <f>IF(FT!A1449&lt;&gt;"",FT!A1449*10,"")</f>
        <v/>
      </c>
      <c r="G1449" s="60" t="str">
        <f>IF(FT!B1449&lt;&gt;"",FT!B1449*100,"")</f>
        <v/>
      </c>
      <c r="H1449" s="60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0" t="str">
        <f>IF(FT!A1450&lt;&gt;"",FT!A1450*10,"")</f>
        <v/>
      </c>
      <c r="G1450" s="60" t="str">
        <f>IF(FT!B1450&lt;&gt;"",FT!B1450*100,"")</f>
        <v/>
      </c>
      <c r="H1450" s="60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0" t="str">
        <f>IF(FT!A1451&lt;&gt;"",FT!A1451*10,"")</f>
        <v/>
      </c>
      <c r="G1451" s="60" t="str">
        <f>IF(FT!B1451&lt;&gt;"",FT!B1451*100,"")</f>
        <v/>
      </c>
      <c r="H1451" s="60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0" t="str">
        <f>IF(FT!A1452&lt;&gt;"",FT!A1452*10,"")</f>
        <v/>
      </c>
      <c r="G1452" s="60" t="str">
        <f>IF(FT!B1452&lt;&gt;"",FT!B1452*100,"")</f>
        <v/>
      </c>
      <c r="H1452" s="60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0" t="str">
        <f>IF(FT!A1453&lt;&gt;"",FT!A1453*10,"")</f>
        <v/>
      </c>
      <c r="G1453" s="60" t="str">
        <f>IF(FT!B1453&lt;&gt;"",FT!B1453*100,"")</f>
        <v/>
      </c>
      <c r="H1453" s="60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0" t="str">
        <f>IF(FT!A1454&lt;&gt;"",FT!A1454*10,"")</f>
        <v/>
      </c>
      <c r="G1454" s="60" t="str">
        <f>IF(FT!B1454&lt;&gt;"",FT!B1454*100,"")</f>
        <v/>
      </c>
      <c r="H1454" s="60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0" t="str">
        <f>IF(FT!A1455&lt;&gt;"",FT!A1455*10,"")</f>
        <v/>
      </c>
      <c r="G1455" s="60" t="str">
        <f>IF(FT!B1455&lt;&gt;"",FT!B1455*100,"")</f>
        <v/>
      </c>
      <c r="H1455" s="60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0" t="str">
        <f>IF(FT!A1456&lt;&gt;"",FT!A1456*10,"")</f>
        <v/>
      </c>
      <c r="G1456" s="60" t="str">
        <f>IF(FT!B1456&lt;&gt;"",FT!B1456*100,"")</f>
        <v/>
      </c>
      <c r="H1456" s="60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0" t="str">
        <f>IF(FT!A1457&lt;&gt;"",FT!A1457*10,"")</f>
        <v/>
      </c>
      <c r="G1457" s="60" t="str">
        <f>IF(FT!B1457&lt;&gt;"",FT!B1457*100,"")</f>
        <v/>
      </c>
      <c r="H1457" s="60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0" t="str">
        <f>IF(FT!A1458&lt;&gt;"",FT!A1458*10,"")</f>
        <v/>
      </c>
      <c r="G1458" s="60" t="str">
        <f>IF(FT!B1458&lt;&gt;"",FT!B1458*100,"")</f>
        <v/>
      </c>
      <c r="H1458" s="60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0" t="str">
        <f>IF(FT!A1459&lt;&gt;"",FT!A1459*10,"")</f>
        <v/>
      </c>
      <c r="G1459" s="60" t="str">
        <f>IF(FT!B1459&lt;&gt;"",FT!B1459*100,"")</f>
        <v/>
      </c>
      <c r="H1459" s="60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0" t="str">
        <f>IF(FT!A1460&lt;&gt;"",FT!A1460*10,"")</f>
        <v/>
      </c>
      <c r="G1460" s="60" t="str">
        <f>IF(FT!B1460&lt;&gt;"",FT!B1460*100,"")</f>
        <v/>
      </c>
      <c r="H1460" s="60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0" t="str">
        <f>IF(FT!A1461&lt;&gt;"",FT!A1461*10,"")</f>
        <v/>
      </c>
      <c r="G1461" s="60" t="str">
        <f>IF(FT!B1461&lt;&gt;"",FT!B1461*100,"")</f>
        <v/>
      </c>
      <c r="H1461" s="60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0" t="str">
        <f>IF(FT!A1462&lt;&gt;"",FT!A1462*10,"")</f>
        <v/>
      </c>
      <c r="G1462" s="60" t="str">
        <f>IF(FT!B1462&lt;&gt;"",FT!B1462*100,"")</f>
        <v/>
      </c>
      <c r="H1462" s="60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0" t="str">
        <f>IF(FT!A1463&lt;&gt;"",FT!A1463*10,"")</f>
        <v/>
      </c>
      <c r="G1463" s="60" t="str">
        <f>IF(FT!B1463&lt;&gt;"",FT!B1463*100,"")</f>
        <v/>
      </c>
      <c r="H1463" s="60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0" t="str">
        <f>IF(FT!A1464&lt;&gt;"",FT!A1464*10,"")</f>
        <v/>
      </c>
      <c r="G1464" s="60" t="str">
        <f>IF(FT!B1464&lt;&gt;"",FT!B1464*100,"")</f>
        <v/>
      </c>
      <c r="H1464" s="60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0" t="str">
        <f>IF(FT!A1465&lt;&gt;"",FT!A1465*10,"")</f>
        <v/>
      </c>
      <c r="G1465" s="60" t="str">
        <f>IF(FT!B1465&lt;&gt;"",FT!B1465*100,"")</f>
        <v/>
      </c>
      <c r="H1465" s="60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0" t="str">
        <f>IF(FT!A1466&lt;&gt;"",FT!A1466*10,"")</f>
        <v/>
      </c>
      <c r="G1466" s="60" t="str">
        <f>IF(FT!B1466&lt;&gt;"",FT!B1466*100,"")</f>
        <v/>
      </c>
      <c r="H1466" s="60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0" t="str">
        <f>IF(FT!A1467&lt;&gt;"",FT!A1467*10,"")</f>
        <v/>
      </c>
      <c r="G1467" s="60" t="str">
        <f>IF(FT!B1467&lt;&gt;"",FT!B1467*100,"")</f>
        <v/>
      </c>
      <c r="H1467" s="60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0" t="str">
        <f>IF(FT!A1468&lt;&gt;"",FT!A1468*10,"")</f>
        <v/>
      </c>
      <c r="G1468" s="60" t="str">
        <f>IF(FT!B1468&lt;&gt;"",FT!B1468*100,"")</f>
        <v/>
      </c>
      <c r="H1468" s="60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0" t="str">
        <f>IF(FT!A1469&lt;&gt;"",FT!A1469*10,"")</f>
        <v/>
      </c>
      <c r="G1469" s="60" t="str">
        <f>IF(FT!B1469&lt;&gt;"",FT!B1469*100,"")</f>
        <v/>
      </c>
      <c r="H1469" s="60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0" t="str">
        <f>IF(FT!A1470&lt;&gt;"",FT!A1470*10,"")</f>
        <v/>
      </c>
      <c r="G1470" s="60" t="str">
        <f>IF(FT!B1470&lt;&gt;"",FT!B1470*100,"")</f>
        <v/>
      </c>
      <c r="H1470" s="60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0" t="str">
        <f>IF(FT!A1471&lt;&gt;"",FT!A1471*10,"")</f>
        <v/>
      </c>
      <c r="G1471" s="60" t="str">
        <f>IF(FT!B1471&lt;&gt;"",FT!B1471*100,"")</f>
        <v/>
      </c>
      <c r="H1471" s="60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0" t="str">
        <f>IF(FT!A1472&lt;&gt;"",FT!A1472*10,"")</f>
        <v/>
      </c>
      <c r="G1472" s="60" t="str">
        <f>IF(FT!B1472&lt;&gt;"",FT!B1472*100,"")</f>
        <v/>
      </c>
      <c r="H1472" s="60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0" t="str">
        <f>IF(FT!A1473&lt;&gt;"",FT!A1473*10,"")</f>
        <v/>
      </c>
      <c r="G1473" s="60" t="str">
        <f>IF(FT!B1473&lt;&gt;"",FT!B1473*100,"")</f>
        <v/>
      </c>
      <c r="H1473" s="60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0" t="str">
        <f>IF(FT!A1474&lt;&gt;"",FT!A1474*10,"")</f>
        <v/>
      </c>
      <c r="G1474" s="60" t="str">
        <f>IF(FT!B1474&lt;&gt;"",FT!B1474*100,"")</f>
        <v/>
      </c>
      <c r="H1474" s="60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0" t="str">
        <f>IF(FT!A1475&lt;&gt;"",FT!A1475*10,"")</f>
        <v/>
      </c>
      <c r="G1475" s="60" t="str">
        <f>IF(FT!B1475&lt;&gt;"",FT!B1475*100,"")</f>
        <v/>
      </c>
      <c r="H1475" s="60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0" t="str">
        <f>IF(FT!A1476&lt;&gt;"",FT!A1476*10,"")</f>
        <v/>
      </c>
      <c r="G1476" s="60" t="str">
        <f>IF(FT!B1476&lt;&gt;"",FT!B1476*100,"")</f>
        <v/>
      </c>
      <c r="H1476" s="60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0" t="str">
        <f>IF(FT!A1477&lt;&gt;"",FT!A1477*10,"")</f>
        <v/>
      </c>
      <c r="G1477" s="60" t="str">
        <f>IF(FT!B1477&lt;&gt;"",FT!B1477*100,"")</f>
        <v/>
      </c>
      <c r="H1477" s="60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0" t="str">
        <f>IF(FT!A1478&lt;&gt;"",FT!A1478*10,"")</f>
        <v/>
      </c>
      <c r="G1478" s="60" t="str">
        <f>IF(FT!B1478&lt;&gt;"",FT!B1478*100,"")</f>
        <v/>
      </c>
      <c r="H1478" s="60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0" t="str">
        <f>IF(FT!A1479&lt;&gt;"",FT!A1479*10,"")</f>
        <v/>
      </c>
      <c r="G1479" s="60" t="str">
        <f>IF(FT!B1479&lt;&gt;"",FT!B1479*100,"")</f>
        <v/>
      </c>
      <c r="H1479" s="60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0" t="str">
        <f>IF(FT!A1480&lt;&gt;"",FT!A1480*10,"")</f>
        <v/>
      </c>
      <c r="G1480" s="60" t="str">
        <f>IF(FT!B1480&lt;&gt;"",FT!B1480*100,"")</f>
        <v/>
      </c>
      <c r="H1480" s="60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0" t="str">
        <f>IF(FT!A1481&lt;&gt;"",FT!A1481*10,"")</f>
        <v/>
      </c>
      <c r="G1481" s="60" t="str">
        <f>IF(FT!B1481&lt;&gt;"",FT!B1481*100,"")</f>
        <v/>
      </c>
      <c r="H1481" s="60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0" t="str">
        <f>IF(FT!A1482&lt;&gt;"",FT!A1482*10,"")</f>
        <v/>
      </c>
      <c r="G1482" s="60" t="str">
        <f>IF(FT!B1482&lt;&gt;"",FT!B1482*100,"")</f>
        <v/>
      </c>
      <c r="H1482" s="60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0" t="str">
        <f>IF(FT!A1483&lt;&gt;"",FT!A1483*10,"")</f>
        <v/>
      </c>
      <c r="G1483" s="60" t="str">
        <f>IF(FT!B1483&lt;&gt;"",FT!B1483*100,"")</f>
        <v/>
      </c>
      <c r="H1483" s="60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0" t="str">
        <f>IF(FT!A1484&lt;&gt;"",FT!A1484*10,"")</f>
        <v/>
      </c>
      <c r="G1484" s="60" t="str">
        <f>IF(FT!B1484&lt;&gt;"",FT!B1484*100,"")</f>
        <v/>
      </c>
      <c r="H1484" s="60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0" t="str">
        <f>IF(FT!A1485&lt;&gt;"",FT!A1485*10,"")</f>
        <v/>
      </c>
      <c r="G1485" s="60" t="str">
        <f>IF(FT!B1485&lt;&gt;"",FT!B1485*100,"")</f>
        <v/>
      </c>
      <c r="H1485" s="60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0" t="str">
        <f>IF(FT!A1486&lt;&gt;"",FT!A1486*10,"")</f>
        <v/>
      </c>
      <c r="G1486" s="60" t="str">
        <f>IF(FT!B1486&lt;&gt;"",FT!B1486*100,"")</f>
        <v/>
      </c>
      <c r="H1486" s="60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0" t="str">
        <f>IF(FT!A1487&lt;&gt;"",FT!A1487*10,"")</f>
        <v/>
      </c>
      <c r="G1487" s="60" t="str">
        <f>IF(FT!B1487&lt;&gt;"",FT!B1487*100,"")</f>
        <v/>
      </c>
      <c r="H1487" s="60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0" t="str">
        <f>IF(FT!A1488&lt;&gt;"",FT!A1488*10,"")</f>
        <v/>
      </c>
      <c r="G1488" s="60" t="str">
        <f>IF(FT!B1488&lt;&gt;"",FT!B1488*100,"")</f>
        <v/>
      </c>
      <c r="H1488" s="60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0" t="str">
        <f>IF(FT!A1489&lt;&gt;"",FT!A1489*10,"")</f>
        <v/>
      </c>
      <c r="G1489" s="60" t="str">
        <f>IF(FT!B1489&lt;&gt;"",FT!B1489*100,"")</f>
        <v/>
      </c>
      <c r="H1489" s="60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0" t="str">
        <f>IF(FT!A1490&lt;&gt;"",FT!A1490*10,"")</f>
        <v/>
      </c>
      <c r="G1490" s="60" t="str">
        <f>IF(FT!B1490&lt;&gt;"",FT!B1490*100,"")</f>
        <v/>
      </c>
      <c r="H1490" s="60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0" t="str">
        <f>IF(FT!A1491&lt;&gt;"",FT!A1491*10,"")</f>
        <v/>
      </c>
      <c r="G1491" s="60" t="str">
        <f>IF(FT!B1491&lt;&gt;"",FT!B1491*100,"")</f>
        <v/>
      </c>
      <c r="H1491" s="60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0" t="str">
        <f>IF(FT!A1492&lt;&gt;"",FT!A1492*10,"")</f>
        <v/>
      </c>
      <c r="G1492" s="60" t="str">
        <f>IF(FT!B1492&lt;&gt;"",FT!B1492*100,"")</f>
        <v/>
      </c>
      <c r="H1492" s="60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0" t="str">
        <f>IF(FT!A1493&lt;&gt;"",FT!A1493*10,"")</f>
        <v/>
      </c>
      <c r="G1493" s="60" t="str">
        <f>IF(FT!B1493&lt;&gt;"",FT!B1493*100,"")</f>
        <v/>
      </c>
      <c r="H1493" s="60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0" t="str">
        <f>IF(FT!A1494&lt;&gt;"",FT!A1494*10,"")</f>
        <v/>
      </c>
      <c r="G1494" s="60" t="str">
        <f>IF(FT!B1494&lt;&gt;"",FT!B1494*100,"")</f>
        <v/>
      </c>
      <c r="H1494" s="60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0" t="str">
        <f>IF(FT!A1495&lt;&gt;"",FT!A1495*10,"")</f>
        <v/>
      </c>
      <c r="G1495" s="60" t="str">
        <f>IF(FT!B1495&lt;&gt;"",FT!B1495*100,"")</f>
        <v/>
      </c>
      <c r="H1495" s="60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0" t="str">
        <f>IF(FT!A1496&lt;&gt;"",FT!A1496*10,"")</f>
        <v/>
      </c>
      <c r="G1496" s="60" t="str">
        <f>IF(FT!B1496&lt;&gt;"",FT!B1496*100,"")</f>
        <v/>
      </c>
      <c r="H1496" s="60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0" t="str">
        <f>IF(FT!A1497&lt;&gt;"",FT!A1497*10,"")</f>
        <v/>
      </c>
      <c r="G1497" s="60" t="str">
        <f>IF(FT!B1497&lt;&gt;"",FT!B1497*100,"")</f>
        <v/>
      </c>
      <c r="H1497" s="60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0" t="str">
        <f>IF(FT!A1498&lt;&gt;"",FT!A1498*10,"")</f>
        <v/>
      </c>
      <c r="G1498" s="60" t="str">
        <f>IF(FT!B1498&lt;&gt;"",FT!B1498*100,"")</f>
        <v/>
      </c>
      <c r="H1498" s="60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0" t="str">
        <f>IF(FT!A1499&lt;&gt;"",FT!A1499*10,"")</f>
        <v/>
      </c>
      <c r="G1499" s="60" t="str">
        <f>IF(FT!B1499&lt;&gt;"",FT!B1499*100,"")</f>
        <v/>
      </c>
      <c r="H1499" s="60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0" t="str">
        <f>IF(FT!A1500&lt;&gt;"",FT!A1500*10,"")</f>
        <v/>
      </c>
      <c r="G1500" s="60" t="str">
        <f>IF(FT!B1500&lt;&gt;"",FT!B1500*100,"")</f>
        <v/>
      </c>
      <c r="H1500" s="60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0" t="str">
        <f>IF(FT!A1501&lt;&gt;"",FT!A1501*10,"")</f>
        <v/>
      </c>
      <c r="G1501" s="60" t="str">
        <f>IF(FT!B1501&lt;&gt;"",FT!B1501*100,"")</f>
        <v/>
      </c>
      <c r="H1501" s="60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0" t="str">
        <f>IF(FT!A1502&lt;&gt;"",FT!A1502*10,"")</f>
        <v/>
      </c>
      <c r="G1502" s="60" t="str">
        <f>IF(FT!B1502&lt;&gt;"",FT!B1502*100,"")</f>
        <v/>
      </c>
      <c r="H1502" s="60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0" t="str">
        <f>IF(FT!A1503&lt;&gt;"",FT!A1503*10,"")</f>
        <v/>
      </c>
      <c r="G1503" s="60" t="str">
        <f>IF(FT!B1503&lt;&gt;"",FT!B1503*100,"")</f>
        <v/>
      </c>
      <c r="H1503" s="60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0" t="str">
        <f>IF(FT!A1504&lt;&gt;"",FT!A1504*10,"")</f>
        <v/>
      </c>
      <c r="G1504" s="60" t="str">
        <f>IF(FT!B1504&lt;&gt;"",FT!B1504*100,"")</f>
        <v/>
      </c>
      <c r="H1504" s="60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0" t="str">
        <f>IF(FT!A1505&lt;&gt;"",FT!A1505*10,"")</f>
        <v/>
      </c>
      <c r="G1505" s="60" t="str">
        <f>IF(FT!B1505&lt;&gt;"",FT!B1505*100,"")</f>
        <v/>
      </c>
      <c r="H1505" s="60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0" t="str">
        <f>IF(FT!A1506&lt;&gt;"",FT!A1506*10,"")</f>
        <v/>
      </c>
      <c r="G1506" s="60" t="str">
        <f>IF(FT!B1506&lt;&gt;"",FT!B1506*100,"")</f>
        <v/>
      </c>
      <c r="H1506" s="60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0" t="str">
        <f>IF(FT!A1507&lt;&gt;"",FT!A1507*10,"")</f>
        <v/>
      </c>
      <c r="G1507" s="60" t="str">
        <f>IF(FT!B1507&lt;&gt;"",FT!B1507*100,"")</f>
        <v/>
      </c>
      <c r="H1507" s="60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0" t="str">
        <f>IF(FT!A1508&lt;&gt;"",FT!A1508*10,"")</f>
        <v/>
      </c>
      <c r="G1508" s="60" t="str">
        <f>IF(FT!B1508&lt;&gt;"",FT!B1508*100,"")</f>
        <v/>
      </c>
      <c r="H1508" s="60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0" t="str">
        <f>IF(FT!A1509&lt;&gt;"",FT!A1509*10,"")</f>
        <v/>
      </c>
      <c r="G1509" s="60" t="str">
        <f>IF(FT!B1509&lt;&gt;"",FT!B1509*100,"")</f>
        <v/>
      </c>
      <c r="H1509" s="60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0" t="str">
        <f>IF(FT!A1510&lt;&gt;"",FT!A1510*10,"")</f>
        <v/>
      </c>
      <c r="G1510" s="60" t="str">
        <f>IF(FT!B1510&lt;&gt;"",FT!B1510*100,"")</f>
        <v/>
      </c>
      <c r="H1510" s="60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0" t="str">
        <f>IF(FT!A1511&lt;&gt;"",FT!A1511*10,"")</f>
        <v/>
      </c>
      <c r="G1511" s="60" t="str">
        <f>IF(FT!B1511&lt;&gt;"",FT!B1511*100,"")</f>
        <v/>
      </c>
      <c r="H1511" s="60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0" t="str">
        <f>IF(FT!A1512&lt;&gt;"",FT!A1512*10,"")</f>
        <v/>
      </c>
      <c r="G1512" s="60" t="str">
        <f>IF(FT!B1512&lt;&gt;"",FT!B1512*100,"")</f>
        <v/>
      </c>
      <c r="H1512" s="60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0" t="str">
        <f>IF(FT!A1513&lt;&gt;"",FT!A1513*10,"")</f>
        <v/>
      </c>
      <c r="G1513" s="60" t="str">
        <f>IF(FT!B1513&lt;&gt;"",FT!B1513*100,"")</f>
        <v/>
      </c>
      <c r="H1513" s="60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0" t="str">
        <f>IF(FT!A1514&lt;&gt;"",FT!A1514*10,"")</f>
        <v/>
      </c>
      <c r="G1514" s="60" t="str">
        <f>IF(FT!B1514&lt;&gt;"",FT!B1514*100,"")</f>
        <v/>
      </c>
      <c r="H1514" s="60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0" t="str">
        <f>IF(FT!A1515&lt;&gt;"",FT!A1515*10,"")</f>
        <v/>
      </c>
      <c r="G1515" s="60" t="str">
        <f>IF(FT!B1515&lt;&gt;"",FT!B1515*100,"")</f>
        <v/>
      </c>
      <c r="H1515" s="60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0" t="str">
        <f>IF(FT!A1516&lt;&gt;"",FT!A1516*10,"")</f>
        <v/>
      </c>
      <c r="G1516" s="60" t="str">
        <f>IF(FT!B1516&lt;&gt;"",FT!B1516*100,"")</f>
        <v/>
      </c>
      <c r="H1516" s="60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0" t="str">
        <f>IF(FT!A1517&lt;&gt;"",FT!A1517*10,"")</f>
        <v/>
      </c>
      <c r="G1517" s="60" t="str">
        <f>IF(FT!B1517&lt;&gt;"",FT!B1517*100,"")</f>
        <v/>
      </c>
      <c r="H1517" s="60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0" t="str">
        <f>IF(FT!A1518&lt;&gt;"",FT!A1518*10,"")</f>
        <v/>
      </c>
      <c r="G1518" s="60" t="str">
        <f>IF(FT!B1518&lt;&gt;"",FT!B1518*100,"")</f>
        <v/>
      </c>
      <c r="H1518" s="60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0" t="str">
        <f>IF(FT!A1519&lt;&gt;"",FT!A1519*10,"")</f>
        <v/>
      </c>
      <c r="G1519" s="60" t="str">
        <f>IF(FT!B1519&lt;&gt;"",FT!B1519*100,"")</f>
        <v/>
      </c>
      <c r="H1519" s="60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0" t="str">
        <f>IF(FT!A1520&lt;&gt;"",FT!A1520*10,"")</f>
        <v/>
      </c>
      <c r="G1520" s="60" t="str">
        <f>IF(FT!B1520&lt;&gt;"",FT!B1520*100,"")</f>
        <v/>
      </c>
      <c r="H1520" s="60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0" t="str">
        <f>IF(FT!A1521&lt;&gt;"",FT!A1521*10,"")</f>
        <v/>
      </c>
      <c r="G1521" s="60" t="str">
        <f>IF(FT!B1521&lt;&gt;"",FT!B1521*100,"")</f>
        <v/>
      </c>
      <c r="H1521" s="60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0" t="str">
        <f>IF(FT!A1522&lt;&gt;"",FT!A1522*10,"")</f>
        <v/>
      </c>
      <c r="G1522" s="60" t="str">
        <f>IF(FT!B1522&lt;&gt;"",FT!B1522*100,"")</f>
        <v/>
      </c>
      <c r="H1522" s="60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0" t="str">
        <f>IF(FT!A1523&lt;&gt;"",FT!A1523*10,"")</f>
        <v/>
      </c>
      <c r="G1523" s="60" t="str">
        <f>IF(FT!B1523&lt;&gt;"",FT!B1523*100,"")</f>
        <v/>
      </c>
      <c r="H1523" s="60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0" t="str">
        <f>IF(FT!A1524&lt;&gt;"",FT!A1524*10,"")</f>
        <v/>
      </c>
      <c r="G1524" s="60" t="str">
        <f>IF(FT!B1524&lt;&gt;"",FT!B1524*100,"")</f>
        <v/>
      </c>
      <c r="H1524" s="60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0" t="str">
        <f>IF(FT!A1525&lt;&gt;"",FT!A1525*10,"")</f>
        <v/>
      </c>
      <c r="G1525" s="60" t="str">
        <f>IF(FT!B1525&lt;&gt;"",FT!B1525*100,"")</f>
        <v/>
      </c>
      <c r="H1525" s="60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0" t="str">
        <f>IF(FT!A1526&lt;&gt;"",FT!A1526*10,"")</f>
        <v/>
      </c>
      <c r="G1526" s="60" t="str">
        <f>IF(FT!B1526&lt;&gt;"",FT!B1526*100,"")</f>
        <v/>
      </c>
      <c r="H1526" s="60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0" t="str">
        <f>IF(FT!A1527&lt;&gt;"",FT!A1527*10,"")</f>
        <v/>
      </c>
      <c r="G1527" s="60" t="str">
        <f>IF(FT!B1527&lt;&gt;"",FT!B1527*100,"")</f>
        <v/>
      </c>
      <c r="H1527" s="60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0" t="str">
        <f>IF(FT!A1528&lt;&gt;"",FT!A1528*10,"")</f>
        <v/>
      </c>
      <c r="G1528" s="60" t="str">
        <f>IF(FT!B1528&lt;&gt;"",FT!B1528*100,"")</f>
        <v/>
      </c>
      <c r="H1528" s="60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0" t="str">
        <f>IF(FT!A1529&lt;&gt;"",FT!A1529*10,"")</f>
        <v/>
      </c>
      <c r="G1529" s="60" t="str">
        <f>IF(FT!B1529&lt;&gt;"",FT!B1529*100,"")</f>
        <v/>
      </c>
      <c r="H1529" s="60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0" t="str">
        <f>IF(FT!A1530&lt;&gt;"",FT!A1530*10,"")</f>
        <v/>
      </c>
      <c r="G1530" s="60" t="str">
        <f>IF(FT!B1530&lt;&gt;"",FT!B1530*100,"")</f>
        <v/>
      </c>
      <c r="H1530" s="60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0" t="str">
        <f>IF(FT!A1531&lt;&gt;"",FT!A1531*10,"")</f>
        <v/>
      </c>
      <c r="G1531" s="60" t="str">
        <f>IF(FT!B1531&lt;&gt;"",FT!B1531*100,"")</f>
        <v/>
      </c>
      <c r="H1531" s="60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0" t="str">
        <f>IF(FT!A1532&lt;&gt;"",FT!A1532*10,"")</f>
        <v/>
      </c>
      <c r="G1532" s="60" t="str">
        <f>IF(FT!B1532&lt;&gt;"",FT!B1532*100,"")</f>
        <v/>
      </c>
      <c r="H1532" s="60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0" t="str">
        <f>IF(FT!A1533&lt;&gt;"",FT!A1533*10,"")</f>
        <v/>
      </c>
      <c r="G1533" s="60" t="str">
        <f>IF(FT!B1533&lt;&gt;"",FT!B1533*100,"")</f>
        <v/>
      </c>
      <c r="H1533" s="60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0" t="str">
        <f>IF(FT!A1534&lt;&gt;"",FT!A1534*10,"")</f>
        <v/>
      </c>
      <c r="G1534" s="60" t="str">
        <f>IF(FT!B1534&lt;&gt;"",FT!B1534*100,"")</f>
        <v/>
      </c>
      <c r="H1534" s="60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0" t="str">
        <f>IF(FT!A1535&lt;&gt;"",FT!A1535*10,"")</f>
        <v/>
      </c>
      <c r="G1535" s="60" t="str">
        <f>IF(FT!B1535&lt;&gt;"",FT!B1535*100,"")</f>
        <v/>
      </c>
      <c r="H1535" s="60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0" t="str">
        <f>IF(FT!A1536&lt;&gt;"",FT!A1536*10,"")</f>
        <v/>
      </c>
      <c r="G1536" s="60" t="str">
        <f>IF(FT!B1536&lt;&gt;"",FT!B1536*100,"")</f>
        <v/>
      </c>
      <c r="H1536" s="60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0" t="str">
        <f>IF(FT!A1537&lt;&gt;"",FT!A1537*10,"")</f>
        <v/>
      </c>
      <c r="G1537" s="60" t="str">
        <f>IF(FT!B1537&lt;&gt;"",FT!B1537*100,"")</f>
        <v/>
      </c>
      <c r="H1537" s="60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0" t="str">
        <f>IF(FT!A1538&lt;&gt;"",FT!A1538*10,"")</f>
        <v/>
      </c>
      <c r="G1538" s="60" t="str">
        <f>IF(FT!B1538&lt;&gt;"",FT!B1538*100,"")</f>
        <v/>
      </c>
      <c r="H1538" s="60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0" t="str">
        <f>IF(FT!A1539&lt;&gt;"",FT!A1539*10,"")</f>
        <v/>
      </c>
      <c r="G1539" s="60" t="str">
        <f>IF(FT!B1539&lt;&gt;"",FT!B1539*100,"")</f>
        <v/>
      </c>
      <c r="H1539" s="60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0" t="str">
        <f>IF(FT!A1540&lt;&gt;"",FT!A1540*10,"")</f>
        <v/>
      </c>
      <c r="G1540" s="60" t="str">
        <f>IF(FT!B1540&lt;&gt;"",FT!B1540*100,"")</f>
        <v/>
      </c>
      <c r="H1540" s="60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0" t="str">
        <f>IF(FT!A1541&lt;&gt;"",FT!A1541*10,"")</f>
        <v/>
      </c>
      <c r="G1541" s="60" t="str">
        <f>IF(FT!B1541&lt;&gt;"",FT!B1541*100,"")</f>
        <v/>
      </c>
      <c r="H1541" s="60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0" t="str">
        <f>IF(FT!A1542&lt;&gt;"",FT!A1542*10,"")</f>
        <v/>
      </c>
      <c r="G1542" s="60" t="str">
        <f>IF(FT!B1542&lt;&gt;"",FT!B1542*100,"")</f>
        <v/>
      </c>
      <c r="H1542" s="60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0" t="str">
        <f>IF(FT!A1543&lt;&gt;"",FT!A1543*10,"")</f>
        <v/>
      </c>
      <c r="G1543" s="60" t="str">
        <f>IF(FT!B1543&lt;&gt;"",FT!B1543*100,"")</f>
        <v/>
      </c>
      <c r="H1543" s="60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0" t="str">
        <f>IF(FT!A1544&lt;&gt;"",FT!A1544*10,"")</f>
        <v/>
      </c>
      <c r="G1544" s="60" t="str">
        <f>IF(FT!B1544&lt;&gt;"",FT!B1544*100,"")</f>
        <v/>
      </c>
      <c r="H1544" s="60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0" t="str">
        <f>IF(FT!A1545&lt;&gt;"",FT!A1545*10,"")</f>
        <v/>
      </c>
      <c r="G1545" s="60" t="str">
        <f>IF(FT!B1545&lt;&gt;"",FT!B1545*100,"")</f>
        <v/>
      </c>
      <c r="H1545" s="60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0" t="str">
        <f>IF(FT!A1546&lt;&gt;"",FT!A1546*10,"")</f>
        <v/>
      </c>
      <c r="G1546" s="60" t="str">
        <f>IF(FT!B1546&lt;&gt;"",FT!B1546*100,"")</f>
        <v/>
      </c>
      <c r="H1546" s="60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0" t="str">
        <f>IF(FT!A1547&lt;&gt;"",FT!A1547*10,"")</f>
        <v/>
      </c>
      <c r="G1547" s="60" t="str">
        <f>IF(FT!B1547&lt;&gt;"",FT!B1547*100,"")</f>
        <v/>
      </c>
      <c r="H1547" s="60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0" t="str">
        <f>IF(FT!A1548&lt;&gt;"",FT!A1548*10,"")</f>
        <v/>
      </c>
      <c r="G1548" s="60" t="str">
        <f>IF(FT!B1548&lt;&gt;"",FT!B1548*100,"")</f>
        <v/>
      </c>
      <c r="H1548" s="60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0" t="str">
        <f>IF(FT!A1549&lt;&gt;"",FT!A1549*10,"")</f>
        <v/>
      </c>
      <c r="G1549" s="60" t="str">
        <f>IF(FT!B1549&lt;&gt;"",FT!B1549*100,"")</f>
        <v/>
      </c>
      <c r="H1549" s="60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0" t="str">
        <f>IF(FT!A1550&lt;&gt;"",FT!A1550*10,"")</f>
        <v/>
      </c>
      <c r="G1550" s="60" t="str">
        <f>IF(FT!B1550&lt;&gt;"",FT!B1550*100,"")</f>
        <v/>
      </c>
      <c r="H1550" s="60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0" t="str">
        <f>IF(FT!A1551&lt;&gt;"",FT!A1551*10,"")</f>
        <v/>
      </c>
      <c r="G1551" s="60" t="str">
        <f>IF(FT!B1551&lt;&gt;"",FT!B1551*100,"")</f>
        <v/>
      </c>
      <c r="H1551" s="60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0" t="str">
        <f>IF(FT!A1552&lt;&gt;"",FT!A1552*10,"")</f>
        <v/>
      </c>
      <c r="G1552" s="60" t="str">
        <f>IF(FT!B1552&lt;&gt;"",FT!B1552*100,"")</f>
        <v/>
      </c>
      <c r="H1552" s="60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0" t="str">
        <f>IF(FT!A1553&lt;&gt;"",FT!A1553*10,"")</f>
        <v/>
      </c>
      <c r="G1553" s="60" t="str">
        <f>IF(FT!B1553&lt;&gt;"",FT!B1553*100,"")</f>
        <v/>
      </c>
      <c r="H1553" s="60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0" t="str">
        <f>IF(FT!A1554&lt;&gt;"",FT!A1554*10,"")</f>
        <v/>
      </c>
      <c r="G1554" s="60" t="str">
        <f>IF(FT!B1554&lt;&gt;"",FT!B1554*100,"")</f>
        <v/>
      </c>
      <c r="H1554" s="60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0" t="str">
        <f>IF(FT!A1555&lt;&gt;"",FT!A1555*10,"")</f>
        <v/>
      </c>
      <c r="G1555" s="60" t="str">
        <f>IF(FT!B1555&lt;&gt;"",FT!B1555*100,"")</f>
        <v/>
      </c>
      <c r="H1555" s="60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0" t="str">
        <f>IF(FT!A1556&lt;&gt;"",FT!A1556*10,"")</f>
        <v/>
      </c>
      <c r="G1556" s="60" t="str">
        <f>IF(FT!B1556&lt;&gt;"",FT!B1556*100,"")</f>
        <v/>
      </c>
      <c r="H1556" s="60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0" t="str">
        <f>IF(FT!A1557&lt;&gt;"",FT!A1557*10,"")</f>
        <v/>
      </c>
      <c r="G1557" s="60" t="str">
        <f>IF(FT!B1557&lt;&gt;"",FT!B1557*100,"")</f>
        <v/>
      </c>
      <c r="H1557" s="60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0" t="str">
        <f>IF(FT!A1558&lt;&gt;"",FT!A1558*10,"")</f>
        <v/>
      </c>
      <c r="G1558" s="60" t="str">
        <f>IF(FT!B1558&lt;&gt;"",FT!B1558*100,"")</f>
        <v/>
      </c>
      <c r="H1558" s="60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0" t="str">
        <f>IF(FT!A1559&lt;&gt;"",FT!A1559*10,"")</f>
        <v/>
      </c>
      <c r="G1559" s="60" t="str">
        <f>IF(FT!B1559&lt;&gt;"",FT!B1559*100,"")</f>
        <v/>
      </c>
      <c r="H1559" s="60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0" t="str">
        <f>IF(FT!A1560&lt;&gt;"",FT!A1560*10,"")</f>
        <v/>
      </c>
      <c r="G1560" s="60" t="str">
        <f>IF(FT!B1560&lt;&gt;"",FT!B1560*100,"")</f>
        <v/>
      </c>
      <c r="H1560" s="60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0" t="str">
        <f>IF(FT!A1561&lt;&gt;"",FT!A1561*10,"")</f>
        <v/>
      </c>
      <c r="G1561" s="60" t="str">
        <f>IF(FT!B1561&lt;&gt;"",FT!B1561*100,"")</f>
        <v/>
      </c>
      <c r="H1561" s="60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0" t="str">
        <f>IF(FT!A1562&lt;&gt;"",FT!A1562*10,"")</f>
        <v/>
      </c>
      <c r="G1562" s="60" t="str">
        <f>IF(FT!B1562&lt;&gt;"",FT!B1562*100,"")</f>
        <v/>
      </c>
      <c r="H1562" s="60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0" t="str">
        <f>IF(FT!A1563&lt;&gt;"",FT!A1563*10,"")</f>
        <v/>
      </c>
      <c r="G1563" s="60" t="str">
        <f>IF(FT!B1563&lt;&gt;"",FT!B1563*100,"")</f>
        <v/>
      </c>
      <c r="H1563" s="60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0" t="str">
        <f>IF(FT!A1564&lt;&gt;"",FT!A1564*10,"")</f>
        <v/>
      </c>
      <c r="G1564" s="60" t="str">
        <f>IF(FT!B1564&lt;&gt;"",FT!B1564*100,"")</f>
        <v/>
      </c>
      <c r="H1564" s="60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0" t="str">
        <f>IF(FT!A1565&lt;&gt;"",FT!A1565*10,"")</f>
        <v/>
      </c>
      <c r="G1565" s="60" t="str">
        <f>IF(FT!B1565&lt;&gt;"",FT!B1565*100,"")</f>
        <v/>
      </c>
      <c r="H1565" s="60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0" t="str">
        <f>IF(FT!A1566&lt;&gt;"",FT!A1566*10,"")</f>
        <v/>
      </c>
      <c r="G1566" s="60" t="str">
        <f>IF(FT!B1566&lt;&gt;"",FT!B1566*100,"")</f>
        <v/>
      </c>
      <c r="H1566" s="60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0" t="str">
        <f>IF(FT!A1567&lt;&gt;"",FT!A1567*10,"")</f>
        <v/>
      </c>
      <c r="G1567" s="60" t="str">
        <f>IF(FT!B1567&lt;&gt;"",FT!B1567*100,"")</f>
        <v/>
      </c>
      <c r="H1567" s="60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0" t="str">
        <f>IF(FT!A1568&lt;&gt;"",FT!A1568*10,"")</f>
        <v/>
      </c>
      <c r="G1568" s="60" t="str">
        <f>IF(FT!B1568&lt;&gt;"",FT!B1568*100,"")</f>
        <v/>
      </c>
      <c r="H1568" s="60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0" t="str">
        <f>IF(FT!A1569&lt;&gt;"",FT!A1569*10,"")</f>
        <v/>
      </c>
      <c r="G1569" s="60" t="str">
        <f>IF(FT!B1569&lt;&gt;"",FT!B1569*100,"")</f>
        <v/>
      </c>
      <c r="H1569" s="60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0" t="str">
        <f>IF(FT!A1570&lt;&gt;"",FT!A1570*10,"")</f>
        <v/>
      </c>
      <c r="G1570" s="60" t="str">
        <f>IF(FT!B1570&lt;&gt;"",FT!B1570*100,"")</f>
        <v/>
      </c>
      <c r="H1570" s="60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0" t="str">
        <f>IF(FT!A1571&lt;&gt;"",FT!A1571*10,"")</f>
        <v/>
      </c>
      <c r="G1571" s="60" t="str">
        <f>IF(FT!B1571&lt;&gt;"",FT!B1571*100,"")</f>
        <v/>
      </c>
      <c r="H1571" s="60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0" t="str">
        <f>IF(FT!A1572&lt;&gt;"",FT!A1572*10,"")</f>
        <v/>
      </c>
      <c r="G1572" s="60" t="str">
        <f>IF(FT!B1572&lt;&gt;"",FT!B1572*100,"")</f>
        <v/>
      </c>
      <c r="H1572" s="60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0" t="str">
        <f>IF(FT!A1573&lt;&gt;"",FT!A1573*10,"")</f>
        <v/>
      </c>
      <c r="G1573" s="60" t="str">
        <f>IF(FT!B1573&lt;&gt;"",FT!B1573*100,"")</f>
        <v/>
      </c>
      <c r="H1573" s="60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0" t="str">
        <f>IF(FT!A1574&lt;&gt;"",FT!A1574*10,"")</f>
        <v/>
      </c>
      <c r="G1574" s="60" t="str">
        <f>IF(FT!B1574&lt;&gt;"",FT!B1574*100,"")</f>
        <v/>
      </c>
      <c r="H1574" s="60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0" t="str">
        <f>IF(FT!A1575&lt;&gt;"",FT!A1575*10,"")</f>
        <v/>
      </c>
      <c r="G1575" s="60" t="str">
        <f>IF(FT!B1575&lt;&gt;"",FT!B1575*100,"")</f>
        <v/>
      </c>
      <c r="H1575" s="60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0" t="str">
        <f>IF(FT!A1576&lt;&gt;"",FT!A1576*10,"")</f>
        <v/>
      </c>
      <c r="G1576" s="60" t="str">
        <f>IF(FT!B1576&lt;&gt;"",FT!B1576*100,"")</f>
        <v/>
      </c>
      <c r="H1576" s="60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0" t="str">
        <f>IF(FT!A1577&lt;&gt;"",FT!A1577*10,"")</f>
        <v/>
      </c>
      <c r="G1577" s="60" t="str">
        <f>IF(FT!B1577&lt;&gt;"",FT!B1577*100,"")</f>
        <v/>
      </c>
      <c r="H1577" s="60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0" t="str">
        <f>IF(FT!A1578&lt;&gt;"",FT!A1578*10,"")</f>
        <v/>
      </c>
      <c r="G1578" s="60" t="str">
        <f>IF(FT!B1578&lt;&gt;"",FT!B1578*100,"")</f>
        <v/>
      </c>
      <c r="H1578" s="60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0" t="str">
        <f>IF(FT!A1579&lt;&gt;"",FT!A1579*10,"")</f>
        <v/>
      </c>
      <c r="G1579" s="60" t="str">
        <f>IF(FT!B1579&lt;&gt;"",FT!B1579*100,"")</f>
        <v/>
      </c>
      <c r="H1579" s="60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0" t="str">
        <f>IF(FT!A1580&lt;&gt;"",FT!A1580*10,"")</f>
        <v/>
      </c>
      <c r="G1580" s="60" t="str">
        <f>IF(FT!B1580&lt;&gt;"",FT!B1580*100,"")</f>
        <v/>
      </c>
      <c r="H1580" s="60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0" t="str">
        <f>IF(FT!A1581&lt;&gt;"",FT!A1581*10,"")</f>
        <v/>
      </c>
      <c r="G1581" s="60" t="str">
        <f>IF(FT!B1581&lt;&gt;"",FT!B1581*100,"")</f>
        <v/>
      </c>
      <c r="H1581" s="60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0" t="str">
        <f>IF(FT!A1582&lt;&gt;"",FT!A1582*10,"")</f>
        <v/>
      </c>
      <c r="G1582" s="60" t="str">
        <f>IF(FT!B1582&lt;&gt;"",FT!B1582*100,"")</f>
        <v/>
      </c>
      <c r="H1582" s="60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0" t="str">
        <f>IF(FT!A1583&lt;&gt;"",FT!A1583*10,"")</f>
        <v/>
      </c>
      <c r="G1583" s="60" t="str">
        <f>IF(FT!B1583&lt;&gt;"",FT!B1583*100,"")</f>
        <v/>
      </c>
      <c r="H1583" s="60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0" t="str">
        <f>IF(FT!A1584&lt;&gt;"",FT!A1584*10,"")</f>
        <v/>
      </c>
      <c r="G1584" s="60" t="str">
        <f>IF(FT!B1584&lt;&gt;"",FT!B1584*100,"")</f>
        <v/>
      </c>
      <c r="H1584" s="60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0" t="str">
        <f>IF(FT!A1585&lt;&gt;"",FT!A1585*10,"")</f>
        <v/>
      </c>
      <c r="G1585" s="60" t="str">
        <f>IF(FT!B1585&lt;&gt;"",FT!B1585*100,"")</f>
        <v/>
      </c>
      <c r="H1585" s="60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0" t="str">
        <f>IF(FT!A1586&lt;&gt;"",FT!A1586*10,"")</f>
        <v/>
      </c>
      <c r="G1586" s="60" t="str">
        <f>IF(FT!B1586&lt;&gt;"",FT!B1586*100,"")</f>
        <v/>
      </c>
      <c r="H1586" s="60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0" t="str">
        <f>IF(FT!A1587&lt;&gt;"",FT!A1587*10,"")</f>
        <v/>
      </c>
      <c r="G1587" s="60" t="str">
        <f>IF(FT!B1587&lt;&gt;"",FT!B1587*100,"")</f>
        <v/>
      </c>
      <c r="H1587" s="60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0" t="str">
        <f>IF(FT!A1588&lt;&gt;"",FT!A1588*10,"")</f>
        <v/>
      </c>
      <c r="G1588" s="60" t="str">
        <f>IF(FT!B1588&lt;&gt;"",FT!B1588*100,"")</f>
        <v/>
      </c>
      <c r="H1588" s="60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0" t="str">
        <f>IF(FT!A1589&lt;&gt;"",FT!A1589*10,"")</f>
        <v/>
      </c>
      <c r="G1589" s="60" t="str">
        <f>IF(FT!B1589&lt;&gt;"",FT!B1589*100,"")</f>
        <v/>
      </c>
      <c r="H1589" s="60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0" t="str">
        <f>IF(FT!A1590&lt;&gt;"",FT!A1590*10,"")</f>
        <v/>
      </c>
      <c r="G1590" s="60" t="str">
        <f>IF(FT!B1590&lt;&gt;"",FT!B1590*100,"")</f>
        <v/>
      </c>
      <c r="H1590" s="60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0" t="str">
        <f>IF(FT!A1591&lt;&gt;"",FT!A1591*10,"")</f>
        <v/>
      </c>
      <c r="G1591" s="60" t="str">
        <f>IF(FT!B1591&lt;&gt;"",FT!B1591*100,"")</f>
        <v/>
      </c>
      <c r="H1591" s="60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0" t="str">
        <f>IF(FT!A1592&lt;&gt;"",FT!A1592*10,"")</f>
        <v/>
      </c>
      <c r="G1592" s="60" t="str">
        <f>IF(FT!B1592&lt;&gt;"",FT!B1592*100,"")</f>
        <v/>
      </c>
      <c r="H1592" s="60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0" t="str">
        <f>IF(FT!A1593&lt;&gt;"",FT!A1593*10,"")</f>
        <v/>
      </c>
      <c r="G1593" s="60" t="str">
        <f>IF(FT!B1593&lt;&gt;"",FT!B1593*100,"")</f>
        <v/>
      </c>
      <c r="H1593" s="60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0" t="str">
        <f>IF(FT!A1594&lt;&gt;"",FT!A1594*10,"")</f>
        <v/>
      </c>
      <c r="G1594" s="60" t="str">
        <f>IF(FT!B1594&lt;&gt;"",FT!B1594*100,"")</f>
        <v/>
      </c>
      <c r="H1594" s="60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0" t="str">
        <f>IF(FT!A1595&lt;&gt;"",FT!A1595*10,"")</f>
        <v/>
      </c>
      <c r="G1595" s="60" t="str">
        <f>IF(FT!B1595&lt;&gt;"",FT!B1595*100,"")</f>
        <v/>
      </c>
      <c r="H1595" s="60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0" t="str">
        <f>IF(FT!A1596&lt;&gt;"",FT!A1596*10,"")</f>
        <v/>
      </c>
      <c r="G1596" s="60" t="str">
        <f>IF(FT!B1596&lt;&gt;"",FT!B1596*100,"")</f>
        <v/>
      </c>
      <c r="H1596" s="60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0" t="str">
        <f>IF(FT!A1597&lt;&gt;"",FT!A1597*10,"")</f>
        <v/>
      </c>
      <c r="G1597" s="60" t="str">
        <f>IF(FT!B1597&lt;&gt;"",FT!B1597*100,"")</f>
        <v/>
      </c>
      <c r="H1597" s="60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0" t="str">
        <f>IF(FT!A1598&lt;&gt;"",FT!A1598*10,"")</f>
        <v/>
      </c>
      <c r="G1598" s="60" t="str">
        <f>IF(FT!B1598&lt;&gt;"",FT!B1598*100,"")</f>
        <v/>
      </c>
      <c r="H1598" s="60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0" t="str">
        <f>IF(FT!A1599&lt;&gt;"",FT!A1599*10,"")</f>
        <v/>
      </c>
      <c r="G1599" s="60" t="str">
        <f>IF(FT!B1599&lt;&gt;"",FT!B1599*100,"")</f>
        <v/>
      </c>
      <c r="H1599" s="60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0" t="str">
        <f>IF(FT!A1600&lt;&gt;"",FT!A1600*10,"")</f>
        <v/>
      </c>
      <c r="G1600" s="60" t="str">
        <f>IF(FT!B1600&lt;&gt;"",FT!B1600*100,"")</f>
        <v/>
      </c>
      <c r="H1600" s="60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0" t="str">
        <f>IF(FT!A1601&lt;&gt;"",FT!A1601*10,"")</f>
        <v/>
      </c>
      <c r="G1601" s="60" t="str">
        <f>IF(FT!B1601&lt;&gt;"",FT!B1601*100,"")</f>
        <v/>
      </c>
      <c r="H1601" s="60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0" t="str">
        <f>IF(FT!A1602&lt;&gt;"",FT!A1602*10,"")</f>
        <v/>
      </c>
      <c r="G1602" s="60" t="str">
        <f>IF(FT!B1602&lt;&gt;"",FT!B1602*100,"")</f>
        <v/>
      </c>
      <c r="H1602" s="60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0" t="str">
        <f>IF(FT!A1603&lt;&gt;"",FT!A1603*10,"")</f>
        <v/>
      </c>
      <c r="G1603" s="60" t="str">
        <f>IF(FT!B1603&lt;&gt;"",FT!B1603*100,"")</f>
        <v/>
      </c>
      <c r="H1603" s="60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0" t="str">
        <f>IF(FT!A1604&lt;&gt;"",FT!A1604*10,"")</f>
        <v/>
      </c>
      <c r="G1604" s="60" t="str">
        <f>IF(FT!B1604&lt;&gt;"",FT!B1604*100,"")</f>
        <v/>
      </c>
      <c r="H1604" s="60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0" t="str">
        <f>IF(FT!A1605&lt;&gt;"",FT!A1605*10,"")</f>
        <v/>
      </c>
      <c r="G1605" s="60" t="str">
        <f>IF(FT!B1605&lt;&gt;"",FT!B1605*100,"")</f>
        <v/>
      </c>
      <c r="H1605" s="60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0" t="str">
        <f>IF(FT!A1606&lt;&gt;"",FT!A1606*10,"")</f>
        <v/>
      </c>
      <c r="G1606" s="60" t="str">
        <f>IF(FT!B1606&lt;&gt;"",FT!B1606*100,"")</f>
        <v/>
      </c>
      <c r="H1606" s="60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0" t="str">
        <f>IF(FT!A1607&lt;&gt;"",FT!A1607*10,"")</f>
        <v/>
      </c>
      <c r="G1607" s="60" t="str">
        <f>IF(FT!B1607&lt;&gt;"",FT!B1607*100,"")</f>
        <v/>
      </c>
      <c r="H1607" s="60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0" t="str">
        <f>IF(FT!A1608&lt;&gt;"",FT!A1608*10,"")</f>
        <v/>
      </c>
      <c r="G1608" s="60" t="str">
        <f>IF(FT!B1608&lt;&gt;"",FT!B1608*100,"")</f>
        <v/>
      </c>
      <c r="H1608" s="60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0" t="str">
        <f>IF(FT!A1609&lt;&gt;"",FT!A1609*10,"")</f>
        <v/>
      </c>
      <c r="G1609" s="60" t="str">
        <f>IF(FT!B1609&lt;&gt;"",FT!B1609*100,"")</f>
        <v/>
      </c>
      <c r="H1609" s="60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0" t="str">
        <f>IF(FT!A1610&lt;&gt;"",FT!A1610*10,"")</f>
        <v/>
      </c>
      <c r="G1610" s="60" t="str">
        <f>IF(FT!B1610&lt;&gt;"",FT!B1610*100,"")</f>
        <v/>
      </c>
      <c r="H1610" s="60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0" t="str">
        <f>IF(FT!A1611&lt;&gt;"",FT!A1611*10,"")</f>
        <v/>
      </c>
      <c r="G1611" s="60" t="str">
        <f>IF(FT!B1611&lt;&gt;"",FT!B1611*100,"")</f>
        <v/>
      </c>
      <c r="H1611" s="60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0" t="str">
        <f>IF(FT!A1612&lt;&gt;"",FT!A1612*10,"")</f>
        <v/>
      </c>
      <c r="G1612" s="60" t="str">
        <f>IF(FT!B1612&lt;&gt;"",FT!B1612*100,"")</f>
        <v/>
      </c>
      <c r="H1612" s="60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0" t="str">
        <f>IF(FT!A1613&lt;&gt;"",FT!A1613*10,"")</f>
        <v/>
      </c>
      <c r="G1613" s="60" t="str">
        <f>IF(FT!B1613&lt;&gt;"",FT!B1613*100,"")</f>
        <v/>
      </c>
      <c r="H1613" s="60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0" t="str">
        <f>IF(FT!A1614&lt;&gt;"",FT!A1614*10,"")</f>
        <v/>
      </c>
      <c r="G1614" s="60" t="str">
        <f>IF(FT!B1614&lt;&gt;"",FT!B1614*100,"")</f>
        <v/>
      </c>
      <c r="H1614" s="60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0" t="str">
        <f>IF(FT!A1615&lt;&gt;"",FT!A1615*10,"")</f>
        <v/>
      </c>
      <c r="G1615" s="60" t="str">
        <f>IF(FT!B1615&lt;&gt;"",FT!B1615*100,"")</f>
        <v/>
      </c>
      <c r="H1615" s="60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0" t="str">
        <f>IF(FT!A1616&lt;&gt;"",FT!A1616*10,"")</f>
        <v/>
      </c>
      <c r="G1616" s="60" t="str">
        <f>IF(FT!B1616&lt;&gt;"",FT!B1616*100,"")</f>
        <v/>
      </c>
      <c r="H1616" s="60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0" t="str">
        <f>IF(FT!A1617&lt;&gt;"",FT!A1617*10,"")</f>
        <v/>
      </c>
      <c r="G1617" s="60" t="str">
        <f>IF(FT!B1617&lt;&gt;"",FT!B1617*100,"")</f>
        <v/>
      </c>
      <c r="H1617" s="60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0" t="str">
        <f>IF(FT!A1618&lt;&gt;"",FT!A1618*10,"")</f>
        <v/>
      </c>
      <c r="G1618" s="60" t="str">
        <f>IF(FT!B1618&lt;&gt;"",FT!B1618*100,"")</f>
        <v/>
      </c>
      <c r="H1618" s="60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0" t="str">
        <f>IF(FT!A1619&lt;&gt;"",FT!A1619*10,"")</f>
        <v/>
      </c>
      <c r="G1619" s="60" t="str">
        <f>IF(FT!B1619&lt;&gt;"",FT!B1619*100,"")</f>
        <v/>
      </c>
      <c r="H1619" s="60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0" t="str">
        <f>IF(FT!A1620&lt;&gt;"",FT!A1620*10,"")</f>
        <v/>
      </c>
      <c r="G1620" s="60" t="str">
        <f>IF(FT!B1620&lt;&gt;"",FT!B1620*100,"")</f>
        <v/>
      </c>
      <c r="H1620" s="60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0" t="str">
        <f>IF(FT!A1621&lt;&gt;"",FT!A1621*10,"")</f>
        <v/>
      </c>
      <c r="G1621" s="60" t="str">
        <f>IF(FT!B1621&lt;&gt;"",FT!B1621*100,"")</f>
        <v/>
      </c>
      <c r="H1621" s="60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0" t="str">
        <f>IF(FT!A1622&lt;&gt;"",FT!A1622*10,"")</f>
        <v/>
      </c>
      <c r="G1622" s="60" t="str">
        <f>IF(FT!B1622&lt;&gt;"",FT!B1622*100,"")</f>
        <v/>
      </c>
      <c r="H1622" s="60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0" t="str">
        <f>IF(FT!A1623&lt;&gt;"",FT!A1623*10,"")</f>
        <v/>
      </c>
      <c r="G1623" s="60" t="str">
        <f>IF(FT!B1623&lt;&gt;"",FT!B1623*100,"")</f>
        <v/>
      </c>
      <c r="H1623" s="60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0" t="str">
        <f>IF(FT!A1624&lt;&gt;"",FT!A1624*10,"")</f>
        <v/>
      </c>
      <c r="G1624" s="60" t="str">
        <f>IF(FT!B1624&lt;&gt;"",FT!B1624*100,"")</f>
        <v/>
      </c>
      <c r="H1624" s="60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0" t="str">
        <f>IF(FT!A1625&lt;&gt;"",FT!A1625*10,"")</f>
        <v/>
      </c>
      <c r="G1625" s="60" t="str">
        <f>IF(FT!B1625&lt;&gt;"",FT!B1625*100,"")</f>
        <v/>
      </c>
      <c r="H1625" s="60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0" t="str">
        <f>IF(FT!A1626&lt;&gt;"",FT!A1626*10,"")</f>
        <v/>
      </c>
      <c r="G1626" s="60" t="str">
        <f>IF(FT!B1626&lt;&gt;"",FT!B1626*100,"")</f>
        <v/>
      </c>
      <c r="H1626" s="60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0" t="str">
        <f>IF(FT!A1627&lt;&gt;"",FT!A1627*10,"")</f>
        <v/>
      </c>
      <c r="G1627" s="60" t="str">
        <f>IF(FT!B1627&lt;&gt;"",FT!B1627*100,"")</f>
        <v/>
      </c>
      <c r="H1627" s="60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0" t="str">
        <f>IF(FT!A1628&lt;&gt;"",FT!A1628*10,"")</f>
        <v/>
      </c>
      <c r="G1628" s="60" t="str">
        <f>IF(FT!B1628&lt;&gt;"",FT!B1628*100,"")</f>
        <v/>
      </c>
      <c r="H1628" s="60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0" t="str">
        <f>IF(FT!A1629&lt;&gt;"",FT!A1629*10,"")</f>
        <v/>
      </c>
      <c r="G1629" s="60" t="str">
        <f>IF(FT!B1629&lt;&gt;"",FT!B1629*100,"")</f>
        <v/>
      </c>
      <c r="H1629" s="60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0" t="str">
        <f>IF(FT!A1630&lt;&gt;"",FT!A1630*10,"")</f>
        <v/>
      </c>
      <c r="G1630" s="60" t="str">
        <f>IF(FT!B1630&lt;&gt;"",FT!B1630*100,"")</f>
        <v/>
      </c>
      <c r="H1630" s="60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0" t="str">
        <f>IF(FT!A1631&lt;&gt;"",FT!A1631*10,"")</f>
        <v/>
      </c>
      <c r="G1631" s="60" t="str">
        <f>IF(FT!B1631&lt;&gt;"",FT!B1631*100,"")</f>
        <v/>
      </c>
      <c r="H1631" s="60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0" t="str">
        <f>IF(FT!A1632&lt;&gt;"",FT!A1632*10,"")</f>
        <v/>
      </c>
      <c r="G1632" s="60" t="str">
        <f>IF(FT!B1632&lt;&gt;"",FT!B1632*100,"")</f>
        <v/>
      </c>
      <c r="H1632" s="60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0" t="str">
        <f>IF(FT!A1633&lt;&gt;"",FT!A1633*10,"")</f>
        <v/>
      </c>
      <c r="G1633" s="60" t="str">
        <f>IF(FT!B1633&lt;&gt;"",FT!B1633*100,"")</f>
        <v/>
      </c>
      <c r="H1633" s="60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0" t="str">
        <f>IF(FT!A1634&lt;&gt;"",FT!A1634*10,"")</f>
        <v/>
      </c>
      <c r="G1634" s="60" t="str">
        <f>IF(FT!B1634&lt;&gt;"",FT!B1634*100,"")</f>
        <v/>
      </c>
      <c r="H1634" s="60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0" t="str">
        <f>IF(FT!A1635&lt;&gt;"",FT!A1635*10,"")</f>
        <v/>
      </c>
      <c r="G1635" s="60" t="str">
        <f>IF(FT!B1635&lt;&gt;"",FT!B1635*100,"")</f>
        <v/>
      </c>
      <c r="H1635" s="60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0" t="str">
        <f>IF(FT!A1636&lt;&gt;"",FT!A1636*10,"")</f>
        <v/>
      </c>
      <c r="G1636" s="60" t="str">
        <f>IF(FT!B1636&lt;&gt;"",FT!B1636*100,"")</f>
        <v/>
      </c>
      <c r="H1636" s="60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0" t="str">
        <f>IF(FT!A1637&lt;&gt;"",FT!A1637*10,"")</f>
        <v/>
      </c>
      <c r="G1637" s="60" t="str">
        <f>IF(FT!B1637&lt;&gt;"",FT!B1637*100,"")</f>
        <v/>
      </c>
      <c r="H1637" s="60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0" t="str">
        <f>IF(FT!A1638&lt;&gt;"",FT!A1638*10,"")</f>
        <v/>
      </c>
      <c r="G1638" s="60" t="str">
        <f>IF(FT!B1638&lt;&gt;"",FT!B1638*100,"")</f>
        <v/>
      </c>
      <c r="H1638" s="60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0" t="str">
        <f>IF(FT!A1639&lt;&gt;"",FT!A1639*10,"")</f>
        <v/>
      </c>
      <c r="G1639" s="60" t="str">
        <f>IF(FT!B1639&lt;&gt;"",FT!B1639*100,"")</f>
        <v/>
      </c>
      <c r="H1639" s="60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0" t="str">
        <f>IF(FT!A1640&lt;&gt;"",FT!A1640*10,"")</f>
        <v/>
      </c>
      <c r="G1640" s="60" t="str">
        <f>IF(FT!B1640&lt;&gt;"",FT!B1640*100,"")</f>
        <v/>
      </c>
      <c r="H1640" s="60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0" t="str">
        <f>IF(FT!A1641&lt;&gt;"",FT!A1641*10,"")</f>
        <v/>
      </c>
      <c r="G1641" s="60" t="str">
        <f>IF(FT!B1641&lt;&gt;"",FT!B1641*100,"")</f>
        <v/>
      </c>
      <c r="H1641" s="60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0" t="str">
        <f>IF(FT!A1642&lt;&gt;"",FT!A1642*10,"")</f>
        <v/>
      </c>
      <c r="G1642" s="60" t="str">
        <f>IF(FT!B1642&lt;&gt;"",FT!B1642*100,"")</f>
        <v/>
      </c>
      <c r="H1642" s="60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0" t="str">
        <f>IF(FT!A1643&lt;&gt;"",FT!A1643*10,"")</f>
        <v/>
      </c>
      <c r="G1643" s="60" t="str">
        <f>IF(FT!B1643&lt;&gt;"",FT!B1643*100,"")</f>
        <v/>
      </c>
      <c r="H1643" s="60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0" t="str">
        <f>IF(FT!A1644&lt;&gt;"",FT!A1644*10,"")</f>
        <v/>
      </c>
      <c r="G1644" s="60" t="str">
        <f>IF(FT!B1644&lt;&gt;"",FT!B1644*100,"")</f>
        <v/>
      </c>
      <c r="H1644" s="60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0" t="str">
        <f>IF(FT!A1645&lt;&gt;"",FT!A1645*10,"")</f>
        <v/>
      </c>
      <c r="G1645" s="60" t="str">
        <f>IF(FT!B1645&lt;&gt;"",FT!B1645*100,"")</f>
        <v/>
      </c>
      <c r="H1645" s="60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0" t="str">
        <f>IF(FT!A1646&lt;&gt;"",FT!A1646*10,"")</f>
        <v/>
      </c>
      <c r="G1646" s="60" t="str">
        <f>IF(FT!B1646&lt;&gt;"",FT!B1646*100,"")</f>
        <v/>
      </c>
      <c r="H1646" s="60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0" t="str">
        <f>IF(FT!A1647&lt;&gt;"",FT!A1647*10,"")</f>
        <v/>
      </c>
      <c r="G1647" s="60" t="str">
        <f>IF(FT!B1647&lt;&gt;"",FT!B1647*100,"")</f>
        <v/>
      </c>
      <c r="H1647" s="60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0" t="str">
        <f>IF(FT!A1648&lt;&gt;"",FT!A1648*10,"")</f>
        <v/>
      </c>
      <c r="G1648" s="60" t="str">
        <f>IF(FT!B1648&lt;&gt;"",FT!B1648*100,"")</f>
        <v/>
      </c>
      <c r="H1648" s="60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0" t="str">
        <f>IF(FT!A1649&lt;&gt;"",FT!A1649*10,"")</f>
        <v/>
      </c>
      <c r="G1649" s="60" t="str">
        <f>IF(FT!B1649&lt;&gt;"",FT!B1649*100,"")</f>
        <v/>
      </c>
      <c r="H1649" s="60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0" t="str">
        <f>IF(FT!A1650&lt;&gt;"",FT!A1650*10,"")</f>
        <v/>
      </c>
      <c r="G1650" s="60" t="str">
        <f>IF(FT!B1650&lt;&gt;"",FT!B1650*100,"")</f>
        <v/>
      </c>
      <c r="H1650" s="60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0" t="str">
        <f>IF(FT!A1651&lt;&gt;"",FT!A1651*10,"")</f>
        <v/>
      </c>
      <c r="G1651" s="60" t="str">
        <f>IF(FT!B1651&lt;&gt;"",FT!B1651*100,"")</f>
        <v/>
      </c>
      <c r="H1651" s="60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0" t="str">
        <f>IF(FT!A1652&lt;&gt;"",FT!A1652*10,"")</f>
        <v/>
      </c>
      <c r="G1652" s="60" t="str">
        <f>IF(FT!B1652&lt;&gt;"",FT!B1652*100,"")</f>
        <v/>
      </c>
      <c r="H1652" s="60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0" t="str">
        <f>IF(FT!A1653&lt;&gt;"",FT!A1653*10,"")</f>
        <v/>
      </c>
      <c r="G1653" s="60" t="str">
        <f>IF(FT!B1653&lt;&gt;"",FT!B1653*100,"")</f>
        <v/>
      </c>
      <c r="H1653" s="60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0" t="str">
        <f>IF(FT!A1654&lt;&gt;"",FT!A1654*10,"")</f>
        <v/>
      </c>
      <c r="G1654" s="60" t="str">
        <f>IF(FT!B1654&lt;&gt;"",FT!B1654*100,"")</f>
        <v/>
      </c>
      <c r="H1654" s="60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0" t="str">
        <f>IF(FT!A1655&lt;&gt;"",FT!A1655*10,"")</f>
        <v/>
      </c>
      <c r="G1655" s="60" t="str">
        <f>IF(FT!B1655&lt;&gt;"",FT!B1655*100,"")</f>
        <v/>
      </c>
      <c r="H1655" s="60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0" t="str">
        <f>IF(FT!A1656&lt;&gt;"",FT!A1656*10,"")</f>
        <v/>
      </c>
      <c r="G1656" s="60" t="str">
        <f>IF(FT!B1656&lt;&gt;"",FT!B1656*100,"")</f>
        <v/>
      </c>
      <c r="H1656" s="60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0" t="str">
        <f>IF(FT!A1657&lt;&gt;"",FT!A1657*10,"")</f>
        <v/>
      </c>
      <c r="G1657" s="60" t="str">
        <f>IF(FT!B1657&lt;&gt;"",FT!B1657*100,"")</f>
        <v/>
      </c>
      <c r="H1657" s="60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0" t="str">
        <f>IF(FT!A1658&lt;&gt;"",FT!A1658*10,"")</f>
        <v/>
      </c>
      <c r="G1658" s="60" t="str">
        <f>IF(FT!B1658&lt;&gt;"",FT!B1658*100,"")</f>
        <v/>
      </c>
      <c r="H1658" s="60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0" t="str">
        <f>IF(FT!A1659&lt;&gt;"",FT!A1659*10,"")</f>
        <v/>
      </c>
      <c r="G1659" s="60" t="str">
        <f>IF(FT!B1659&lt;&gt;"",FT!B1659*100,"")</f>
        <v/>
      </c>
      <c r="H1659" s="60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0" t="str">
        <f>IF(FT!A1660&lt;&gt;"",FT!A1660*10,"")</f>
        <v/>
      </c>
      <c r="G1660" s="60" t="str">
        <f>IF(FT!B1660&lt;&gt;"",FT!B1660*100,"")</f>
        <v/>
      </c>
      <c r="H1660" s="60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0" t="str">
        <f>IF(FT!A1661&lt;&gt;"",FT!A1661*10,"")</f>
        <v/>
      </c>
      <c r="G1661" s="60" t="str">
        <f>IF(FT!B1661&lt;&gt;"",FT!B1661*100,"")</f>
        <v/>
      </c>
      <c r="H1661" s="60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0" t="str">
        <f>IF(FT!A1662&lt;&gt;"",FT!A1662*10,"")</f>
        <v/>
      </c>
      <c r="G1662" s="60" t="str">
        <f>IF(FT!B1662&lt;&gt;"",FT!B1662*100,"")</f>
        <v/>
      </c>
      <c r="H1662" s="60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0" t="str">
        <f>IF(FT!A1663&lt;&gt;"",FT!A1663*10,"")</f>
        <v/>
      </c>
      <c r="G1663" s="60" t="str">
        <f>IF(FT!B1663&lt;&gt;"",FT!B1663*100,"")</f>
        <v/>
      </c>
      <c r="H1663" s="60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0" t="str">
        <f>IF(FT!A1664&lt;&gt;"",FT!A1664*10,"")</f>
        <v/>
      </c>
      <c r="G1664" s="60" t="str">
        <f>IF(FT!B1664&lt;&gt;"",FT!B1664*100,"")</f>
        <v/>
      </c>
      <c r="H1664" s="60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0" t="str">
        <f>IF(FT!A1665&lt;&gt;"",FT!A1665*10,"")</f>
        <v/>
      </c>
      <c r="G1665" s="60" t="str">
        <f>IF(FT!B1665&lt;&gt;"",FT!B1665*100,"")</f>
        <v/>
      </c>
      <c r="H1665" s="60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0" t="str">
        <f>IF(FT!A1666&lt;&gt;"",FT!A1666*10,"")</f>
        <v/>
      </c>
      <c r="G1666" s="60" t="str">
        <f>IF(FT!B1666&lt;&gt;"",FT!B1666*100,"")</f>
        <v/>
      </c>
      <c r="H1666" s="60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0" t="str">
        <f>IF(FT!A1667&lt;&gt;"",FT!A1667*10,"")</f>
        <v/>
      </c>
      <c r="G1667" s="60" t="str">
        <f>IF(FT!B1667&lt;&gt;"",FT!B1667*100,"")</f>
        <v/>
      </c>
      <c r="H1667" s="60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0" t="str">
        <f>IF(FT!A1668&lt;&gt;"",FT!A1668*10,"")</f>
        <v/>
      </c>
      <c r="G1668" s="60" t="str">
        <f>IF(FT!B1668&lt;&gt;"",FT!B1668*100,"")</f>
        <v/>
      </c>
      <c r="H1668" s="60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0" t="str">
        <f>IF(FT!A1669&lt;&gt;"",FT!A1669*10,"")</f>
        <v/>
      </c>
      <c r="G1669" s="60" t="str">
        <f>IF(FT!B1669&lt;&gt;"",FT!B1669*100,"")</f>
        <v/>
      </c>
      <c r="H1669" s="60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0" t="str">
        <f>IF(FT!A1670&lt;&gt;"",FT!A1670*10,"")</f>
        <v/>
      </c>
      <c r="G1670" s="60" t="str">
        <f>IF(FT!B1670&lt;&gt;"",FT!B1670*100,"")</f>
        <v/>
      </c>
      <c r="H1670" s="60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0" t="str">
        <f>IF(FT!A1671&lt;&gt;"",FT!A1671*10,"")</f>
        <v/>
      </c>
      <c r="G1671" s="60" t="str">
        <f>IF(FT!B1671&lt;&gt;"",FT!B1671*100,"")</f>
        <v/>
      </c>
      <c r="H1671" s="60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0" t="str">
        <f>IF(FT!A1672&lt;&gt;"",FT!A1672*10,"")</f>
        <v/>
      </c>
      <c r="G1672" s="60" t="str">
        <f>IF(FT!B1672&lt;&gt;"",FT!B1672*100,"")</f>
        <v/>
      </c>
      <c r="H1672" s="60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0" t="str">
        <f>IF(FT!A1673&lt;&gt;"",FT!A1673*10,"")</f>
        <v/>
      </c>
      <c r="G1673" s="60" t="str">
        <f>IF(FT!B1673&lt;&gt;"",FT!B1673*100,"")</f>
        <v/>
      </c>
      <c r="H1673" s="60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0" t="str">
        <f>IF(FT!A1674&lt;&gt;"",FT!A1674*10,"")</f>
        <v/>
      </c>
      <c r="G1674" s="60" t="str">
        <f>IF(FT!B1674&lt;&gt;"",FT!B1674*100,"")</f>
        <v/>
      </c>
      <c r="H1674" s="60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0" t="str">
        <f>IF(FT!A1675&lt;&gt;"",FT!A1675*10,"")</f>
        <v/>
      </c>
      <c r="G1675" s="60" t="str">
        <f>IF(FT!B1675&lt;&gt;"",FT!B1675*100,"")</f>
        <v/>
      </c>
      <c r="H1675" s="60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0" t="str">
        <f>IF(FT!A1676&lt;&gt;"",FT!A1676*10,"")</f>
        <v/>
      </c>
      <c r="G1676" s="60" t="str">
        <f>IF(FT!B1676&lt;&gt;"",FT!B1676*100,"")</f>
        <v/>
      </c>
      <c r="H1676" s="60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0" t="str">
        <f>IF(FT!A1677&lt;&gt;"",FT!A1677*10,"")</f>
        <v/>
      </c>
      <c r="G1677" s="60" t="str">
        <f>IF(FT!B1677&lt;&gt;"",FT!B1677*100,"")</f>
        <v/>
      </c>
      <c r="H1677" s="60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0" t="str">
        <f>IF(FT!A1678&lt;&gt;"",FT!A1678*10,"")</f>
        <v/>
      </c>
      <c r="G1678" s="60" t="str">
        <f>IF(FT!B1678&lt;&gt;"",FT!B1678*100,"")</f>
        <v/>
      </c>
      <c r="H1678" s="60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0" t="str">
        <f>IF(FT!A1679&lt;&gt;"",FT!A1679*10,"")</f>
        <v/>
      </c>
      <c r="G1679" s="60" t="str">
        <f>IF(FT!B1679&lt;&gt;"",FT!B1679*100,"")</f>
        <v/>
      </c>
      <c r="H1679" s="60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0" t="str">
        <f>IF(FT!A1680&lt;&gt;"",FT!A1680*10,"")</f>
        <v/>
      </c>
      <c r="G1680" s="60" t="str">
        <f>IF(FT!B1680&lt;&gt;"",FT!B1680*100,"")</f>
        <v/>
      </c>
      <c r="H1680" s="60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0" t="str">
        <f>IF(FT!A1681&lt;&gt;"",FT!A1681*10,"")</f>
        <v/>
      </c>
      <c r="G1681" s="60" t="str">
        <f>IF(FT!B1681&lt;&gt;"",FT!B1681*100,"")</f>
        <v/>
      </c>
      <c r="H1681" s="60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0" t="str">
        <f>IF(FT!A1682&lt;&gt;"",FT!A1682*10,"")</f>
        <v/>
      </c>
      <c r="G1682" s="60" t="str">
        <f>IF(FT!B1682&lt;&gt;"",FT!B1682*100,"")</f>
        <v/>
      </c>
      <c r="H1682" s="60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0" t="str">
        <f>IF(FT!A1683&lt;&gt;"",FT!A1683*10,"")</f>
        <v/>
      </c>
      <c r="G1683" s="60" t="str">
        <f>IF(FT!B1683&lt;&gt;"",FT!B1683*100,"")</f>
        <v/>
      </c>
      <c r="H1683" s="60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0" t="str">
        <f>IF(FT!A1684&lt;&gt;"",FT!A1684*10,"")</f>
        <v/>
      </c>
      <c r="G1684" s="60" t="str">
        <f>IF(FT!B1684&lt;&gt;"",FT!B1684*100,"")</f>
        <v/>
      </c>
      <c r="H1684" s="60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0" t="str">
        <f>IF(FT!A1685&lt;&gt;"",FT!A1685*10,"")</f>
        <v/>
      </c>
      <c r="G1685" s="60" t="str">
        <f>IF(FT!B1685&lt;&gt;"",FT!B1685*100,"")</f>
        <v/>
      </c>
      <c r="H1685" s="60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0" t="str">
        <f>IF(FT!A1686&lt;&gt;"",FT!A1686*10,"")</f>
        <v/>
      </c>
      <c r="G1686" s="60" t="str">
        <f>IF(FT!B1686&lt;&gt;"",FT!B1686*100,"")</f>
        <v/>
      </c>
      <c r="H1686" s="60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0" t="str">
        <f>IF(FT!A1687&lt;&gt;"",FT!A1687*10,"")</f>
        <v/>
      </c>
      <c r="G1687" s="60" t="str">
        <f>IF(FT!B1687&lt;&gt;"",FT!B1687*100,"")</f>
        <v/>
      </c>
      <c r="H1687" s="60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0" t="str">
        <f>IF(FT!A1688&lt;&gt;"",FT!A1688*10,"")</f>
        <v/>
      </c>
      <c r="G1688" s="60" t="str">
        <f>IF(FT!B1688&lt;&gt;"",FT!B1688*100,"")</f>
        <v/>
      </c>
      <c r="H1688" s="60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0" t="str">
        <f>IF(FT!A1689&lt;&gt;"",FT!A1689*10,"")</f>
        <v/>
      </c>
      <c r="G1689" s="60" t="str">
        <f>IF(FT!B1689&lt;&gt;"",FT!B1689*100,"")</f>
        <v/>
      </c>
      <c r="H1689" s="60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0" t="str">
        <f>IF(FT!A1690&lt;&gt;"",FT!A1690*10,"")</f>
        <v/>
      </c>
      <c r="G1690" s="60" t="str">
        <f>IF(FT!B1690&lt;&gt;"",FT!B1690*100,"")</f>
        <v/>
      </c>
      <c r="H1690" s="60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0" t="str">
        <f>IF(FT!A1691&lt;&gt;"",FT!A1691*10,"")</f>
        <v/>
      </c>
      <c r="G1691" s="60" t="str">
        <f>IF(FT!B1691&lt;&gt;"",FT!B1691*100,"")</f>
        <v/>
      </c>
      <c r="H1691" s="60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0" t="str">
        <f>IF(FT!A1692&lt;&gt;"",FT!A1692*10,"")</f>
        <v/>
      </c>
      <c r="G1692" s="60" t="str">
        <f>IF(FT!B1692&lt;&gt;"",FT!B1692*100,"")</f>
        <v/>
      </c>
      <c r="H1692" s="60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0" t="str">
        <f>IF(FT!A1693&lt;&gt;"",FT!A1693*10,"")</f>
        <v/>
      </c>
      <c r="G1693" s="60" t="str">
        <f>IF(FT!B1693&lt;&gt;"",FT!B1693*100,"")</f>
        <v/>
      </c>
      <c r="H1693" s="60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0" t="str">
        <f>IF(FT!A1694&lt;&gt;"",FT!A1694*10,"")</f>
        <v/>
      </c>
      <c r="G1694" s="60" t="str">
        <f>IF(FT!B1694&lt;&gt;"",FT!B1694*100,"")</f>
        <v/>
      </c>
      <c r="H1694" s="60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0" t="str">
        <f>IF(FT!A1695&lt;&gt;"",FT!A1695*10,"")</f>
        <v/>
      </c>
      <c r="G1695" s="60" t="str">
        <f>IF(FT!B1695&lt;&gt;"",FT!B1695*100,"")</f>
        <v/>
      </c>
      <c r="H1695" s="60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0" t="str">
        <f>IF(FT!A1696&lt;&gt;"",FT!A1696*10,"")</f>
        <v/>
      </c>
      <c r="G1696" s="60" t="str">
        <f>IF(FT!B1696&lt;&gt;"",FT!B1696*100,"")</f>
        <v/>
      </c>
      <c r="H1696" s="60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0" t="str">
        <f>IF(FT!A1697&lt;&gt;"",FT!A1697*10,"")</f>
        <v/>
      </c>
      <c r="G1697" s="60" t="str">
        <f>IF(FT!B1697&lt;&gt;"",FT!B1697*100,"")</f>
        <v/>
      </c>
      <c r="H1697" s="60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0" t="str">
        <f>IF(FT!A1698&lt;&gt;"",FT!A1698*10,"")</f>
        <v/>
      </c>
      <c r="G1698" s="60" t="str">
        <f>IF(FT!B1698&lt;&gt;"",FT!B1698*100,"")</f>
        <v/>
      </c>
      <c r="H1698" s="60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0" t="str">
        <f>IF(FT!A1699&lt;&gt;"",FT!A1699*10,"")</f>
        <v/>
      </c>
      <c r="G1699" s="60" t="str">
        <f>IF(FT!B1699&lt;&gt;"",FT!B1699*100,"")</f>
        <v/>
      </c>
      <c r="H1699" s="60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0" t="str">
        <f>IF(FT!A1700&lt;&gt;"",FT!A1700*10,"")</f>
        <v/>
      </c>
      <c r="G1700" s="60" t="str">
        <f>IF(FT!B1700&lt;&gt;"",FT!B1700*100,"")</f>
        <v/>
      </c>
      <c r="H1700" s="60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0" t="str">
        <f>IF(FT!A1701&lt;&gt;"",FT!A1701*10,"")</f>
        <v/>
      </c>
      <c r="G1701" s="60" t="str">
        <f>IF(FT!B1701&lt;&gt;"",FT!B1701*100,"")</f>
        <v/>
      </c>
      <c r="H1701" s="60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0" t="str">
        <f>IF(FT!A1702&lt;&gt;"",FT!A1702*10,"")</f>
        <v/>
      </c>
      <c r="G1702" s="60" t="str">
        <f>IF(FT!B1702&lt;&gt;"",FT!B1702*100,"")</f>
        <v/>
      </c>
      <c r="H1702" s="60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0" t="str">
        <f>IF(FT!A1703&lt;&gt;"",FT!A1703*10,"")</f>
        <v/>
      </c>
      <c r="G1703" s="60" t="str">
        <f>IF(FT!B1703&lt;&gt;"",FT!B1703*100,"")</f>
        <v/>
      </c>
      <c r="H1703" s="60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0" t="str">
        <f>IF(FT!A1704&lt;&gt;"",FT!A1704*10,"")</f>
        <v/>
      </c>
      <c r="G1704" s="60" t="str">
        <f>IF(FT!B1704&lt;&gt;"",FT!B1704*100,"")</f>
        <v/>
      </c>
      <c r="H1704" s="60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0" t="str">
        <f>IF(FT!A1705&lt;&gt;"",FT!A1705*10,"")</f>
        <v/>
      </c>
      <c r="G1705" s="60" t="str">
        <f>IF(FT!B1705&lt;&gt;"",FT!B1705*100,"")</f>
        <v/>
      </c>
      <c r="H1705" s="60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0" t="str">
        <f>IF(FT!A1706&lt;&gt;"",FT!A1706*10,"")</f>
        <v/>
      </c>
      <c r="G1706" s="60" t="str">
        <f>IF(FT!B1706&lt;&gt;"",FT!B1706*100,"")</f>
        <v/>
      </c>
      <c r="H1706" s="60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0" t="str">
        <f>IF(FT!A1707&lt;&gt;"",FT!A1707*10,"")</f>
        <v/>
      </c>
      <c r="G1707" s="60" t="str">
        <f>IF(FT!B1707&lt;&gt;"",FT!B1707*100,"")</f>
        <v/>
      </c>
      <c r="H1707" s="60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0" t="str">
        <f>IF(FT!A1708&lt;&gt;"",FT!A1708*10,"")</f>
        <v/>
      </c>
      <c r="G1708" s="60" t="str">
        <f>IF(FT!B1708&lt;&gt;"",FT!B1708*100,"")</f>
        <v/>
      </c>
      <c r="H1708" s="60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0" t="str">
        <f>IF(FT!A1709&lt;&gt;"",FT!A1709*10,"")</f>
        <v/>
      </c>
      <c r="G1709" s="60" t="str">
        <f>IF(FT!B1709&lt;&gt;"",FT!B1709*100,"")</f>
        <v/>
      </c>
      <c r="H1709" s="60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0" t="str">
        <f>IF(FT!A1710&lt;&gt;"",FT!A1710*10,"")</f>
        <v/>
      </c>
      <c r="G1710" s="60" t="str">
        <f>IF(FT!B1710&lt;&gt;"",FT!B1710*100,"")</f>
        <v/>
      </c>
      <c r="H1710" s="60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0" t="str">
        <f>IF(FT!A1711&lt;&gt;"",FT!A1711*10,"")</f>
        <v/>
      </c>
      <c r="G1711" s="60" t="str">
        <f>IF(FT!B1711&lt;&gt;"",FT!B1711*100,"")</f>
        <v/>
      </c>
      <c r="H1711" s="60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0" t="str">
        <f>IF(FT!A1712&lt;&gt;"",FT!A1712*10,"")</f>
        <v/>
      </c>
      <c r="G1712" s="60" t="str">
        <f>IF(FT!B1712&lt;&gt;"",FT!B1712*100,"")</f>
        <v/>
      </c>
      <c r="H1712" s="60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0" t="str">
        <f>IF(FT!A1713&lt;&gt;"",FT!A1713*10,"")</f>
        <v/>
      </c>
      <c r="G1713" s="60" t="str">
        <f>IF(FT!B1713&lt;&gt;"",FT!B1713*100,"")</f>
        <v/>
      </c>
      <c r="H1713" s="60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0" t="str">
        <f>IF(FT!A1714&lt;&gt;"",FT!A1714*10,"")</f>
        <v/>
      </c>
      <c r="G1714" s="60" t="str">
        <f>IF(FT!B1714&lt;&gt;"",FT!B1714*100,"")</f>
        <v/>
      </c>
      <c r="H1714" s="60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0" t="str">
        <f>IF(FT!A1715&lt;&gt;"",FT!A1715*10,"")</f>
        <v/>
      </c>
      <c r="G1715" s="60" t="str">
        <f>IF(FT!B1715&lt;&gt;"",FT!B1715*100,"")</f>
        <v/>
      </c>
      <c r="H1715" s="60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0" t="str">
        <f>IF(FT!A1716&lt;&gt;"",FT!A1716*10,"")</f>
        <v/>
      </c>
      <c r="G1716" s="60" t="str">
        <f>IF(FT!B1716&lt;&gt;"",FT!B1716*100,"")</f>
        <v/>
      </c>
      <c r="H1716" s="60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0" t="str">
        <f>IF(FT!A1717&lt;&gt;"",FT!A1717*10,"")</f>
        <v/>
      </c>
      <c r="G1717" s="60" t="str">
        <f>IF(FT!B1717&lt;&gt;"",FT!B1717*100,"")</f>
        <v/>
      </c>
      <c r="H1717" s="60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0" t="str">
        <f>IF(FT!A1718&lt;&gt;"",FT!A1718*10,"")</f>
        <v/>
      </c>
      <c r="G1718" s="60" t="str">
        <f>IF(FT!B1718&lt;&gt;"",FT!B1718*100,"")</f>
        <v/>
      </c>
      <c r="H1718" s="60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0" t="str">
        <f>IF(FT!A1719&lt;&gt;"",FT!A1719*10,"")</f>
        <v/>
      </c>
      <c r="G1719" s="60" t="str">
        <f>IF(FT!B1719&lt;&gt;"",FT!B1719*100,"")</f>
        <v/>
      </c>
      <c r="H1719" s="60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0" t="str">
        <f>IF(FT!A1720&lt;&gt;"",FT!A1720*10,"")</f>
        <v/>
      </c>
      <c r="G1720" s="60" t="str">
        <f>IF(FT!B1720&lt;&gt;"",FT!B1720*100,"")</f>
        <v/>
      </c>
      <c r="H1720" s="60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0" t="str">
        <f>IF(FT!A1721&lt;&gt;"",FT!A1721*10,"")</f>
        <v/>
      </c>
      <c r="G1721" s="60" t="str">
        <f>IF(FT!B1721&lt;&gt;"",FT!B1721*100,"")</f>
        <v/>
      </c>
      <c r="H1721" s="60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0" t="str">
        <f>IF(FT!A1722&lt;&gt;"",FT!A1722*10,"")</f>
        <v/>
      </c>
      <c r="G1722" s="60" t="str">
        <f>IF(FT!B1722&lt;&gt;"",FT!B1722*100,"")</f>
        <v/>
      </c>
      <c r="H1722" s="60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0" t="str">
        <f>IF(FT!A1723&lt;&gt;"",FT!A1723*10,"")</f>
        <v/>
      </c>
      <c r="G1723" s="60" t="str">
        <f>IF(FT!B1723&lt;&gt;"",FT!B1723*100,"")</f>
        <v/>
      </c>
      <c r="H1723" s="60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0" t="str">
        <f>IF(FT!A1724&lt;&gt;"",FT!A1724*10,"")</f>
        <v/>
      </c>
      <c r="G1724" s="60" t="str">
        <f>IF(FT!B1724&lt;&gt;"",FT!B1724*100,"")</f>
        <v/>
      </c>
      <c r="H1724" s="60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0" t="str">
        <f>IF(FT!A1725&lt;&gt;"",FT!A1725*10,"")</f>
        <v/>
      </c>
      <c r="G1725" s="60" t="str">
        <f>IF(FT!B1725&lt;&gt;"",FT!B1725*100,"")</f>
        <v/>
      </c>
      <c r="H1725" s="60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0" t="str">
        <f>IF(FT!A1726&lt;&gt;"",FT!A1726*10,"")</f>
        <v/>
      </c>
      <c r="G1726" s="60" t="str">
        <f>IF(FT!B1726&lt;&gt;"",FT!B1726*100,"")</f>
        <v/>
      </c>
      <c r="H1726" s="60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0" t="str">
        <f>IF(FT!A1727&lt;&gt;"",FT!A1727*10,"")</f>
        <v/>
      </c>
      <c r="G1727" s="60" t="str">
        <f>IF(FT!B1727&lt;&gt;"",FT!B1727*100,"")</f>
        <v/>
      </c>
      <c r="H1727" s="60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0" t="str">
        <f>IF(FT!A1728&lt;&gt;"",FT!A1728*10,"")</f>
        <v/>
      </c>
      <c r="G1728" s="60" t="str">
        <f>IF(FT!B1728&lt;&gt;"",FT!B1728*100,"")</f>
        <v/>
      </c>
      <c r="H1728" s="60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0" t="str">
        <f>IF(FT!A1729&lt;&gt;"",FT!A1729*10,"")</f>
        <v/>
      </c>
      <c r="G1729" s="60" t="str">
        <f>IF(FT!B1729&lt;&gt;"",FT!B1729*100,"")</f>
        <v/>
      </c>
      <c r="H1729" s="60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0" t="str">
        <f>IF(FT!A1730&lt;&gt;"",FT!A1730*10,"")</f>
        <v/>
      </c>
      <c r="G1730" s="60" t="str">
        <f>IF(FT!B1730&lt;&gt;"",FT!B1730*100,"")</f>
        <v/>
      </c>
      <c r="H1730" s="60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0" t="str">
        <f>IF(FT!A1731&lt;&gt;"",FT!A1731*10,"")</f>
        <v/>
      </c>
      <c r="G1731" s="60" t="str">
        <f>IF(FT!B1731&lt;&gt;"",FT!B1731*100,"")</f>
        <v/>
      </c>
      <c r="H1731" s="60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0" t="str">
        <f>IF(FT!A1732&lt;&gt;"",FT!A1732*10,"")</f>
        <v/>
      </c>
      <c r="G1732" s="60" t="str">
        <f>IF(FT!B1732&lt;&gt;"",FT!B1732*100,"")</f>
        <v/>
      </c>
      <c r="H1732" s="60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0" t="str">
        <f>IF(FT!A1733&lt;&gt;"",FT!A1733*10,"")</f>
        <v/>
      </c>
      <c r="G1733" s="60" t="str">
        <f>IF(FT!B1733&lt;&gt;"",FT!B1733*100,"")</f>
        <v/>
      </c>
      <c r="H1733" s="60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0" t="str">
        <f>IF(FT!A1734&lt;&gt;"",FT!A1734*10,"")</f>
        <v/>
      </c>
      <c r="G1734" s="60" t="str">
        <f>IF(FT!B1734&lt;&gt;"",FT!B1734*100,"")</f>
        <v/>
      </c>
      <c r="H1734" s="60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0" t="str">
        <f>IF(FT!A1735&lt;&gt;"",FT!A1735*10,"")</f>
        <v/>
      </c>
      <c r="G1735" s="60" t="str">
        <f>IF(FT!B1735&lt;&gt;"",FT!B1735*100,"")</f>
        <v/>
      </c>
      <c r="H1735" s="60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0" t="str">
        <f>IF(FT!A1736&lt;&gt;"",FT!A1736*10,"")</f>
        <v/>
      </c>
      <c r="G1736" s="60" t="str">
        <f>IF(FT!B1736&lt;&gt;"",FT!B1736*100,"")</f>
        <v/>
      </c>
      <c r="H1736" s="60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0" t="str">
        <f>IF(FT!A1737&lt;&gt;"",FT!A1737*10,"")</f>
        <v/>
      </c>
      <c r="G1737" s="60" t="str">
        <f>IF(FT!B1737&lt;&gt;"",FT!B1737*100,"")</f>
        <v/>
      </c>
      <c r="H1737" s="60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0" t="str">
        <f>IF(FT!A1738&lt;&gt;"",FT!A1738*10,"")</f>
        <v/>
      </c>
      <c r="G1738" s="60" t="str">
        <f>IF(FT!B1738&lt;&gt;"",FT!B1738*100,"")</f>
        <v/>
      </c>
      <c r="H1738" s="60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0" t="str">
        <f>IF(FT!A1739&lt;&gt;"",FT!A1739*10,"")</f>
        <v/>
      </c>
      <c r="G1739" s="60" t="str">
        <f>IF(FT!B1739&lt;&gt;"",FT!B1739*100,"")</f>
        <v/>
      </c>
      <c r="H1739" s="60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0" t="str">
        <f>IF(FT!A1740&lt;&gt;"",FT!A1740*10,"")</f>
        <v/>
      </c>
      <c r="G1740" s="60" t="str">
        <f>IF(FT!B1740&lt;&gt;"",FT!B1740*100,"")</f>
        <v/>
      </c>
      <c r="H1740" s="60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0" t="str">
        <f>IF(FT!A1741&lt;&gt;"",FT!A1741*10,"")</f>
        <v/>
      </c>
      <c r="G1741" s="60" t="str">
        <f>IF(FT!B1741&lt;&gt;"",FT!B1741*100,"")</f>
        <v/>
      </c>
      <c r="H1741" s="60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0" t="str">
        <f>IF(FT!A1742&lt;&gt;"",FT!A1742*10,"")</f>
        <v/>
      </c>
      <c r="G1742" s="60" t="str">
        <f>IF(FT!B1742&lt;&gt;"",FT!B1742*100,"")</f>
        <v/>
      </c>
      <c r="H1742" s="60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0" t="str">
        <f>IF(FT!A1743&lt;&gt;"",FT!A1743*10,"")</f>
        <v/>
      </c>
      <c r="G1743" s="60" t="str">
        <f>IF(FT!B1743&lt;&gt;"",FT!B1743*100,"")</f>
        <v/>
      </c>
      <c r="H1743" s="60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0" t="str">
        <f>IF(FT!A1744&lt;&gt;"",FT!A1744*10,"")</f>
        <v/>
      </c>
      <c r="G1744" s="60" t="str">
        <f>IF(FT!B1744&lt;&gt;"",FT!B1744*100,"")</f>
        <v/>
      </c>
      <c r="H1744" s="60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0" t="str">
        <f>IF(FT!A1745&lt;&gt;"",FT!A1745*10,"")</f>
        <v/>
      </c>
      <c r="G1745" s="60" t="str">
        <f>IF(FT!B1745&lt;&gt;"",FT!B1745*100,"")</f>
        <v/>
      </c>
      <c r="H1745" s="60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0" t="str">
        <f>IF(FT!A1746&lt;&gt;"",FT!A1746*10,"")</f>
        <v/>
      </c>
      <c r="G1746" s="60" t="str">
        <f>IF(FT!B1746&lt;&gt;"",FT!B1746*100,"")</f>
        <v/>
      </c>
      <c r="H1746" s="60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0" t="str">
        <f>IF(FT!A1747&lt;&gt;"",FT!A1747*10,"")</f>
        <v/>
      </c>
      <c r="G1747" s="60" t="str">
        <f>IF(FT!B1747&lt;&gt;"",FT!B1747*100,"")</f>
        <v/>
      </c>
      <c r="H1747" s="60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0" t="str">
        <f>IF(FT!A1748&lt;&gt;"",FT!A1748*10,"")</f>
        <v/>
      </c>
      <c r="G1748" s="60" t="str">
        <f>IF(FT!B1748&lt;&gt;"",FT!B1748*100,"")</f>
        <v/>
      </c>
      <c r="H1748" s="60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0" t="str">
        <f>IF(FT!A1749&lt;&gt;"",FT!A1749*10,"")</f>
        <v/>
      </c>
      <c r="G1749" s="60" t="str">
        <f>IF(FT!B1749&lt;&gt;"",FT!B1749*100,"")</f>
        <v/>
      </c>
      <c r="H1749" s="60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0" t="str">
        <f>IF(FT!A1750&lt;&gt;"",FT!A1750*10,"")</f>
        <v/>
      </c>
      <c r="G1750" s="60" t="str">
        <f>IF(FT!B1750&lt;&gt;"",FT!B1750*100,"")</f>
        <v/>
      </c>
      <c r="H1750" s="60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0" t="str">
        <f>IF(FT!A1751&lt;&gt;"",FT!A1751*10,"")</f>
        <v/>
      </c>
      <c r="G1751" s="60" t="str">
        <f>IF(FT!B1751&lt;&gt;"",FT!B1751*100,"")</f>
        <v/>
      </c>
      <c r="H1751" s="60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0" t="str">
        <f>IF(FT!A1752&lt;&gt;"",FT!A1752*10,"")</f>
        <v/>
      </c>
      <c r="G1752" s="60" t="str">
        <f>IF(FT!B1752&lt;&gt;"",FT!B1752*100,"")</f>
        <v/>
      </c>
      <c r="H1752" s="60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0" t="str">
        <f>IF(FT!A1753&lt;&gt;"",FT!A1753*10,"")</f>
        <v/>
      </c>
      <c r="G1753" s="60" t="str">
        <f>IF(FT!B1753&lt;&gt;"",FT!B1753*100,"")</f>
        <v/>
      </c>
      <c r="H1753" s="60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0" t="str">
        <f>IF(FT!A1754&lt;&gt;"",FT!A1754*10,"")</f>
        <v/>
      </c>
      <c r="G1754" s="60" t="str">
        <f>IF(FT!B1754&lt;&gt;"",FT!B1754*100,"")</f>
        <v/>
      </c>
      <c r="H1754" s="60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0" t="str">
        <f>IF(FT!A1755&lt;&gt;"",FT!A1755*10,"")</f>
        <v/>
      </c>
      <c r="G1755" s="60" t="str">
        <f>IF(FT!B1755&lt;&gt;"",FT!B1755*100,"")</f>
        <v/>
      </c>
      <c r="H1755" s="60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0" t="str">
        <f>IF(FT!A1756&lt;&gt;"",FT!A1756*10,"")</f>
        <v/>
      </c>
      <c r="G1756" s="60" t="str">
        <f>IF(FT!B1756&lt;&gt;"",FT!B1756*100,"")</f>
        <v/>
      </c>
      <c r="H1756" s="60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0" t="str">
        <f>IF(FT!A1757&lt;&gt;"",FT!A1757*10,"")</f>
        <v/>
      </c>
      <c r="G1757" s="60" t="str">
        <f>IF(FT!B1757&lt;&gt;"",FT!B1757*100,"")</f>
        <v/>
      </c>
      <c r="H1757" s="60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0" t="str">
        <f>IF(FT!A1758&lt;&gt;"",FT!A1758*10,"")</f>
        <v/>
      </c>
      <c r="G1758" s="60" t="str">
        <f>IF(FT!B1758&lt;&gt;"",FT!B1758*100,"")</f>
        <v/>
      </c>
      <c r="H1758" s="60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0" t="str">
        <f>IF(FT!A1759&lt;&gt;"",FT!A1759*10,"")</f>
        <v/>
      </c>
      <c r="G1759" s="60" t="str">
        <f>IF(FT!B1759&lt;&gt;"",FT!B1759*100,"")</f>
        <v/>
      </c>
      <c r="H1759" s="60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0" t="str">
        <f>IF(FT!A1760&lt;&gt;"",FT!A1760*10,"")</f>
        <v/>
      </c>
      <c r="G1760" s="60" t="str">
        <f>IF(FT!B1760&lt;&gt;"",FT!B1760*100,"")</f>
        <v/>
      </c>
      <c r="H1760" s="60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0" t="str">
        <f>IF(FT!A1761&lt;&gt;"",FT!A1761*10,"")</f>
        <v/>
      </c>
      <c r="G1761" s="60" t="str">
        <f>IF(FT!B1761&lt;&gt;"",FT!B1761*100,"")</f>
        <v/>
      </c>
      <c r="H1761" s="60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0" t="str">
        <f>IF(FT!A1762&lt;&gt;"",FT!A1762*10,"")</f>
        <v/>
      </c>
      <c r="G1762" s="60" t="str">
        <f>IF(FT!B1762&lt;&gt;"",FT!B1762*100,"")</f>
        <v/>
      </c>
      <c r="H1762" s="60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0" t="str">
        <f>IF(FT!A1763&lt;&gt;"",FT!A1763*10,"")</f>
        <v/>
      </c>
      <c r="G1763" s="60" t="str">
        <f>IF(FT!B1763&lt;&gt;"",FT!B1763*100,"")</f>
        <v/>
      </c>
      <c r="H1763" s="60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0" t="str">
        <f>IF(FT!A1764&lt;&gt;"",FT!A1764*10,"")</f>
        <v/>
      </c>
      <c r="G1764" s="60" t="str">
        <f>IF(FT!B1764&lt;&gt;"",FT!B1764*100,"")</f>
        <v/>
      </c>
      <c r="H1764" s="60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0" t="str">
        <f>IF(FT!A1765&lt;&gt;"",FT!A1765*10,"")</f>
        <v/>
      </c>
      <c r="G1765" s="60" t="str">
        <f>IF(FT!B1765&lt;&gt;"",FT!B1765*100,"")</f>
        <v/>
      </c>
      <c r="H1765" s="60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0" t="str">
        <f>IF(FT!A1766&lt;&gt;"",FT!A1766*10,"")</f>
        <v/>
      </c>
      <c r="G1766" s="60" t="str">
        <f>IF(FT!B1766&lt;&gt;"",FT!B1766*100,"")</f>
        <v/>
      </c>
      <c r="H1766" s="60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0" t="str">
        <f>IF(FT!A1767&lt;&gt;"",FT!A1767*10,"")</f>
        <v/>
      </c>
      <c r="G1767" s="60" t="str">
        <f>IF(FT!B1767&lt;&gt;"",FT!B1767*100,"")</f>
        <v/>
      </c>
      <c r="H1767" s="60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0" t="str">
        <f>IF(FT!A1768&lt;&gt;"",FT!A1768*10,"")</f>
        <v/>
      </c>
      <c r="G1768" s="60" t="str">
        <f>IF(FT!B1768&lt;&gt;"",FT!B1768*100,"")</f>
        <v/>
      </c>
      <c r="H1768" s="60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0" t="str">
        <f>IF(FT!A1769&lt;&gt;"",FT!A1769*10,"")</f>
        <v/>
      </c>
      <c r="G1769" s="60" t="str">
        <f>IF(FT!B1769&lt;&gt;"",FT!B1769*100,"")</f>
        <v/>
      </c>
      <c r="H1769" s="60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0" t="str">
        <f>IF(FT!A1770&lt;&gt;"",FT!A1770*10,"")</f>
        <v/>
      </c>
      <c r="G1770" s="60" t="str">
        <f>IF(FT!B1770&lt;&gt;"",FT!B1770*100,"")</f>
        <v/>
      </c>
      <c r="H1770" s="60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0" t="str">
        <f>IF(FT!A1771&lt;&gt;"",FT!A1771*10,"")</f>
        <v/>
      </c>
      <c r="G1771" s="60" t="str">
        <f>IF(FT!B1771&lt;&gt;"",FT!B1771*100,"")</f>
        <v/>
      </c>
      <c r="H1771" s="60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0" t="str">
        <f>IF(FT!A1772&lt;&gt;"",FT!A1772*10,"")</f>
        <v/>
      </c>
      <c r="G1772" s="60" t="str">
        <f>IF(FT!B1772&lt;&gt;"",FT!B1772*100,"")</f>
        <v/>
      </c>
      <c r="H1772" s="60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0" t="str">
        <f>IF(FT!A1773&lt;&gt;"",FT!A1773*10,"")</f>
        <v/>
      </c>
      <c r="G1773" s="60" t="str">
        <f>IF(FT!B1773&lt;&gt;"",FT!B1773*100,"")</f>
        <v/>
      </c>
      <c r="H1773" s="60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0" t="str">
        <f>IF(FT!A1774&lt;&gt;"",FT!A1774*10,"")</f>
        <v/>
      </c>
      <c r="G1774" s="60" t="str">
        <f>IF(FT!B1774&lt;&gt;"",FT!B1774*100,"")</f>
        <v/>
      </c>
      <c r="H1774" s="60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0" t="str">
        <f>IF(FT!A1775&lt;&gt;"",FT!A1775*10,"")</f>
        <v/>
      </c>
      <c r="G1775" s="60" t="str">
        <f>IF(FT!B1775&lt;&gt;"",FT!B1775*100,"")</f>
        <v/>
      </c>
      <c r="H1775" s="60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0" t="str">
        <f>IF(FT!A1776&lt;&gt;"",FT!A1776*10,"")</f>
        <v/>
      </c>
      <c r="G1776" s="60" t="str">
        <f>IF(FT!B1776&lt;&gt;"",FT!B1776*100,"")</f>
        <v/>
      </c>
      <c r="H1776" s="60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0" t="str">
        <f>IF(FT!A1777&lt;&gt;"",FT!A1777*10,"")</f>
        <v/>
      </c>
      <c r="G1777" s="60" t="str">
        <f>IF(FT!B1777&lt;&gt;"",FT!B1777*100,"")</f>
        <v/>
      </c>
      <c r="H1777" s="60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0" t="str">
        <f>IF(FT!A1778&lt;&gt;"",FT!A1778*10,"")</f>
        <v/>
      </c>
      <c r="G1778" s="60" t="str">
        <f>IF(FT!B1778&lt;&gt;"",FT!B1778*100,"")</f>
        <v/>
      </c>
      <c r="H1778" s="60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0" t="str">
        <f>IF(FT!A1779&lt;&gt;"",FT!A1779*10,"")</f>
        <v/>
      </c>
      <c r="G1779" s="60" t="str">
        <f>IF(FT!B1779&lt;&gt;"",FT!B1779*100,"")</f>
        <v/>
      </c>
      <c r="H1779" s="60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0" t="str">
        <f>IF(FT!A1780&lt;&gt;"",FT!A1780*10,"")</f>
        <v/>
      </c>
      <c r="G1780" s="60" t="str">
        <f>IF(FT!B1780&lt;&gt;"",FT!B1780*100,"")</f>
        <v/>
      </c>
      <c r="H1780" s="60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0" t="str">
        <f>IF(FT!A1781&lt;&gt;"",FT!A1781*10,"")</f>
        <v/>
      </c>
      <c r="G1781" s="60" t="str">
        <f>IF(FT!B1781&lt;&gt;"",FT!B1781*100,"")</f>
        <v/>
      </c>
      <c r="H1781" s="60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0" t="str">
        <f>IF(FT!A1782&lt;&gt;"",FT!A1782*10,"")</f>
        <v/>
      </c>
      <c r="G1782" s="60" t="str">
        <f>IF(FT!B1782&lt;&gt;"",FT!B1782*100,"")</f>
        <v/>
      </c>
      <c r="H1782" s="60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0" t="str">
        <f>IF(FT!A1783&lt;&gt;"",FT!A1783*10,"")</f>
        <v/>
      </c>
      <c r="G1783" s="60" t="str">
        <f>IF(FT!B1783&lt;&gt;"",FT!B1783*100,"")</f>
        <v/>
      </c>
      <c r="H1783" s="60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0" t="str">
        <f>IF(FT!A1784&lt;&gt;"",FT!A1784*10,"")</f>
        <v/>
      </c>
      <c r="G1784" s="60" t="str">
        <f>IF(FT!B1784&lt;&gt;"",FT!B1784*100,"")</f>
        <v/>
      </c>
      <c r="H1784" s="60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0" t="str">
        <f>IF(FT!A1785&lt;&gt;"",FT!A1785*10,"")</f>
        <v/>
      </c>
      <c r="G1785" s="60" t="str">
        <f>IF(FT!B1785&lt;&gt;"",FT!B1785*100,"")</f>
        <v/>
      </c>
      <c r="H1785" s="60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0" t="str">
        <f>IF(FT!A1786&lt;&gt;"",FT!A1786*10,"")</f>
        <v/>
      </c>
      <c r="G1786" s="60" t="str">
        <f>IF(FT!B1786&lt;&gt;"",FT!B1786*100,"")</f>
        <v/>
      </c>
      <c r="H1786" s="60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0" t="str">
        <f>IF(FT!A1787&lt;&gt;"",FT!A1787*10,"")</f>
        <v/>
      </c>
      <c r="G1787" s="60" t="str">
        <f>IF(FT!B1787&lt;&gt;"",FT!B1787*100,"")</f>
        <v/>
      </c>
      <c r="H1787" s="60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0" t="str">
        <f>IF(FT!A1788&lt;&gt;"",FT!A1788*10,"")</f>
        <v/>
      </c>
      <c r="G1788" s="60" t="str">
        <f>IF(FT!B1788&lt;&gt;"",FT!B1788*100,"")</f>
        <v/>
      </c>
      <c r="H1788" s="60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0" t="str">
        <f>IF(FT!A1789&lt;&gt;"",FT!A1789*10,"")</f>
        <v/>
      </c>
      <c r="G1789" s="60" t="str">
        <f>IF(FT!B1789&lt;&gt;"",FT!B1789*100,"")</f>
        <v/>
      </c>
      <c r="H1789" s="60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0" t="str">
        <f>IF(FT!A1790&lt;&gt;"",FT!A1790*10,"")</f>
        <v/>
      </c>
      <c r="G1790" s="60" t="str">
        <f>IF(FT!B1790&lt;&gt;"",FT!B1790*100,"")</f>
        <v/>
      </c>
      <c r="H1790" s="60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0" t="str">
        <f>IF(FT!A1791&lt;&gt;"",FT!A1791*10,"")</f>
        <v/>
      </c>
      <c r="G1791" s="60" t="str">
        <f>IF(FT!B1791&lt;&gt;"",FT!B1791*100,"")</f>
        <v/>
      </c>
      <c r="H1791" s="60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0" t="str">
        <f>IF(FT!A1792&lt;&gt;"",FT!A1792*10,"")</f>
        <v/>
      </c>
      <c r="G1792" s="60" t="str">
        <f>IF(FT!B1792&lt;&gt;"",FT!B1792*100,"")</f>
        <v/>
      </c>
      <c r="H1792" s="60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0" t="str">
        <f>IF(FT!A1793&lt;&gt;"",FT!A1793*10,"")</f>
        <v/>
      </c>
      <c r="G1793" s="60" t="str">
        <f>IF(FT!B1793&lt;&gt;"",FT!B1793*100,"")</f>
        <v/>
      </c>
      <c r="H1793" s="60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0" t="str">
        <f>IF(FT!A1794&lt;&gt;"",FT!A1794*10,"")</f>
        <v/>
      </c>
      <c r="G1794" s="60" t="str">
        <f>IF(FT!B1794&lt;&gt;"",FT!B1794*100,"")</f>
        <v/>
      </c>
      <c r="H1794" s="60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0" t="str">
        <f>IF(FT!A1795&lt;&gt;"",FT!A1795*10,"")</f>
        <v/>
      </c>
      <c r="G1795" s="60" t="str">
        <f>IF(FT!B1795&lt;&gt;"",FT!B1795*100,"")</f>
        <v/>
      </c>
      <c r="H1795" s="60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0" t="str">
        <f>IF(FT!A1796&lt;&gt;"",FT!A1796*10,"")</f>
        <v/>
      </c>
      <c r="G1796" s="60" t="str">
        <f>IF(FT!B1796&lt;&gt;"",FT!B1796*100,"")</f>
        <v/>
      </c>
      <c r="H1796" s="60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0" t="str">
        <f>IF(FT!A1797&lt;&gt;"",FT!A1797*10,"")</f>
        <v/>
      </c>
      <c r="G1797" s="60" t="str">
        <f>IF(FT!B1797&lt;&gt;"",FT!B1797*100,"")</f>
        <v/>
      </c>
      <c r="H1797" s="60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0" t="str">
        <f>IF(FT!A1798&lt;&gt;"",FT!A1798*10,"")</f>
        <v/>
      </c>
      <c r="G1798" s="60" t="str">
        <f>IF(FT!B1798&lt;&gt;"",FT!B1798*100,"")</f>
        <v/>
      </c>
      <c r="H1798" s="60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0" t="str">
        <f>IF(FT!A1799&lt;&gt;"",FT!A1799*10,"")</f>
        <v/>
      </c>
      <c r="G1799" s="60" t="str">
        <f>IF(FT!B1799&lt;&gt;"",FT!B1799*100,"")</f>
        <v/>
      </c>
      <c r="H1799" s="60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0" t="str">
        <f>IF(FT!A1800&lt;&gt;"",FT!A1800*10,"")</f>
        <v/>
      </c>
      <c r="G1800" s="60" t="str">
        <f>IF(FT!B1800&lt;&gt;"",FT!B1800*100,"")</f>
        <v/>
      </c>
      <c r="H1800" s="60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0" t="str">
        <f>IF(FT!A1801&lt;&gt;"",FT!A1801*10,"")</f>
        <v/>
      </c>
      <c r="G1801" s="60" t="str">
        <f>IF(FT!B1801&lt;&gt;"",FT!B1801*100,"")</f>
        <v/>
      </c>
      <c r="H1801" s="60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0" t="str">
        <f>IF(FT!A1802&lt;&gt;"",FT!A1802*10,"")</f>
        <v/>
      </c>
      <c r="G1802" s="60" t="str">
        <f>IF(FT!B1802&lt;&gt;"",FT!B1802*100,"")</f>
        <v/>
      </c>
      <c r="H1802" s="60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0" t="str">
        <f>IF(FT!A1803&lt;&gt;"",FT!A1803*10,"")</f>
        <v/>
      </c>
      <c r="G1803" s="60" t="str">
        <f>IF(FT!B1803&lt;&gt;"",FT!B1803*100,"")</f>
        <v/>
      </c>
      <c r="H1803" s="60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0" t="str">
        <f>IF(FT!A1804&lt;&gt;"",FT!A1804*10,"")</f>
        <v/>
      </c>
      <c r="G1804" s="60" t="str">
        <f>IF(FT!B1804&lt;&gt;"",FT!B1804*100,"")</f>
        <v/>
      </c>
      <c r="H1804" s="60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0" t="str">
        <f>IF(FT!A1805&lt;&gt;"",FT!A1805*10,"")</f>
        <v/>
      </c>
      <c r="G1805" s="60" t="str">
        <f>IF(FT!B1805&lt;&gt;"",FT!B1805*100,"")</f>
        <v/>
      </c>
      <c r="H1805" s="60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0" t="str">
        <f>IF(FT!A1806&lt;&gt;"",FT!A1806*10,"")</f>
        <v/>
      </c>
      <c r="G1806" s="60" t="str">
        <f>IF(FT!B1806&lt;&gt;"",FT!B1806*100,"")</f>
        <v/>
      </c>
      <c r="H1806" s="60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0" t="str">
        <f>IF(FT!A1807&lt;&gt;"",FT!A1807*10,"")</f>
        <v/>
      </c>
      <c r="G1807" s="60" t="str">
        <f>IF(FT!B1807&lt;&gt;"",FT!B1807*100,"")</f>
        <v/>
      </c>
      <c r="H1807" s="60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0" t="str">
        <f>IF(FT!A1808&lt;&gt;"",FT!A1808*10,"")</f>
        <v/>
      </c>
      <c r="G1808" s="60" t="str">
        <f>IF(FT!B1808&lt;&gt;"",FT!B1808*100,"")</f>
        <v/>
      </c>
      <c r="H1808" s="60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0" t="str">
        <f>IF(FT!A1809&lt;&gt;"",FT!A1809*10,"")</f>
        <v/>
      </c>
      <c r="G1809" s="60" t="str">
        <f>IF(FT!B1809&lt;&gt;"",FT!B1809*100,"")</f>
        <v/>
      </c>
      <c r="H1809" s="60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0" t="str">
        <f>IF(FT!A1810&lt;&gt;"",FT!A1810*10,"")</f>
        <v/>
      </c>
      <c r="G1810" s="60" t="str">
        <f>IF(FT!B1810&lt;&gt;"",FT!B1810*100,"")</f>
        <v/>
      </c>
      <c r="H1810" s="60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0" t="str">
        <f>IF(FT!A1811&lt;&gt;"",FT!A1811*10,"")</f>
        <v/>
      </c>
      <c r="G1811" s="60" t="str">
        <f>IF(FT!B1811&lt;&gt;"",FT!B1811*100,"")</f>
        <v/>
      </c>
      <c r="H1811" s="60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0" t="str">
        <f>IF(FT!A1812&lt;&gt;"",FT!A1812*10,"")</f>
        <v/>
      </c>
      <c r="G1812" s="60" t="str">
        <f>IF(FT!B1812&lt;&gt;"",FT!B1812*100,"")</f>
        <v/>
      </c>
      <c r="H1812" s="60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0" t="str">
        <f>IF(FT!A1813&lt;&gt;"",FT!A1813*10,"")</f>
        <v/>
      </c>
      <c r="G1813" s="60" t="str">
        <f>IF(FT!B1813&lt;&gt;"",FT!B1813*100,"")</f>
        <v/>
      </c>
      <c r="H1813" s="60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0" t="str">
        <f>IF(FT!A1814&lt;&gt;"",FT!A1814*10,"")</f>
        <v/>
      </c>
      <c r="G1814" s="60" t="str">
        <f>IF(FT!B1814&lt;&gt;"",FT!B1814*100,"")</f>
        <v/>
      </c>
      <c r="H1814" s="60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0" t="str">
        <f>IF(FT!A1815&lt;&gt;"",FT!A1815*10,"")</f>
        <v/>
      </c>
      <c r="G1815" s="60" t="str">
        <f>IF(FT!B1815&lt;&gt;"",FT!B1815*100,"")</f>
        <v/>
      </c>
      <c r="H1815" s="60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0" t="str">
        <f>IF(FT!A1816&lt;&gt;"",FT!A1816*10,"")</f>
        <v/>
      </c>
      <c r="G1816" s="60" t="str">
        <f>IF(FT!B1816&lt;&gt;"",FT!B1816*100,"")</f>
        <v/>
      </c>
      <c r="H1816" s="60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0" t="str">
        <f>IF(FT!A1817&lt;&gt;"",FT!A1817*10,"")</f>
        <v/>
      </c>
      <c r="G1817" s="60" t="str">
        <f>IF(FT!B1817&lt;&gt;"",FT!B1817*100,"")</f>
        <v/>
      </c>
      <c r="H1817" s="60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0" t="str">
        <f>IF(FT!A1818&lt;&gt;"",FT!A1818*10,"")</f>
        <v/>
      </c>
      <c r="G1818" s="60" t="str">
        <f>IF(FT!B1818&lt;&gt;"",FT!B1818*100,"")</f>
        <v/>
      </c>
      <c r="H1818" s="60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0" t="str">
        <f>IF(FT!A1819&lt;&gt;"",FT!A1819*10,"")</f>
        <v/>
      </c>
      <c r="G1819" s="60" t="str">
        <f>IF(FT!B1819&lt;&gt;"",FT!B1819*100,"")</f>
        <v/>
      </c>
      <c r="H1819" s="60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0" t="str">
        <f>IF(FT!A1820&lt;&gt;"",FT!A1820*10,"")</f>
        <v/>
      </c>
      <c r="G1820" s="60" t="str">
        <f>IF(FT!B1820&lt;&gt;"",FT!B1820*100,"")</f>
        <v/>
      </c>
      <c r="H1820" s="60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0" t="str">
        <f>IF(FT!A1821&lt;&gt;"",FT!A1821*10,"")</f>
        <v/>
      </c>
      <c r="G1821" s="60" t="str">
        <f>IF(FT!B1821&lt;&gt;"",FT!B1821*100,"")</f>
        <v/>
      </c>
      <c r="H1821" s="60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0" t="str">
        <f>IF(FT!A1822&lt;&gt;"",FT!A1822*10,"")</f>
        <v/>
      </c>
      <c r="G1822" s="60" t="str">
        <f>IF(FT!B1822&lt;&gt;"",FT!B1822*100,"")</f>
        <v/>
      </c>
      <c r="H1822" s="60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0" t="str">
        <f>IF(FT!A1823&lt;&gt;"",FT!A1823*10,"")</f>
        <v/>
      </c>
      <c r="G1823" s="60" t="str">
        <f>IF(FT!B1823&lt;&gt;"",FT!B1823*100,"")</f>
        <v/>
      </c>
      <c r="H1823" s="60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0" t="str">
        <f>IF(FT!A1824&lt;&gt;"",FT!A1824*10,"")</f>
        <v/>
      </c>
      <c r="G1824" s="60" t="str">
        <f>IF(FT!B1824&lt;&gt;"",FT!B1824*100,"")</f>
        <v/>
      </c>
      <c r="H1824" s="60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0" t="str">
        <f>IF(FT!A1825&lt;&gt;"",FT!A1825*10,"")</f>
        <v/>
      </c>
      <c r="G1825" s="60" t="str">
        <f>IF(FT!B1825&lt;&gt;"",FT!B1825*100,"")</f>
        <v/>
      </c>
      <c r="H1825" s="60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0" t="str">
        <f>IF(FT!A1826&lt;&gt;"",FT!A1826*10,"")</f>
        <v/>
      </c>
      <c r="G1826" s="60" t="str">
        <f>IF(FT!B1826&lt;&gt;"",FT!B1826*100,"")</f>
        <v/>
      </c>
      <c r="H1826" s="60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0" t="str">
        <f>IF(FT!A1827&lt;&gt;"",FT!A1827*10,"")</f>
        <v/>
      </c>
      <c r="G1827" s="60" t="str">
        <f>IF(FT!B1827&lt;&gt;"",FT!B1827*100,"")</f>
        <v/>
      </c>
      <c r="H1827" s="60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0" t="str">
        <f>IF(FT!A1828&lt;&gt;"",FT!A1828*10,"")</f>
        <v/>
      </c>
      <c r="G1828" s="60" t="str">
        <f>IF(FT!B1828&lt;&gt;"",FT!B1828*100,"")</f>
        <v/>
      </c>
      <c r="H1828" s="60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0" t="str">
        <f>IF(FT!A1829&lt;&gt;"",FT!A1829*10,"")</f>
        <v/>
      </c>
      <c r="G1829" s="60" t="str">
        <f>IF(FT!B1829&lt;&gt;"",FT!B1829*100,"")</f>
        <v/>
      </c>
      <c r="H1829" s="60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0" t="str">
        <f>IF(FT!A1830&lt;&gt;"",FT!A1830*10,"")</f>
        <v/>
      </c>
      <c r="G1830" s="60" t="str">
        <f>IF(FT!B1830&lt;&gt;"",FT!B1830*100,"")</f>
        <v/>
      </c>
      <c r="H1830" s="60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0" t="str">
        <f>IF(FT!A1831&lt;&gt;"",FT!A1831*10,"")</f>
        <v/>
      </c>
      <c r="G1831" s="60" t="str">
        <f>IF(FT!B1831&lt;&gt;"",FT!B1831*100,"")</f>
        <v/>
      </c>
      <c r="H1831" s="60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0" t="str">
        <f>IF(FT!A1832&lt;&gt;"",FT!A1832*10,"")</f>
        <v/>
      </c>
      <c r="G1832" s="60" t="str">
        <f>IF(FT!B1832&lt;&gt;"",FT!B1832*100,"")</f>
        <v/>
      </c>
      <c r="H1832" s="60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0" t="str">
        <f>IF(FT!A1833&lt;&gt;"",FT!A1833*10,"")</f>
        <v/>
      </c>
      <c r="G1833" s="60" t="str">
        <f>IF(FT!B1833&lt;&gt;"",FT!B1833*100,"")</f>
        <v/>
      </c>
      <c r="H1833" s="60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0" t="str">
        <f>IF(FT!A1834&lt;&gt;"",FT!A1834*10,"")</f>
        <v/>
      </c>
      <c r="G1834" s="60" t="str">
        <f>IF(FT!B1834&lt;&gt;"",FT!B1834*100,"")</f>
        <v/>
      </c>
      <c r="H1834" s="60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0" t="str">
        <f>IF(FT!A1835&lt;&gt;"",FT!A1835*10,"")</f>
        <v/>
      </c>
      <c r="G1835" s="60" t="str">
        <f>IF(FT!B1835&lt;&gt;"",FT!B1835*100,"")</f>
        <v/>
      </c>
      <c r="H1835" s="60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0" t="str">
        <f>IF(FT!A1836&lt;&gt;"",FT!A1836*10,"")</f>
        <v/>
      </c>
      <c r="G1836" s="60" t="str">
        <f>IF(FT!B1836&lt;&gt;"",FT!B1836*100,"")</f>
        <v/>
      </c>
      <c r="H1836" s="60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0" t="str">
        <f>IF(FT!A1837&lt;&gt;"",FT!A1837*10,"")</f>
        <v/>
      </c>
      <c r="G1837" s="60" t="str">
        <f>IF(FT!B1837&lt;&gt;"",FT!B1837*100,"")</f>
        <v/>
      </c>
      <c r="H1837" s="60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0" t="str">
        <f>IF(FT!A1838&lt;&gt;"",FT!A1838*10,"")</f>
        <v/>
      </c>
      <c r="G1838" s="60" t="str">
        <f>IF(FT!B1838&lt;&gt;"",FT!B1838*100,"")</f>
        <v/>
      </c>
      <c r="H1838" s="60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0" t="str">
        <f>IF(FT!A1839&lt;&gt;"",FT!A1839*10,"")</f>
        <v/>
      </c>
      <c r="G1839" s="60" t="str">
        <f>IF(FT!B1839&lt;&gt;"",FT!B1839*100,"")</f>
        <v/>
      </c>
      <c r="H1839" s="60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0" t="str">
        <f>IF(FT!A1840&lt;&gt;"",FT!A1840*10,"")</f>
        <v/>
      </c>
      <c r="G1840" s="60" t="str">
        <f>IF(FT!B1840&lt;&gt;"",FT!B1840*100,"")</f>
        <v/>
      </c>
      <c r="H1840" s="60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0" t="str">
        <f>IF(FT!A1841&lt;&gt;"",FT!A1841*10,"")</f>
        <v/>
      </c>
      <c r="G1841" s="60" t="str">
        <f>IF(FT!B1841&lt;&gt;"",FT!B1841*100,"")</f>
        <v/>
      </c>
      <c r="H1841" s="60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0" t="str">
        <f>IF(FT!A1842&lt;&gt;"",FT!A1842*10,"")</f>
        <v/>
      </c>
      <c r="G1842" s="60" t="str">
        <f>IF(FT!B1842&lt;&gt;"",FT!B1842*100,"")</f>
        <v/>
      </c>
      <c r="H1842" s="60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0" t="str">
        <f>IF(FT!A1843&lt;&gt;"",FT!A1843*10,"")</f>
        <v/>
      </c>
      <c r="G1843" s="60" t="str">
        <f>IF(FT!B1843&lt;&gt;"",FT!B1843*100,"")</f>
        <v/>
      </c>
      <c r="H1843" s="60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0" t="str">
        <f>IF(FT!A1844&lt;&gt;"",FT!A1844*10,"")</f>
        <v/>
      </c>
      <c r="G1844" s="60" t="str">
        <f>IF(FT!B1844&lt;&gt;"",FT!B1844*100,"")</f>
        <v/>
      </c>
      <c r="H1844" s="60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0" t="str">
        <f>IF(FT!A1845&lt;&gt;"",FT!A1845*10,"")</f>
        <v/>
      </c>
      <c r="G1845" s="60" t="str">
        <f>IF(FT!B1845&lt;&gt;"",FT!B1845*100,"")</f>
        <v/>
      </c>
      <c r="H1845" s="60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0" t="str">
        <f>IF(FT!A1846&lt;&gt;"",FT!A1846*10,"")</f>
        <v/>
      </c>
      <c r="G1846" s="60" t="str">
        <f>IF(FT!B1846&lt;&gt;"",FT!B1846*100,"")</f>
        <v/>
      </c>
      <c r="H1846" s="60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0" t="str">
        <f>IF(FT!A1847&lt;&gt;"",FT!A1847*10,"")</f>
        <v/>
      </c>
      <c r="G1847" s="60" t="str">
        <f>IF(FT!B1847&lt;&gt;"",FT!B1847*100,"")</f>
        <v/>
      </c>
      <c r="H1847" s="60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0" t="str">
        <f>IF(FT!A1848&lt;&gt;"",FT!A1848*10,"")</f>
        <v/>
      </c>
      <c r="G1848" s="60" t="str">
        <f>IF(FT!B1848&lt;&gt;"",FT!B1848*100,"")</f>
        <v/>
      </c>
      <c r="H1848" s="60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0" t="str">
        <f>IF(FT!A1849&lt;&gt;"",FT!A1849*10,"")</f>
        <v/>
      </c>
      <c r="G1849" s="60" t="str">
        <f>IF(FT!B1849&lt;&gt;"",FT!B1849*100,"")</f>
        <v/>
      </c>
      <c r="H1849" s="60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0" t="str">
        <f>IF(FT!A1850&lt;&gt;"",FT!A1850*10,"")</f>
        <v/>
      </c>
      <c r="G1850" s="60" t="str">
        <f>IF(FT!B1850&lt;&gt;"",FT!B1850*100,"")</f>
        <v/>
      </c>
      <c r="H1850" s="60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0" t="str">
        <f>IF(FT!A1851&lt;&gt;"",FT!A1851*10,"")</f>
        <v/>
      </c>
      <c r="G1851" s="60" t="str">
        <f>IF(FT!B1851&lt;&gt;"",FT!B1851*100,"")</f>
        <v/>
      </c>
      <c r="H1851" s="60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0" t="str">
        <f>IF(FT!A1852&lt;&gt;"",FT!A1852*10,"")</f>
        <v/>
      </c>
      <c r="G1852" s="60" t="str">
        <f>IF(FT!B1852&lt;&gt;"",FT!B1852*100,"")</f>
        <v/>
      </c>
      <c r="H1852" s="60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0" t="str">
        <f>IF(FT!A1853&lt;&gt;"",FT!A1853*10,"")</f>
        <v/>
      </c>
      <c r="G1853" s="60" t="str">
        <f>IF(FT!B1853&lt;&gt;"",FT!B1853*100,"")</f>
        <v/>
      </c>
      <c r="H1853" s="60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0" t="str">
        <f>IF(FT!A1854&lt;&gt;"",FT!A1854*10,"")</f>
        <v/>
      </c>
      <c r="G1854" s="60" t="str">
        <f>IF(FT!B1854&lt;&gt;"",FT!B1854*100,"")</f>
        <v/>
      </c>
      <c r="H1854" s="60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0" t="str">
        <f>IF(FT!A1855&lt;&gt;"",FT!A1855*10,"")</f>
        <v/>
      </c>
      <c r="G1855" s="60" t="str">
        <f>IF(FT!B1855&lt;&gt;"",FT!B1855*100,"")</f>
        <v/>
      </c>
      <c r="H1855" s="60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0" t="str">
        <f>IF(FT!A1856&lt;&gt;"",FT!A1856*10,"")</f>
        <v/>
      </c>
      <c r="G1856" s="60" t="str">
        <f>IF(FT!B1856&lt;&gt;"",FT!B1856*100,"")</f>
        <v/>
      </c>
      <c r="H1856" s="60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0" t="str">
        <f>IF(FT!A1857&lt;&gt;"",FT!A1857*10,"")</f>
        <v/>
      </c>
      <c r="G1857" s="60" t="str">
        <f>IF(FT!B1857&lt;&gt;"",FT!B1857*100,"")</f>
        <v/>
      </c>
      <c r="H1857" s="60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0" t="str">
        <f>IF(FT!A1858&lt;&gt;"",FT!A1858*10,"")</f>
        <v/>
      </c>
      <c r="G1858" s="60" t="str">
        <f>IF(FT!B1858&lt;&gt;"",FT!B1858*100,"")</f>
        <v/>
      </c>
      <c r="H1858" s="60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0" t="str">
        <f>IF(FT!A1859&lt;&gt;"",FT!A1859*10,"")</f>
        <v/>
      </c>
      <c r="G1859" s="60" t="str">
        <f>IF(FT!B1859&lt;&gt;"",FT!B1859*100,"")</f>
        <v/>
      </c>
      <c r="H1859" s="60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0" t="str">
        <f>IF(FT!A1860&lt;&gt;"",FT!A1860*10,"")</f>
        <v/>
      </c>
      <c r="G1860" s="60" t="str">
        <f>IF(FT!B1860&lt;&gt;"",FT!B1860*100,"")</f>
        <v/>
      </c>
      <c r="H1860" s="60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0" t="str">
        <f>IF(FT!A1861&lt;&gt;"",FT!A1861*10,"")</f>
        <v/>
      </c>
      <c r="G1861" s="60" t="str">
        <f>IF(FT!B1861&lt;&gt;"",FT!B1861*100,"")</f>
        <v/>
      </c>
      <c r="H1861" s="60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0" t="str">
        <f>IF(FT!A1862&lt;&gt;"",FT!A1862*10,"")</f>
        <v/>
      </c>
      <c r="G1862" s="60" t="str">
        <f>IF(FT!B1862&lt;&gt;"",FT!B1862*100,"")</f>
        <v/>
      </c>
      <c r="H1862" s="60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0" t="str">
        <f>IF(FT!A1863&lt;&gt;"",FT!A1863*10,"")</f>
        <v/>
      </c>
      <c r="G1863" s="60" t="str">
        <f>IF(FT!B1863&lt;&gt;"",FT!B1863*100,"")</f>
        <v/>
      </c>
      <c r="H1863" s="60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0" t="str">
        <f>IF(FT!A1864&lt;&gt;"",FT!A1864*10,"")</f>
        <v/>
      </c>
      <c r="G1864" s="60" t="str">
        <f>IF(FT!B1864&lt;&gt;"",FT!B1864*100,"")</f>
        <v/>
      </c>
      <c r="H1864" s="60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0" t="str">
        <f>IF(FT!A1865&lt;&gt;"",FT!A1865*10,"")</f>
        <v/>
      </c>
      <c r="G1865" s="60" t="str">
        <f>IF(FT!B1865&lt;&gt;"",FT!B1865*100,"")</f>
        <v/>
      </c>
      <c r="H1865" s="60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0" t="str">
        <f>IF(FT!A1866&lt;&gt;"",FT!A1866*10,"")</f>
        <v/>
      </c>
      <c r="G1866" s="60" t="str">
        <f>IF(FT!B1866&lt;&gt;"",FT!B1866*100,"")</f>
        <v/>
      </c>
      <c r="H1866" s="60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0" t="str">
        <f>IF(FT!A1867&lt;&gt;"",FT!A1867*10,"")</f>
        <v/>
      </c>
      <c r="G1867" s="60" t="str">
        <f>IF(FT!B1867&lt;&gt;"",FT!B1867*100,"")</f>
        <v/>
      </c>
      <c r="H1867" s="60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0" t="str">
        <f>IF(FT!A1868&lt;&gt;"",FT!A1868*10,"")</f>
        <v/>
      </c>
      <c r="G1868" s="60" t="str">
        <f>IF(FT!B1868&lt;&gt;"",FT!B1868*100,"")</f>
        <v/>
      </c>
      <c r="H1868" s="60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0" t="str">
        <f>IF(FT!A1869&lt;&gt;"",FT!A1869*10,"")</f>
        <v/>
      </c>
      <c r="G1869" s="60" t="str">
        <f>IF(FT!B1869&lt;&gt;"",FT!B1869*100,"")</f>
        <v/>
      </c>
      <c r="H1869" s="60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0" t="str">
        <f>IF(FT!A1870&lt;&gt;"",FT!A1870*10,"")</f>
        <v/>
      </c>
      <c r="G1870" s="60" t="str">
        <f>IF(FT!B1870&lt;&gt;"",FT!B1870*100,"")</f>
        <v/>
      </c>
      <c r="H1870" s="60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0" t="str">
        <f>IF(FT!A1871&lt;&gt;"",FT!A1871*10,"")</f>
        <v/>
      </c>
      <c r="G1871" s="60" t="str">
        <f>IF(FT!B1871&lt;&gt;"",FT!B1871*100,"")</f>
        <v/>
      </c>
      <c r="H1871" s="60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0" t="str">
        <f>IF(FT!A1872&lt;&gt;"",FT!A1872*10,"")</f>
        <v/>
      </c>
      <c r="G1872" s="60" t="str">
        <f>IF(FT!B1872&lt;&gt;"",FT!B1872*100,"")</f>
        <v/>
      </c>
      <c r="H1872" s="60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0" t="str">
        <f>IF(FT!A1873&lt;&gt;"",FT!A1873*10,"")</f>
        <v/>
      </c>
      <c r="G1873" s="60" t="str">
        <f>IF(FT!B1873&lt;&gt;"",FT!B1873*100,"")</f>
        <v/>
      </c>
      <c r="H1873" s="60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0" t="str">
        <f>IF(FT!A1874&lt;&gt;"",FT!A1874*10,"")</f>
        <v/>
      </c>
      <c r="G1874" s="60" t="str">
        <f>IF(FT!B1874&lt;&gt;"",FT!B1874*100,"")</f>
        <v/>
      </c>
      <c r="H1874" s="60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0" t="str">
        <f>IF(FT!A1875&lt;&gt;"",FT!A1875*10,"")</f>
        <v/>
      </c>
      <c r="G1875" s="60" t="str">
        <f>IF(FT!B1875&lt;&gt;"",FT!B1875*100,"")</f>
        <v/>
      </c>
      <c r="H1875" s="60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0" t="str">
        <f>IF(FT!A1876&lt;&gt;"",FT!A1876*10,"")</f>
        <v/>
      </c>
      <c r="G1876" s="60" t="str">
        <f>IF(FT!B1876&lt;&gt;"",FT!B1876*100,"")</f>
        <v/>
      </c>
      <c r="H1876" s="60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0" t="str">
        <f>IF(FT!A1877&lt;&gt;"",FT!A1877*10,"")</f>
        <v/>
      </c>
      <c r="G1877" s="60" t="str">
        <f>IF(FT!B1877&lt;&gt;"",FT!B1877*100,"")</f>
        <v/>
      </c>
      <c r="H1877" s="60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0" t="str">
        <f>IF(FT!A1878&lt;&gt;"",FT!A1878*10,"")</f>
        <v/>
      </c>
      <c r="G1878" s="60" t="str">
        <f>IF(FT!B1878&lt;&gt;"",FT!B1878*100,"")</f>
        <v/>
      </c>
      <c r="H1878" s="60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0" t="str">
        <f>IF(FT!A1879&lt;&gt;"",FT!A1879*10,"")</f>
        <v/>
      </c>
      <c r="G1879" s="60" t="str">
        <f>IF(FT!B1879&lt;&gt;"",FT!B1879*100,"")</f>
        <v/>
      </c>
      <c r="H1879" s="60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0" t="str">
        <f>IF(FT!A1880&lt;&gt;"",FT!A1880*10,"")</f>
        <v/>
      </c>
      <c r="G1880" s="60" t="str">
        <f>IF(FT!B1880&lt;&gt;"",FT!B1880*100,"")</f>
        <v/>
      </c>
      <c r="H1880" s="60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0" t="str">
        <f>IF(FT!A1881&lt;&gt;"",FT!A1881*10,"")</f>
        <v/>
      </c>
      <c r="G1881" s="60" t="str">
        <f>IF(FT!B1881&lt;&gt;"",FT!B1881*100,"")</f>
        <v/>
      </c>
      <c r="H1881" s="60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0" t="str">
        <f>IF(FT!A1882&lt;&gt;"",FT!A1882*10,"")</f>
        <v/>
      </c>
      <c r="G1882" s="60" t="str">
        <f>IF(FT!B1882&lt;&gt;"",FT!B1882*100,"")</f>
        <v/>
      </c>
      <c r="H1882" s="60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0" t="str">
        <f>IF(FT!A1883&lt;&gt;"",FT!A1883*10,"")</f>
        <v/>
      </c>
      <c r="G1883" s="60" t="str">
        <f>IF(FT!B1883&lt;&gt;"",FT!B1883*100,"")</f>
        <v/>
      </c>
      <c r="H1883" s="60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0" t="str">
        <f>IF(FT!A1884&lt;&gt;"",FT!A1884*10,"")</f>
        <v/>
      </c>
      <c r="G1884" s="60" t="str">
        <f>IF(FT!B1884&lt;&gt;"",FT!B1884*100,"")</f>
        <v/>
      </c>
      <c r="H1884" s="60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0" t="str">
        <f>IF(FT!A1885&lt;&gt;"",FT!A1885*10,"")</f>
        <v/>
      </c>
      <c r="G1885" s="60" t="str">
        <f>IF(FT!B1885&lt;&gt;"",FT!B1885*100,"")</f>
        <v/>
      </c>
      <c r="H1885" s="60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0" t="str">
        <f>IF(FT!A1886&lt;&gt;"",FT!A1886*10,"")</f>
        <v/>
      </c>
      <c r="G1886" s="60" t="str">
        <f>IF(FT!B1886&lt;&gt;"",FT!B1886*100,"")</f>
        <v/>
      </c>
      <c r="H1886" s="60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0" t="str">
        <f>IF(FT!A1887&lt;&gt;"",FT!A1887*10,"")</f>
        <v/>
      </c>
      <c r="G1887" s="60" t="str">
        <f>IF(FT!B1887&lt;&gt;"",FT!B1887*100,"")</f>
        <v/>
      </c>
      <c r="H1887" s="60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0" t="str">
        <f>IF(FT!A1888&lt;&gt;"",FT!A1888*10,"")</f>
        <v/>
      </c>
      <c r="G1888" s="60" t="str">
        <f>IF(FT!B1888&lt;&gt;"",FT!B1888*100,"")</f>
        <v/>
      </c>
      <c r="H1888" s="60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0" t="str">
        <f>IF(FT!A1889&lt;&gt;"",FT!A1889*10,"")</f>
        <v/>
      </c>
      <c r="G1889" s="60" t="str">
        <f>IF(FT!B1889&lt;&gt;"",FT!B1889*100,"")</f>
        <v/>
      </c>
      <c r="H1889" s="60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0" t="str">
        <f>IF(FT!A1890&lt;&gt;"",FT!A1890*10,"")</f>
        <v/>
      </c>
      <c r="G1890" s="60" t="str">
        <f>IF(FT!B1890&lt;&gt;"",FT!B1890*100,"")</f>
        <v/>
      </c>
      <c r="H1890" s="60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0" t="str">
        <f>IF(FT!A1891&lt;&gt;"",FT!A1891*10,"")</f>
        <v/>
      </c>
      <c r="G1891" s="60" t="str">
        <f>IF(FT!B1891&lt;&gt;"",FT!B1891*100,"")</f>
        <v/>
      </c>
      <c r="H1891" s="60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0" t="str">
        <f>IF(FT!A1892&lt;&gt;"",FT!A1892*10,"")</f>
        <v/>
      </c>
      <c r="G1892" s="60" t="str">
        <f>IF(FT!B1892&lt;&gt;"",FT!B1892*100,"")</f>
        <v/>
      </c>
      <c r="H1892" s="60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0" t="str">
        <f>IF(FT!A1893&lt;&gt;"",FT!A1893*10,"")</f>
        <v/>
      </c>
      <c r="G1893" s="60" t="str">
        <f>IF(FT!B1893&lt;&gt;"",FT!B1893*100,"")</f>
        <v/>
      </c>
      <c r="H1893" s="60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0" t="str">
        <f>IF(FT!A1894&lt;&gt;"",FT!A1894*10,"")</f>
        <v/>
      </c>
      <c r="G1894" s="60" t="str">
        <f>IF(FT!B1894&lt;&gt;"",FT!B1894*100,"")</f>
        <v/>
      </c>
      <c r="H1894" s="60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0" t="str">
        <f>IF(FT!A1895&lt;&gt;"",FT!A1895*10,"")</f>
        <v/>
      </c>
      <c r="G1895" s="60" t="str">
        <f>IF(FT!B1895&lt;&gt;"",FT!B1895*100,"")</f>
        <v/>
      </c>
      <c r="H1895" s="60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0" t="str">
        <f>IF(FT!A1896&lt;&gt;"",FT!A1896*10,"")</f>
        <v/>
      </c>
      <c r="G1896" s="60" t="str">
        <f>IF(FT!B1896&lt;&gt;"",FT!B1896*100,"")</f>
        <v/>
      </c>
      <c r="H1896" s="60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0" t="str">
        <f>IF(FT!A1897&lt;&gt;"",FT!A1897*10,"")</f>
        <v/>
      </c>
      <c r="G1897" s="60" t="str">
        <f>IF(FT!B1897&lt;&gt;"",FT!B1897*100,"")</f>
        <v/>
      </c>
      <c r="H1897" s="60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0" t="str">
        <f>IF(FT!A1898&lt;&gt;"",FT!A1898*10,"")</f>
        <v/>
      </c>
      <c r="G1898" s="60" t="str">
        <f>IF(FT!B1898&lt;&gt;"",FT!B1898*100,"")</f>
        <v/>
      </c>
      <c r="H1898" s="60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0" t="str">
        <f>IF(FT!A1899&lt;&gt;"",FT!A1899*10,"")</f>
        <v/>
      </c>
      <c r="G1899" s="60" t="str">
        <f>IF(FT!B1899&lt;&gt;"",FT!B1899*100,"")</f>
        <v/>
      </c>
      <c r="H1899" s="60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0" t="str">
        <f>IF(FT!A1900&lt;&gt;"",FT!A1900*10,"")</f>
        <v/>
      </c>
      <c r="G1900" s="60" t="str">
        <f>IF(FT!B1900&lt;&gt;"",FT!B1900*100,"")</f>
        <v/>
      </c>
      <c r="H1900" s="60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0" t="str">
        <f>IF(FT!A1901&lt;&gt;"",FT!A1901*10,"")</f>
        <v/>
      </c>
      <c r="G1901" s="60" t="str">
        <f>IF(FT!B1901&lt;&gt;"",FT!B1901*100,"")</f>
        <v/>
      </c>
      <c r="H1901" s="60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0" t="str">
        <f>IF(FT!A1902&lt;&gt;"",FT!A1902*10,"")</f>
        <v/>
      </c>
      <c r="G1902" s="60" t="str">
        <f>IF(FT!B1902&lt;&gt;"",FT!B1902*100,"")</f>
        <v/>
      </c>
      <c r="H1902" s="60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0" t="str">
        <f>IF(FT!A1903&lt;&gt;"",FT!A1903*10,"")</f>
        <v/>
      </c>
      <c r="G1903" s="60" t="str">
        <f>IF(FT!B1903&lt;&gt;"",FT!B1903*100,"")</f>
        <v/>
      </c>
      <c r="H1903" s="60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0" t="str">
        <f>IF(FT!A1904&lt;&gt;"",FT!A1904*10,"")</f>
        <v/>
      </c>
      <c r="G1904" s="60" t="str">
        <f>IF(FT!B1904&lt;&gt;"",FT!B1904*100,"")</f>
        <v/>
      </c>
      <c r="H1904" s="60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0" t="str">
        <f>IF(FT!A1905&lt;&gt;"",FT!A1905*10,"")</f>
        <v/>
      </c>
      <c r="G1905" s="60" t="str">
        <f>IF(FT!B1905&lt;&gt;"",FT!B1905*100,"")</f>
        <v/>
      </c>
      <c r="H1905" s="60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0" t="str">
        <f>IF(FT!A1906&lt;&gt;"",FT!A1906*10,"")</f>
        <v/>
      </c>
      <c r="G1906" s="60" t="str">
        <f>IF(FT!B1906&lt;&gt;"",FT!B1906*100,"")</f>
        <v/>
      </c>
      <c r="H1906" s="60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0" t="str">
        <f>IF(FT!A1907&lt;&gt;"",FT!A1907*10,"")</f>
        <v/>
      </c>
      <c r="G1907" s="60" t="str">
        <f>IF(FT!B1907&lt;&gt;"",FT!B1907*100,"")</f>
        <v/>
      </c>
      <c r="H1907" s="60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0" t="str">
        <f>IF(FT!A1908&lt;&gt;"",FT!A1908*10,"")</f>
        <v/>
      </c>
      <c r="G1908" s="60" t="str">
        <f>IF(FT!B1908&lt;&gt;"",FT!B1908*100,"")</f>
        <v/>
      </c>
      <c r="H1908" s="60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0" t="str">
        <f>IF(FT!A1909&lt;&gt;"",FT!A1909*10,"")</f>
        <v/>
      </c>
      <c r="G1909" s="60" t="str">
        <f>IF(FT!B1909&lt;&gt;"",FT!B1909*100,"")</f>
        <v/>
      </c>
      <c r="H1909" s="60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0" t="str">
        <f>IF(FT!A1910&lt;&gt;"",FT!A1910*10,"")</f>
        <v/>
      </c>
      <c r="G1910" s="60" t="str">
        <f>IF(FT!B1910&lt;&gt;"",FT!B1910*100,"")</f>
        <v/>
      </c>
      <c r="H1910" s="60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0" t="str">
        <f>IF(FT!A1911&lt;&gt;"",FT!A1911*10,"")</f>
        <v/>
      </c>
      <c r="G1911" s="60" t="str">
        <f>IF(FT!B1911&lt;&gt;"",FT!B1911*100,"")</f>
        <v/>
      </c>
      <c r="H1911" s="60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0" t="str">
        <f>IF(FT!A1912&lt;&gt;"",FT!A1912*10,"")</f>
        <v/>
      </c>
      <c r="G1912" s="60" t="str">
        <f>IF(FT!B1912&lt;&gt;"",FT!B1912*100,"")</f>
        <v/>
      </c>
      <c r="H1912" s="60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0" t="str">
        <f>IF(FT!A1913&lt;&gt;"",FT!A1913*10,"")</f>
        <v/>
      </c>
      <c r="G1913" s="60" t="str">
        <f>IF(FT!B1913&lt;&gt;"",FT!B1913*100,"")</f>
        <v/>
      </c>
      <c r="H1913" s="60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0" t="str">
        <f>IF(FT!A1914&lt;&gt;"",FT!A1914*10,"")</f>
        <v/>
      </c>
      <c r="G1914" s="60" t="str">
        <f>IF(FT!B1914&lt;&gt;"",FT!B1914*100,"")</f>
        <v/>
      </c>
      <c r="H1914" s="60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0" t="str">
        <f>IF(FT!A1915&lt;&gt;"",FT!A1915*10,"")</f>
        <v/>
      </c>
      <c r="G1915" s="60" t="str">
        <f>IF(FT!B1915&lt;&gt;"",FT!B1915*100,"")</f>
        <v/>
      </c>
      <c r="H1915" s="60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0" t="str">
        <f>IF(FT!A1916&lt;&gt;"",FT!A1916*10,"")</f>
        <v/>
      </c>
      <c r="G1916" s="60" t="str">
        <f>IF(FT!B1916&lt;&gt;"",FT!B1916*100,"")</f>
        <v/>
      </c>
      <c r="H1916" s="60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0" t="str">
        <f>IF(FT!A1917&lt;&gt;"",FT!A1917*10,"")</f>
        <v/>
      </c>
      <c r="G1917" s="60" t="str">
        <f>IF(FT!B1917&lt;&gt;"",FT!B1917*100,"")</f>
        <v/>
      </c>
      <c r="H1917" s="60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0" t="str">
        <f>IF(FT!A1918&lt;&gt;"",FT!A1918*10,"")</f>
        <v/>
      </c>
      <c r="G1918" s="60" t="str">
        <f>IF(FT!B1918&lt;&gt;"",FT!B1918*100,"")</f>
        <v/>
      </c>
      <c r="H1918" s="60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0" t="str">
        <f>IF(FT!A1919&lt;&gt;"",FT!A1919*10,"")</f>
        <v/>
      </c>
      <c r="G1919" s="60" t="str">
        <f>IF(FT!B1919&lt;&gt;"",FT!B1919*100,"")</f>
        <v/>
      </c>
      <c r="H1919" s="60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0" t="str">
        <f>IF(FT!A1920&lt;&gt;"",FT!A1920*10,"")</f>
        <v/>
      </c>
      <c r="G1920" s="60" t="str">
        <f>IF(FT!B1920&lt;&gt;"",FT!B1920*100,"")</f>
        <v/>
      </c>
      <c r="H1920" s="60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0" t="str">
        <f>IF(FT!A1921&lt;&gt;"",FT!A1921*10,"")</f>
        <v/>
      </c>
      <c r="G1921" s="60" t="str">
        <f>IF(FT!B1921&lt;&gt;"",FT!B1921*100,"")</f>
        <v/>
      </c>
      <c r="H1921" s="60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0" t="str">
        <f>IF(FT!A1922&lt;&gt;"",FT!A1922*10,"")</f>
        <v/>
      </c>
      <c r="G1922" s="60" t="str">
        <f>IF(FT!B1922&lt;&gt;"",FT!B1922*100,"")</f>
        <v/>
      </c>
      <c r="H1922" s="60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0" t="str">
        <f>IF(FT!A1923&lt;&gt;"",FT!A1923*10,"")</f>
        <v/>
      </c>
      <c r="G1923" s="60" t="str">
        <f>IF(FT!B1923&lt;&gt;"",FT!B1923*100,"")</f>
        <v/>
      </c>
      <c r="H1923" s="60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0" t="str">
        <f>IF(FT!A1924&lt;&gt;"",FT!A1924*10,"")</f>
        <v/>
      </c>
      <c r="G1924" s="60" t="str">
        <f>IF(FT!B1924&lt;&gt;"",FT!B1924*100,"")</f>
        <v/>
      </c>
      <c r="H1924" s="60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0" t="str">
        <f>IF(FT!A1925&lt;&gt;"",FT!A1925*10,"")</f>
        <v/>
      </c>
      <c r="G1925" s="60" t="str">
        <f>IF(FT!B1925&lt;&gt;"",FT!B1925*100,"")</f>
        <v/>
      </c>
      <c r="H1925" s="60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0" t="str">
        <f>IF(FT!A1926&lt;&gt;"",FT!A1926*10,"")</f>
        <v/>
      </c>
      <c r="G1926" s="60" t="str">
        <f>IF(FT!B1926&lt;&gt;"",FT!B1926*100,"")</f>
        <v/>
      </c>
      <c r="H1926" s="60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0" t="str">
        <f>IF(FT!A1927&lt;&gt;"",FT!A1927*10,"")</f>
        <v/>
      </c>
      <c r="G1927" s="60" t="str">
        <f>IF(FT!B1927&lt;&gt;"",FT!B1927*100,"")</f>
        <v/>
      </c>
      <c r="H1927" s="60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0" t="str">
        <f>IF(FT!A1928&lt;&gt;"",FT!A1928*10,"")</f>
        <v/>
      </c>
      <c r="G1928" s="60" t="str">
        <f>IF(FT!B1928&lt;&gt;"",FT!B1928*100,"")</f>
        <v/>
      </c>
      <c r="H1928" s="60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0" t="str">
        <f>IF(FT!A1929&lt;&gt;"",FT!A1929*10,"")</f>
        <v/>
      </c>
      <c r="G1929" s="60" t="str">
        <f>IF(FT!B1929&lt;&gt;"",FT!B1929*100,"")</f>
        <v/>
      </c>
      <c r="H1929" s="60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0" t="str">
        <f>IF(FT!A1930&lt;&gt;"",FT!A1930*10,"")</f>
        <v/>
      </c>
      <c r="G1930" s="60" t="str">
        <f>IF(FT!B1930&lt;&gt;"",FT!B1930*100,"")</f>
        <v/>
      </c>
      <c r="H1930" s="60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0" t="str">
        <f>IF(FT!A1931&lt;&gt;"",FT!A1931*10,"")</f>
        <v/>
      </c>
      <c r="G1931" s="60" t="str">
        <f>IF(FT!B1931&lt;&gt;"",FT!B1931*100,"")</f>
        <v/>
      </c>
      <c r="H1931" s="60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0" t="str">
        <f>IF(FT!A1932&lt;&gt;"",FT!A1932*10,"")</f>
        <v/>
      </c>
      <c r="G1932" s="60" t="str">
        <f>IF(FT!B1932&lt;&gt;"",FT!B1932*100,"")</f>
        <v/>
      </c>
      <c r="H1932" s="60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0" t="str">
        <f>IF(FT!A1933&lt;&gt;"",FT!A1933*10,"")</f>
        <v/>
      </c>
      <c r="G1933" s="60" t="str">
        <f>IF(FT!B1933&lt;&gt;"",FT!B1933*100,"")</f>
        <v/>
      </c>
      <c r="H1933" s="60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0" t="str">
        <f>IF(FT!A1934&lt;&gt;"",FT!A1934*10,"")</f>
        <v/>
      </c>
      <c r="G1934" s="60" t="str">
        <f>IF(FT!B1934&lt;&gt;"",FT!B1934*100,"")</f>
        <v/>
      </c>
      <c r="H1934" s="60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0" t="str">
        <f>IF(FT!A1935&lt;&gt;"",FT!A1935*10,"")</f>
        <v/>
      </c>
      <c r="G1935" s="60" t="str">
        <f>IF(FT!B1935&lt;&gt;"",FT!B1935*100,"")</f>
        <v/>
      </c>
      <c r="H1935" s="60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0" t="str">
        <f>IF(FT!A1936&lt;&gt;"",FT!A1936*10,"")</f>
        <v/>
      </c>
      <c r="G1936" s="60" t="str">
        <f>IF(FT!B1936&lt;&gt;"",FT!B1936*100,"")</f>
        <v/>
      </c>
      <c r="H1936" s="60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0" t="str">
        <f>IF(FT!A1937&lt;&gt;"",FT!A1937*10,"")</f>
        <v/>
      </c>
      <c r="G1937" s="60" t="str">
        <f>IF(FT!B1937&lt;&gt;"",FT!B1937*100,"")</f>
        <v/>
      </c>
      <c r="H1937" s="60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0" t="str">
        <f>IF(FT!A1938&lt;&gt;"",FT!A1938*10,"")</f>
        <v/>
      </c>
      <c r="G1938" s="60" t="str">
        <f>IF(FT!B1938&lt;&gt;"",FT!B1938*100,"")</f>
        <v/>
      </c>
      <c r="H1938" s="60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0" t="str">
        <f>IF(FT!A1939&lt;&gt;"",FT!A1939*10,"")</f>
        <v/>
      </c>
      <c r="G1939" s="60" t="str">
        <f>IF(FT!B1939&lt;&gt;"",FT!B1939*100,"")</f>
        <v/>
      </c>
      <c r="H1939" s="60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0" t="str">
        <f>IF(FT!A1940&lt;&gt;"",FT!A1940*10,"")</f>
        <v/>
      </c>
      <c r="G1940" s="60" t="str">
        <f>IF(FT!B1940&lt;&gt;"",FT!B1940*100,"")</f>
        <v/>
      </c>
      <c r="H1940" s="60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0" t="str">
        <f>IF(FT!A1941&lt;&gt;"",FT!A1941*10,"")</f>
        <v/>
      </c>
      <c r="G1941" s="60" t="str">
        <f>IF(FT!B1941&lt;&gt;"",FT!B1941*100,"")</f>
        <v/>
      </c>
      <c r="H1941" s="60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0" t="str">
        <f>IF(FT!A1942&lt;&gt;"",FT!A1942*10,"")</f>
        <v/>
      </c>
      <c r="G1942" s="60" t="str">
        <f>IF(FT!B1942&lt;&gt;"",FT!B1942*100,"")</f>
        <v/>
      </c>
      <c r="H1942" s="60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0" t="str">
        <f>IF(FT!A1943&lt;&gt;"",FT!A1943*10,"")</f>
        <v/>
      </c>
      <c r="G1943" s="60" t="str">
        <f>IF(FT!B1943&lt;&gt;"",FT!B1943*100,"")</f>
        <v/>
      </c>
      <c r="H1943" s="60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0" t="str">
        <f>IF(FT!A1944&lt;&gt;"",FT!A1944*10,"")</f>
        <v/>
      </c>
      <c r="G1944" s="60" t="str">
        <f>IF(FT!B1944&lt;&gt;"",FT!B1944*100,"")</f>
        <v/>
      </c>
      <c r="H1944" s="60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0" t="str">
        <f>IF(FT!A1945&lt;&gt;"",FT!A1945*10,"")</f>
        <v/>
      </c>
      <c r="G1945" s="60" t="str">
        <f>IF(FT!B1945&lt;&gt;"",FT!B1945*100,"")</f>
        <v/>
      </c>
      <c r="H1945" s="60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0" t="str">
        <f>IF(FT!A1946&lt;&gt;"",FT!A1946*10,"")</f>
        <v/>
      </c>
      <c r="G1946" s="60" t="str">
        <f>IF(FT!B1946&lt;&gt;"",FT!B1946*100,"")</f>
        <v/>
      </c>
      <c r="H1946" s="60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0" t="str">
        <f>IF(FT!A1947&lt;&gt;"",FT!A1947*10,"")</f>
        <v/>
      </c>
      <c r="G1947" s="60" t="str">
        <f>IF(FT!B1947&lt;&gt;"",FT!B1947*100,"")</f>
        <v/>
      </c>
      <c r="H1947" s="60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0" t="str">
        <f>IF(FT!A1948&lt;&gt;"",FT!A1948*10,"")</f>
        <v/>
      </c>
      <c r="G1948" s="60" t="str">
        <f>IF(FT!B1948&lt;&gt;"",FT!B1948*100,"")</f>
        <v/>
      </c>
      <c r="H1948" s="60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0" t="str">
        <f>IF(FT!A1949&lt;&gt;"",FT!A1949*10,"")</f>
        <v/>
      </c>
      <c r="G1949" s="60" t="str">
        <f>IF(FT!B1949&lt;&gt;"",FT!B1949*100,"")</f>
        <v/>
      </c>
      <c r="H1949" s="60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0" t="str">
        <f>IF(FT!A1950&lt;&gt;"",FT!A1950*10,"")</f>
        <v/>
      </c>
      <c r="G1950" s="60" t="str">
        <f>IF(FT!B1950&lt;&gt;"",FT!B1950*100,"")</f>
        <v/>
      </c>
      <c r="H1950" s="60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0" t="str">
        <f>IF(FT!A1951&lt;&gt;"",FT!A1951*10,"")</f>
        <v/>
      </c>
      <c r="G1951" s="60" t="str">
        <f>IF(FT!B1951&lt;&gt;"",FT!B1951*100,"")</f>
        <v/>
      </c>
      <c r="H1951" s="60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0" t="str">
        <f>IF(FT!A1952&lt;&gt;"",FT!A1952*10,"")</f>
        <v/>
      </c>
      <c r="G1952" s="60" t="str">
        <f>IF(FT!B1952&lt;&gt;"",FT!B1952*100,"")</f>
        <v/>
      </c>
      <c r="H1952" s="60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0" t="str">
        <f>IF(FT!A1953&lt;&gt;"",FT!A1953*10,"")</f>
        <v/>
      </c>
      <c r="G1953" s="60" t="str">
        <f>IF(FT!B1953&lt;&gt;"",FT!B1953*100,"")</f>
        <v/>
      </c>
      <c r="H1953" s="60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0" t="str">
        <f>IF(FT!A1954&lt;&gt;"",FT!A1954*10,"")</f>
        <v/>
      </c>
      <c r="G1954" s="60" t="str">
        <f>IF(FT!B1954&lt;&gt;"",FT!B1954*100,"")</f>
        <v/>
      </c>
      <c r="H1954" s="60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0" t="str">
        <f>IF(FT!A1955&lt;&gt;"",FT!A1955*10,"")</f>
        <v/>
      </c>
      <c r="G1955" s="60" t="str">
        <f>IF(FT!B1955&lt;&gt;"",FT!B1955*100,"")</f>
        <v/>
      </c>
      <c r="H1955" s="60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0" t="str">
        <f>IF(FT!A1956&lt;&gt;"",FT!A1956*10,"")</f>
        <v/>
      </c>
      <c r="G1956" s="60" t="str">
        <f>IF(FT!B1956&lt;&gt;"",FT!B1956*100,"")</f>
        <v/>
      </c>
      <c r="H1956" s="60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0" t="str">
        <f>IF(FT!A1957&lt;&gt;"",FT!A1957*10,"")</f>
        <v/>
      </c>
      <c r="G1957" s="60" t="str">
        <f>IF(FT!B1957&lt;&gt;"",FT!B1957*100,"")</f>
        <v/>
      </c>
      <c r="H1957" s="60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0" t="str">
        <f>IF(FT!A1958&lt;&gt;"",FT!A1958*10,"")</f>
        <v/>
      </c>
      <c r="G1958" s="60" t="str">
        <f>IF(FT!B1958&lt;&gt;"",FT!B1958*100,"")</f>
        <v/>
      </c>
      <c r="H1958" s="60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0" t="str">
        <f>IF(FT!A1959&lt;&gt;"",FT!A1959*10,"")</f>
        <v/>
      </c>
      <c r="G1959" s="60" t="str">
        <f>IF(FT!B1959&lt;&gt;"",FT!B1959*100,"")</f>
        <v/>
      </c>
      <c r="H1959" s="60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0" t="str">
        <f>IF(FT!A1960&lt;&gt;"",FT!A1960*10,"")</f>
        <v/>
      </c>
      <c r="G1960" s="60" t="str">
        <f>IF(FT!B1960&lt;&gt;"",FT!B1960*100,"")</f>
        <v/>
      </c>
      <c r="H1960" s="60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0" t="str">
        <f>IF(FT!A1961&lt;&gt;"",FT!A1961*10,"")</f>
        <v/>
      </c>
      <c r="G1961" s="60" t="str">
        <f>IF(FT!B1961&lt;&gt;"",FT!B1961*100,"")</f>
        <v/>
      </c>
      <c r="H1961" s="60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0" t="str">
        <f>IF(FT!A1962&lt;&gt;"",FT!A1962*10,"")</f>
        <v/>
      </c>
      <c r="G1962" s="60" t="str">
        <f>IF(FT!B1962&lt;&gt;"",FT!B1962*100,"")</f>
        <v/>
      </c>
      <c r="H1962" s="60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0" t="str">
        <f>IF(FT!A1963&lt;&gt;"",FT!A1963*10,"")</f>
        <v/>
      </c>
      <c r="G1963" s="60" t="str">
        <f>IF(FT!B1963&lt;&gt;"",FT!B1963*100,"")</f>
        <v/>
      </c>
      <c r="H1963" s="60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0" t="str">
        <f>IF(FT!A1964&lt;&gt;"",FT!A1964*10,"")</f>
        <v/>
      </c>
      <c r="G1964" s="60" t="str">
        <f>IF(FT!B1964&lt;&gt;"",FT!B1964*100,"")</f>
        <v/>
      </c>
      <c r="H1964" s="60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0" t="str">
        <f>IF(FT!A1965&lt;&gt;"",FT!A1965*10,"")</f>
        <v/>
      </c>
      <c r="G1965" s="60" t="str">
        <f>IF(FT!B1965&lt;&gt;"",FT!B1965*100,"")</f>
        <v/>
      </c>
      <c r="H1965" s="60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0" t="str">
        <f>IF(FT!A1966&lt;&gt;"",FT!A1966*10,"")</f>
        <v/>
      </c>
      <c r="G1966" s="60" t="str">
        <f>IF(FT!B1966&lt;&gt;"",FT!B1966*100,"")</f>
        <v/>
      </c>
      <c r="H1966" s="60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0" t="str">
        <f>IF(FT!A1967&lt;&gt;"",FT!A1967*10,"")</f>
        <v/>
      </c>
      <c r="G1967" s="60" t="str">
        <f>IF(FT!B1967&lt;&gt;"",FT!B1967*100,"")</f>
        <v/>
      </c>
      <c r="H1967" s="60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0" t="str">
        <f>IF(FT!A1968&lt;&gt;"",FT!A1968*10,"")</f>
        <v/>
      </c>
      <c r="G1968" s="60" t="str">
        <f>IF(FT!B1968&lt;&gt;"",FT!B1968*100,"")</f>
        <v/>
      </c>
      <c r="H1968" s="60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0" t="str">
        <f>IF(FT!A1969&lt;&gt;"",FT!A1969*10,"")</f>
        <v/>
      </c>
      <c r="G1969" s="60" t="str">
        <f>IF(FT!B1969&lt;&gt;"",FT!B1969*100,"")</f>
        <v/>
      </c>
      <c r="H1969" s="60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0" t="str">
        <f>IF(FT!A1970&lt;&gt;"",FT!A1970*10,"")</f>
        <v/>
      </c>
      <c r="G1970" s="60" t="str">
        <f>IF(FT!B1970&lt;&gt;"",FT!B1970*100,"")</f>
        <v/>
      </c>
      <c r="H1970" s="60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0" t="str">
        <f>IF(FT!A1971&lt;&gt;"",FT!A1971*10,"")</f>
        <v/>
      </c>
      <c r="G1971" s="60" t="str">
        <f>IF(FT!B1971&lt;&gt;"",FT!B1971*100,"")</f>
        <v/>
      </c>
      <c r="H1971" s="60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0" t="str">
        <f>IF(FT!A1972&lt;&gt;"",FT!A1972*10,"")</f>
        <v/>
      </c>
      <c r="G1972" s="60" t="str">
        <f>IF(FT!B1972&lt;&gt;"",FT!B1972*100,"")</f>
        <v/>
      </c>
      <c r="H1972" s="60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0" t="str">
        <f>IF(FT!A1973&lt;&gt;"",FT!A1973*10,"")</f>
        <v/>
      </c>
      <c r="G1973" s="60" t="str">
        <f>IF(FT!B1973&lt;&gt;"",FT!B1973*100,"")</f>
        <v/>
      </c>
      <c r="H1973" s="60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0" t="str">
        <f>IF(FT!A1974&lt;&gt;"",FT!A1974*10,"")</f>
        <v/>
      </c>
      <c r="G1974" s="60" t="str">
        <f>IF(FT!B1974&lt;&gt;"",FT!B1974*100,"")</f>
        <v/>
      </c>
      <c r="H1974" s="60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0" t="str">
        <f>IF(FT!A1975&lt;&gt;"",FT!A1975*10,"")</f>
        <v/>
      </c>
      <c r="G1975" s="60" t="str">
        <f>IF(FT!B1975&lt;&gt;"",FT!B1975*100,"")</f>
        <v/>
      </c>
      <c r="H1975" s="60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0" t="str">
        <f>IF(FT!A1976&lt;&gt;"",FT!A1976*10,"")</f>
        <v/>
      </c>
      <c r="G1976" s="60" t="str">
        <f>IF(FT!B1976&lt;&gt;"",FT!B1976*100,"")</f>
        <v/>
      </c>
      <c r="H1976" s="60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0" t="str">
        <f>IF(FT!A1977&lt;&gt;"",FT!A1977*10,"")</f>
        <v/>
      </c>
      <c r="G1977" s="60" t="str">
        <f>IF(FT!B1977&lt;&gt;"",FT!B1977*100,"")</f>
        <v/>
      </c>
      <c r="H1977" s="60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0" t="str">
        <f>IF(FT!A1978&lt;&gt;"",FT!A1978*10,"")</f>
        <v/>
      </c>
      <c r="G1978" s="60" t="str">
        <f>IF(FT!B1978&lt;&gt;"",FT!B1978*100,"")</f>
        <v/>
      </c>
      <c r="H1978" s="60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0" t="str">
        <f>IF(FT!A1979&lt;&gt;"",FT!A1979*10,"")</f>
        <v/>
      </c>
      <c r="G1979" s="60" t="str">
        <f>IF(FT!B1979&lt;&gt;"",FT!B1979*100,"")</f>
        <v/>
      </c>
      <c r="H1979" s="60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0" t="str">
        <f>IF(FT!A1980&lt;&gt;"",FT!A1980*10,"")</f>
        <v/>
      </c>
      <c r="G1980" s="60" t="str">
        <f>IF(FT!B1980&lt;&gt;"",FT!B1980*100,"")</f>
        <v/>
      </c>
      <c r="H1980" s="60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0" t="str">
        <f>IF(FT!A1981&lt;&gt;"",FT!A1981*10,"")</f>
        <v/>
      </c>
      <c r="G1981" s="60" t="str">
        <f>IF(FT!B1981&lt;&gt;"",FT!B1981*100,"")</f>
        <v/>
      </c>
      <c r="H1981" s="60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0" t="str">
        <f>IF(FT!A1982&lt;&gt;"",FT!A1982*10,"")</f>
        <v/>
      </c>
      <c r="G1982" s="60" t="str">
        <f>IF(FT!B1982&lt;&gt;"",FT!B1982*100,"")</f>
        <v/>
      </c>
      <c r="H1982" s="60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0" t="str">
        <f>IF(FT!A1983&lt;&gt;"",FT!A1983*10,"")</f>
        <v/>
      </c>
      <c r="G1983" s="60" t="str">
        <f>IF(FT!B1983&lt;&gt;"",FT!B1983*100,"")</f>
        <v/>
      </c>
      <c r="H1983" s="60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0" t="str">
        <f>IF(FT!A1984&lt;&gt;"",FT!A1984*10,"")</f>
        <v/>
      </c>
      <c r="G1984" s="60" t="str">
        <f>IF(FT!B1984&lt;&gt;"",FT!B1984*100,"")</f>
        <v/>
      </c>
      <c r="H1984" s="60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0" t="str">
        <f>IF(FT!A1985&lt;&gt;"",FT!A1985*10,"")</f>
        <v/>
      </c>
      <c r="G1985" s="60" t="str">
        <f>IF(FT!B1985&lt;&gt;"",FT!B1985*100,"")</f>
        <v/>
      </c>
      <c r="H1985" s="60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0" t="str">
        <f>IF(FT!A1986&lt;&gt;"",FT!A1986*10,"")</f>
        <v/>
      </c>
      <c r="G1986" s="60" t="str">
        <f>IF(FT!B1986&lt;&gt;"",FT!B1986*100,"")</f>
        <v/>
      </c>
      <c r="H1986" s="60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0" t="str">
        <f>IF(FT!A1987&lt;&gt;"",FT!A1987*10,"")</f>
        <v/>
      </c>
      <c r="G1987" s="60" t="str">
        <f>IF(FT!B1987&lt;&gt;"",FT!B1987*100,"")</f>
        <v/>
      </c>
      <c r="H1987" s="60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0" t="str">
        <f>IF(FT!A1988&lt;&gt;"",FT!A1988*10,"")</f>
        <v/>
      </c>
      <c r="G1988" s="60" t="str">
        <f>IF(FT!B1988&lt;&gt;"",FT!B1988*100,"")</f>
        <v/>
      </c>
      <c r="H1988" s="60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0" t="str">
        <f>IF(FT!A1989&lt;&gt;"",FT!A1989*10,"")</f>
        <v/>
      </c>
      <c r="G1989" s="60" t="str">
        <f>IF(FT!B1989&lt;&gt;"",FT!B1989*100,"")</f>
        <v/>
      </c>
      <c r="H1989" s="60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0" t="str">
        <f>IF(FT!A1990&lt;&gt;"",FT!A1990*10,"")</f>
        <v/>
      </c>
      <c r="G1990" s="60" t="str">
        <f>IF(FT!B1990&lt;&gt;"",FT!B1990*100,"")</f>
        <v/>
      </c>
      <c r="H1990" s="60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0" t="str">
        <f>IF(FT!A1991&lt;&gt;"",FT!A1991*10,"")</f>
        <v/>
      </c>
      <c r="G1991" s="60" t="str">
        <f>IF(FT!B1991&lt;&gt;"",FT!B1991*100,"")</f>
        <v/>
      </c>
      <c r="H1991" s="60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0" t="str">
        <f>IF(FT!A1992&lt;&gt;"",FT!A1992*10,"")</f>
        <v/>
      </c>
      <c r="G1992" s="60" t="str">
        <f>IF(FT!B1992&lt;&gt;"",FT!B1992*100,"")</f>
        <v/>
      </c>
      <c r="H1992" s="60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0" t="str">
        <f>IF(FT!A1993&lt;&gt;"",FT!A1993*10,"")</f>
        <v/>
      </c>
      <c r="G1993" s="60" t="str">
        <f>IF(FT!B1993&lt;&gt;"",FT!B1993*100,"")</f>
        <v/>
      </c>
      <c r="H1993" s="60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0" t="str">
        <f>IF(FT!A1994&lt;&gt;"",FT!A1994*10,"")</f>
        <v/>
      </c>
      <c r="G1994" s="60" t="str">
        <f>IF(FT!B1994&lt;&gt;"",FT!B1994*100,"")</f>
        <v/>
      </c>
      <c r="H1994" s="60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0" t="str">
        <f>IF(FT!A1995&lt;&gt;"",FT!A1995*10,"")</f>
        <v/>
      </c>
      <c r="G1995" s="60" t="str">
        <f>IF(FT!B1995&lt;&gt;"",FT!B1995*100,"")</f>
        <v/>
      </c>
      <c r="H1995" s="60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0" t="str">
        <f>IF(FT!A1996&lt;&gt;"",FT!A1996*10,"")</f>
        <v/>
      </c>
      <c r="G1996" s="60" t="str">
        <f>IF(FT!B1996&lt;&gt;"",FT!B1996*100,"")</f>
        <v/>
      </c>
      <c r="H1996" s="60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0" t="str">
        <f>IF(FT!A1997&lt;&gt;"",FT!A1997*10,"")</f>
        <v/>
      </c>
      <c r="G1997" s="60" t="str">
        <f>IF(FT!B1997&lt;&gt;"",FT!B1997*100,"")</f>
        <v/>
      </c>
      <c r="H1997" s="60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0" t="str">
        <f>IF(FT!A1998&lt;&gt;"",FT!A1998*10,"")</f>
        <v/>
      </c>
      <c r="G1998" s="60" t="str">
        <f>IF(FT!B1998&lt;&gt;"",FT!B1998*100,"")</f>
        <v/>
      </c>
      <c r="H1998" s="60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0" t="str">
        <f>IF(FT!A1999&lt;&gt;"",FT!A1999*10,"")</f>
        <v/>
      </c>
      <c r="G1999" s="60" t="str">
        <f>IF(FT!B1999&lt;&gt;"",FT!B1999*100,"")</f>
        <v/>
      </c>
      <c r="H1999" s="60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0" t="str">
        <f>IF(FT!A2000&lt;&gt;"",FT!A2000*10,"")</f>
        <v/>
      </c>
      <c r="G2000" s="60" t="str">
        <f>IF(FT!B2000&lt;&gt;"",FT!B2000*100,"")</f>
        <v/>
      </c>
      <c r="H2000" s="60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0" t="str">
        <f>IF(FT!A2001&lt;&gt;"",FT!A2001*10,"")</f>
        <v/>
      </c>
      <c r="G2001" s="60" t="str">
        <f>IF(FT!B2001&lt;&gt;"",FT!B2001*100,"")</f>
        <v/>
      </c>
      <c r="H2001" s="60" t="str">
        <f t="shared" si="74"/>
        <v/>
      </c>
    </row>
    <row r="2002" spans="6:8">
      <c r="F2002" s="60" t="str">
        <f>IF(FT!A2002&lt;&gt;"",FT!A2002*10,"")</f>
        <v/>
      </c>
      <c r="G2002" s="60" t="str">
        <f>IF(FT!B2002&lt;&gt;"",FT!B2002*100,"")</f>
        <v/>
      </c>
      <c r="H2002" s="60" t="str">
        <f t="shared" si="74"/>
        <v/>
      </c>
    </row>
    <row r="2003" spans="6:8">
      <c r="F2003" s="60" t="str">
        <f>IF(FT!A2003&lt;&gt;"",FT!A2003*10,"")</f>
        <v/>
      </c>
      <c r="G2003" s="60" t="str">
        <f>IF(FT!B2003&lt;&gt;"",FT!B2003*100,"")</f>
        <v/>
      </c>
      <c r="H2003" s="60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48"/>
  <sheetViews>
    <sheetView workbookViewId="0"/>
  </sheetViews>
  <sheetFormatPr defaultRowHeight="14"/>
  <cols>
    <col min="1" max="1" width="20.90625" customWidth="1"/>
  </cols>
  <sheetData>
    <row r="1" spans="1:8">
      <c r="A1" s="89" t="s">
        <v>290</v>
      </c>
      <c r="B1" s="89" t="s">
        <v>292</v>
      </c>
      <c r="C1" s="89" t="s">
        <v>293</v>
      </c>
      <c r="D1" s="89" t="s">
        <v>294</v>
      </c>
      <c r="E1" s="89" t="s">
        <v>295</v>
      </c>
      <c r="F1" s="89" t="s">
        <v>296</v>
      </c>
      <c r="G1" s="89" t="s">
        <v>297</v>
      </c>
      <c r="H1" s="89" t="s">
        <v>298</v>
      </c>
    </row>
    <row r="2" spans="1:8">
      <c r="A2" s="89" t="s">
        <v>291</v>
      </c>
      <c r="B2" s="59">
        <v>0</v>
      </c>
      <c r="C2" s="65">
        <v>0</v>
      </c>
      <c r="D2" s="65">
        <v>0</v>
      </c>
      <c r="E2" s="65">
        <v>0</v>
      </c>
      <c r="F2" s="65">
        <v>0</v>
      </c>
      <c r="G2" s="65">
        <v>0</v>
      </c>
      <c r="H2" s="65">
        <v>0</v>
      </c>
    </row>
    <row r="3" spans="1:8">
      <c r="A3" s="89" t="s">
        <v>299</v>
      </c>
      <c r="B3" s="65">
        <v>0</v>
      </c>
      <c r="C3" s="65">
        <v>0</v>
      </c>
      <c r="D3" s="65">
        <v>0</v>
      </c>
      <c r="E3" s="65">
        <v>0</v>
      </c>
      <c r="F3" s="65">
        <v>0</v>
      </c>
      <c r="G3" s="65">
        <v>0</v>
      </c>
      <c r="H3" s="65">
        <v>0</v>
      </c>
    </row>
    <row r="4" spans="1:8">
      <c r="A4" s="89" t="s">
        <v>300</v>
      </c>
      <c r="B4" s="65">
        <v>0</v>
      </c>
      <c r="C4" s="65">
        <v>0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</row>
    <row r="5" spans="1:8">
      <c r="A5" s="89" t="s">
        <v>301</v>
      </c>
      <c r="B5" s="65">
        <v>39.613399999999999</v>
      </c>
      <c r="C5" s="65">
        <v>14.028700000000001</v>
      </c>
      <c r="D5" s="65">
        <v>35.414099999999998</v>
      </c>
      <c r="E5" s="65">
        <v>20</v>
      </c>
      <c r="F5" s="65">
        <v>8.1970899999999993</v>
      </c>
      <c r="G5" s="65">
        <v>50</v>
      </c>
      <c r="H5" s="65">
        <v>66.231099999999998</v>
      </c>
    </row>
    <row r="6" spans="1:8">
      <c r="A6" s="89" t="s">
        <v>302</v>
      </c>
      <c r="B6" s="65">
        <v>31.475300000000001</v>
      </c>
      <c r="C6" s="65">
        <v>2.2967399999999998</v>
      </c>
      <c r="D6" s="65">
        <v>7.2969799999999996</v>
      </c>
      <c r="E6" s="65">
        <v>20</v>
      </c>
      <c r="F6" s="65">
        <v>25.2971</v>
      </c>
      <c r="G6" s="65">
        <v>40</v>
      </c>
      <c r="H6" s="65">
        <v>34.4099</v>
      </c>
    </row>
    <row r="7" spans="1:8">
      <c r="A7" s="89" t="s">
        <v>303</v>
      </c>
      <c r="B7" s="65">
        <v>30.9588</v>
      </c>
      <c r="C7" s="65">
        <v>5.4078999999999997</v>
      </c>
      <c r="D7" s="65">
        <v>17.468</v>
      </c>
      <c r="E7" s="65">
        <v>15</v>
      </c>
      <c r="F7" s="65">
        <v>22.6096</v>
      </c>
      <c r="G7" s="65">
        <v>40</v>
      </c>
      <c r="H7" s="65">
        <v>46.8185</v>
      </c>
    </row>
    <row r="8" spans="1:8">
      <c r="A8" s="89" t="s">
        <v>304</v>
      </c>
      <c r="B8" s="65">
        <v>32.452399999999997</v>
      </c>
      <c r="C8" s="65">
        <v>4.9904400000000004</v>
      </c>
      <c r="D8" s="65">
        <v>15.377700000000001</v>
      </c>
      <c r="E8" s="65">
        <v>20</v>
      </c>
      <c r="F8" s="65">
        <v>24.098299999999998</v>
      </c>
      <c r="G8" s="65">
        <v>50</v>
      </c>
      <c r="H8" s="65">
        <v>40.039299999999997</v>
      </c>
    </row>
    <row r="9" spans="1:8">
      <c r="A9" s="89" t="s">
        <v>305</v>
      </c>
      <c r="B9" s="65">
        <v>43.943399999999997</v>
      </c>
      <c r="C9" s="65">
        <v>11.7173</v>
      </c>
      <c r="D9" s="65">
        <v>26.6645</v>
      </c>
      <c r="E9" s="65">
        <v>50</v>
      </c>
      <c r="F9" s="65">
        <v>30.043299999999999</v>
      </c>
      <c r="G9" s="65">
        <v>100</v>
      </c>
      <c r="H9" s="65">
        <v>87.704999999999998</v>
      </c>
    </row>
    <row r="10" spans="1:8">
      <c r="A10" s="89" t="s">
        <v>306</v>
      </c>
      <c r="B10" s="65">
        <v>66.266400000000004</v>
      </c>
      <c r="C10" s="65">
        <v>2.9325399999999999</v>
      </c>
      <c r="D10" s="65">
        <v>4.4253799999999996</v>
      </c>
      <c r="E10" s="65">
        <v>40</v>
      </c>
      <c r="F10" s="65">
        <v>55.869100000000003</v>
      </c>
      <c r="G10" s="65">
        <v>100</v>
      </c>
      <c r="H10" s="65">
        <v>71.045500000000004</v>
      </c>
    </row>
    <row r="11" spans="1:8">
      <c r="A11" s="89" t="s">
        <v>307</v>
      </c>
      <c r="B11" s="65">
        <v>17.222899999999999</v>
      </c>
      <c r="C11" s="65">
        <v>5.0642800000000001</v>
      </c>
      <c r="D11" s="65">
        <v>29.404399999999999</v>
      </c>
      <c r="E11" s="65">
        <v>10</v>
      </c>
      <c r="F11" s="65">
        <v>4.53904</v>
      </c>
      <c r="G11" s="65">
        <v>50</v>
      </c>
      <c r="H11" s="65">
        <v>21.057600000000001</v>
      </c>
    </row>
    <row r="12" spans="1:8">
      <c r="A12" s="89" t="s">
        <v>308</v>
      </c>
      <c r="B12" s="65">
        <v>54.762599999999999</v>
      </c>
      <c r="C12" s="65">
        <v>5.3976899999999999</v>
      </c>
      <c r="D12" s="65">
        <v>9.8565199999999997</v>
      </c>
      <c r="E12" s="65">
        <v>50</v>
      </c>
      <c r="F12" s="65">
        <v>50.451700000000002</v>
      </c>
      <c r="G12" s="65">
        <v>100</v>
      </c>
      <c r="H12" s="65">
        <v>75.275400000000005</v>
      </c>
    </row>
    <row r="13" spans="1:8">
      <c r="A13" s="89" t="s">
        <v>309</v>
      </c>
      <c r="B13" s="65">
        <v>17.728400000000001</v>
      </c>
      <c r="C13" s="65">
        <v>2.67408</v>
      </c>
      <c r="D13" s="65">
        <v>15.083600000000001</v>
      </c>
      <c r="E13" s="65">
        <v>10</v>
      </c>
      <c r="F13" s="65">
        <v>11.296900000000001</v>
      </c>
      <c r="G13" s="65">
        <v>25</v>
      </c>
      <c r="H13" s="65">
        <v>24.1129</v>
      </c>
    </row>
    <row r="14" spans="1:8">
      <c r="A14" s="89" t="s">
        <v>310</v>
      </c>
      <c r="B14" s="65">
        <v>26.7408</v>
      </c>
      <c r="C14" s="65">
        <v>10.8529</v>
      </c>
      <c r="D14" s="65">
        <v>40.585599999999999</v>
      </c>
      <c r="E14" s="65">
        <v>10</v>
      </c>
      <c r="F14" s="65">
        <v>2.1137600000000001</v>
      </c>
      <c r="G14" s="65">
        <v>50</v>
      </c>
      <c r="H14" s="65">
        <v>35.759799999999998</v>
      </c>
    </row>
    <row r="15" spans="1:8">
      <c r="A15" s="89" t="s">
        <v>311</v>
      </c>
      <c r="B15" s="65">
        <v>0.12421599999999999</v>
      </c>
      <c r="C15" s="65">
        <v>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</row>
    <row r="16" spans="1:8">
      <c r="A16" s="89" t="s">
        <v>312</v>
      </c>
      <c r="B16" s="65">
        <v>0.22437299999999999</v>
      </c>
      <c r="C16" s="65">
        <v>0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</row>
    <row r="17" spans="1:8">
      <c r="A17" s="89" t="s">
        <v>313</v>
      </c>
      <c r="B17" s="65">
        <v>20.157699999999998</v>
      </c>
      <c r="C17" s="65">
        <v>0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</row>
    <row r="18" spans="1:8">
      <c r="A18" s="89" t="s">
        <v>314</v>
      </c>
      <c r="B18" s="65">
        <v>0.48442600000000002</v>
      </c>
      <c r="C18" s="65">
        <v>6.0892599999999998E-2</v>
      </c>
      <c r="D18" s="65">
        <v>0.12570100000000001</v>
      </c>
      <c r="E18" s="65">
        <v>0</v>
      </c>
      <c r="F18" s="65">
        <v>0.42353400000000002</v>
      </c>
      <c r="G18" s="65">
        <v>0</v>
      </c>
      <c r="H18" s="65">
        <v>0.545319</v>
      </c>
    </row>
    <row r="19" spans="1:8">
      <c r="A19" s="89" t="s">
        <v>315</v>
      </c>
      <c r="B19" s="65">
        <v>0.76106600000000002</v>
      </c>
      <c r="C19" s="65">
        <v>5.7561800000000003E-2</v>
      </c>
      <c r="D19" s="65">
        <v>7.5633199999999998E-2</v>
      </c>
      <c r="E19" s="65">
        <v>0</v>
      </c>
      <c r="F19" s="65">
        <v>0.70350400000000002</v>
      </c>
      <c r="G19" s="65">
        <v>0</v>
      </c>
      <c r="H19" s="65">
        <v>0.81862699999999999</v>
      </c>
    </row>
    <row r="20" spans="1:8">
      <c r="A20" s="89" t="s">
        <v>316</v>
      </c>
      <c r="B20" s="65">
        <v>3.2659400000000002E-3</v>
      </c>
      <c r="C20" s="65">
        <v>5.8819800000000002E-3</v>
      </c>
      <c r="D20" s="65">
        <v>1.80101</v>
      </c>
      <c r="E20" s="65">
        <v>0</v>
      </c>
      <c r="F20" s="65">
        <v>8.4473899999999995E-4</v>
      </c>
      <c r="G20" s="65">
        <v>0</v>
      </c>
      <c r="H20" s="65">
        <v>0.12640899999999999</v>
      </c>
    </row>
    <row r="21" spans="1:8">
      <c r="A21" s="89" t="s">
        <v>317</v>
      </c>
      <c r="B21" s="65">
        <v>4.3891300000000001E-2</v>
      </c>
      <c r="C21" s="65">
        <v>5.1664700000000001E-2</v>
      </c>
      <c r="D21" s="65">
        <v>1.1771100000000001</v>
      </c>
      <c r="E21" s="65">
        <v>0</v>
      </c>
      <c r="F21" s="65">
        <v>2.6335400000000002E-3</v>
      </c>
      <c r="G21" s="65">
        <v>0</v>
      </c>
      <c r="H21" s="65">
        <v>0.312473</v>
      </c>
    </row>
    <row r="22" spans="1:8">
      <c r="A22" s="89" t="s">
        <v>318</v>
      </c>
      <c r="B22" s="65">
        <v>30.387899999999998</v>
      </c>
      <c r="C22" s="65">
        <v>4.9156399999999998</v>
      </c>
      <c r="D22" s="65">
        <v>0.16176299999999999</v>
      </c>
      <c r="E22" s="65">
        <v>0</v>
      </c>
      <c r="F22" s="65">
        <v>19.271599999999999</v>
      </c>
      <c r="G22" s="65">
        <v>0</v>
      </c>
      <c r="H22" s="65">
        <v>40.2742</v>
      </c>
    </row>
    <row r="23" spans="1:8">
      <c r="A23" s="89" t="s">
        <v>319</v>
      </c>
      <c r="B23" s="65">
        <v>13.6828</v>
      </c>
      <c r="C23" s="65">
        <v>3.7110099999999999</v>
      </c>
      <c r="D23" s="65">
        <v>0.27121800000000001</v>
      </c>
      <c r="E23" s="65">
        <v>0</v>
      </c>
      <c r="F23" s="65">
        <v>5.06067</v>
      </c>
      <c r="G23" s="65">
        <v>0</v>
      </c>
      <c r="H23" s="65">
        <v>17.535900000000002</v>
      </c>
    </row>
    <row r="24" spans="1:8">
      <c r="A24" s="89" t="s">
        <v>320</v>
      </c>
      <c r="B24" s="65">
        <v>4.0221500000000004E-3</v>
      </c>
      <c r="C24" s="65">
        <v>2.65534E-3</v>
      </c>
      <c r="D24" s="65">
        <v>0.66017800000000004</v>
      </c>
      <c r="E24" s="65">
        <v>0</v>
      </c>
      <c r="F24" s="65">
        <v>1.73554E-3</v>
      </c>
      <c r="G24" s="65">
        <v>0</v>
      </c>
      <c r="H24" s="65">
        <v>2.52176E-2</v>
      </c>
    </row>
    <row r="25" spans="1:8">
      <c r="A25" s="89" t="s">
        <v>321</v>
      </c>
      <c r="B25" s="65">
        <v>5.4096600000000002E-2</v>
      </c>
      <c r="C25" s="65">
        <v>1.567E-2</v>
      </c>
      <c r="D25" s="65">
        <v>0.28966700000000001</v>
      </c>
      <c r="E25" s="65">
        <v>0</v>
      </c>
      <c r="F25" s="65">
        <v>2.3644100000000001E-2</v>
      </c>
      <c r="G25" s="65">
        <v>0</v>
      </c>
      <c r="H25" s="65">
        <v>0.10881</v>
      </c>
    </row>
    <row r="26" spans="1:8">
      <c r="A26" s="89" t="s">
        <v>322</v>
      </c>
      <c r="B26" s="65">
        <v>6.5979500000000002E-4</v>
      </c>
      <c r="C26" s="65">
        <v>8.3939599999999996E-4</v>
      </c>
      <c r="D26" s="65">
        <v>1.2722100000000001</v>
      </c>
      <c r="E26" s="65">
        <v>0</v>
      </c>
      <c r="F26" s="65">
        <v>1.5099800000000001E-4</v>
      </c>
      <c r="G26" s="65">
        <v>0</v>
      </c>
      <c r="H26" s="65">
        <v>6.7161199999999999E-3</v>
      </c>
    </row>
    <row r="27" spans="1:8">
      <c r="A27" s="89" t="s">
        <v>323</v>
      </c>
      <c r="B27" s="90">
        <v>1.31303E-5</v>
      </c>
      <c r="C27" s="65">
        <v>8.0971000000000005E-4</v>
      </c>
      <c r="D27" s="65">
        <v>61.667499999999997</v>
      </c>
      <c r="E27" s="65">
        <v>0</v>
      </c>
      <c r="F27" s="65">
        <v>-5.6099000000000001E-3</v>
      </c>
      <c r="G27" s="65">
        <v>0</v>
      </c>
      <c r="H27" s="65">
        <v>4.8910200000000003E-3</v>
      </c>
    </row>
    <row r="28" spans="1:8">
      <c r="A28" s="89" t="s">
        <v>324</v>
      </c>
      <c r="B28" s="65">
        <v>8.3333299999999999E-3</v>
      </c>
      <c r="C28" s="65">
        <v>7.0884099999999998E-3</v>
      </c>
      <c r="D28" s="65">
        <v>0.85060999999999998</v>
      </c>
      <c r="E28" s="65">
        <v>0</v>
      </c>
      <c r="F28" s="65">
        <v>4.8177099999999998E-4</v>
      </c>
      <c r="G28" s="65">
        <v>0</v>
      </c>
      <c r="H28" s="65">
        <v>3.4303399999999998E-2</v>
      </c>
    </row>
    <row r="29" spans="1:8">
      <c r="A29" s="89" t="s">
        <v>325</v>
      </c>
      <c r="B29" s="65">
        <v>82.517200000000003</v>
      </c>
      <c r="C29" s="65">
        <v>11.7287</v>
      </c>
      <c r="D29" s="65">
        <v>0.14213600000000001</v>
      </c>
      <c r="E29" s="65">
        <v>0</v>
      </c>
      <c r="F29" s="65">
        <v>57.059600000000003</v>
      </c>
      <c r="G29" s="65">
        <v>0</v>
      </c>
      <c r="H29" s="65">
        <v>106.81399999999999</v>
      </c>
    </row>
    <row r="30" spans="1:8">
      <c r="A30" s="89" t="s">
        <v>326</v>
      </c>
      <c r="B30" s="65">
        <v>27.953099999999999</v>
      </c>
      <c r="C30" s="65">
        <v>9.2753200000000007</v>
      </c>
      <c r="D30" s="65">
        <v>0.331818</v>
      </c>
      <c r="E30" s="65">
        <v>0</v>
      </c>
      <c r="F30" s="65">
        <v>8.2361199999999997</v>
      </c>
      <c r="G30" s="65">
        <v>0</v>
      </c>
      <c r="H30" s="65">
        <v>38.011899999999997</v>
      </c>
    </row>
    <row r="31" spans="1:8">
      <c r="A31" s="89" t="s">
        <v>327</v>
      </c>
      <c r="B31" s="65">
        <v>110.983</v>
      </c>
      <c r="C31" s="65">
        <v>34.807699999999997</v>
      </c>
      <c r="D31" s="65">
        <v>0.31362899999999999</v>
      </c>
      <c r="E31" s="65">
        <v>0</v>
      </c>
      <c r="F31" s="65">
        <v>31.016300000000001</v>
      </c>
      <c r="G31" s="65">
        <v>0</v>
      </c>
      <c r="H31" s="65">
        <v>146.47399999999999</v>
      </c>
    </row>
    <row r="32" spans="1:8">
      <c r="A32" s="89" t="s">
        <v>328</v>
      </c>
      <c r="B32" s="65">
        <v>0.30958799999999997</v>
      </c>
      <c r="C32" s="65">
        <v>5.4079000000000002E-2</v>
      </c>
      <c r="D32" s="65">
        <v>0.17468</v>
      </c>
      <c r="E32" s="65">
        <v>0.15</v>
      </c>
      <c r="F32" s="65">
        <v>0.22609599999999999</v>
      </c>
      <c r="G32" s="65">
        <v>0.4</v>
      </c>
      <c r="H32" s="65">
        <v>0.46818500000000002</v>
      </c>
    </row>
    <row r="33" spans="1:8">
      <c r="A33" s="89" t="s">
        <v>329</v>
      </c>
      <c r="B33" s="65">
        <v>0.39529300000000001</v>
      </c>
      <c r="C33" s="65">
        <v>9.9325300000000005E-2</v>
      </c>
      <c r="D33" s="65">
        <v>0.25126999999999999</v>
      </c>
      <c r="E33" s="65">
        <v>0</v>
      </c>
      <c r="F33" s="65">
        <v>0.21689600000000001</v>
      </c>
      <c r="G33" s="65">
        <v>0</v>
      </c>
      <c r="H33" s="65">
        <v>0.55156400000000005</v>
      </c>
    </row>
    <row r="34" spans="1:8">
      <c r="A34" s="89" t="s">
        <v>330</v>
      </c>
      <c r="B34" s="65">
        <v>0.177284</v>
      </c>
      <c r="C34" s="65">
        <v>2.6740799999999999E-2</v>
      </c>
      <c r="D34" s="65">
        <v>0.150836</v>
      </c>
      <c r="E34" s="65">
        <v>0.1</v>
      </c>
      <c r="F34" s="65">
        <v>0.112969</v>
      </c>
      <c r="G34" s="65">
        <v>0.25</v>
      </c>
      <c r="H34" s="65">
        <v>0.24112900000000001</v>
      </c>
    </row>
    <row r="35" spans="1:8">
      <c r="A35" s="89" t="s">
        <v>331</v>
      </c>
      <c r="B35" s="65">
        <v>7.0496000000000003E-2</v>
      </c>
      <c r="C35" s="65">
        <v>2.2095E-2</v>
      </c>
      <c r="D35" s="65">
        <v>0.31342199999999998</v>
      </c>
      <c r="E35" s="65">
        <v>0</v>
      </c>
      <c r="F35" s="65">
        <v>3.6638799999999999E-2</v>
      </c>
      <c r="G35" s="65">
        <v>0</v>
      </c>
      <c r="H35" s="65">
        <v>0.119264</v>
      </c>
    </row>
    <row r="36" spans="1:8">
      <c r="A36" s="89" t="s">
        <v>332</v>
      </c>
      <c r="B36" s="65">
        <v>0.17549600000000001</v>
      </c>
      <c r="C36" s="65">
        <v>8.2209400000000002E-2</v>
      </c>
      <c r="D36" s="65">
        <v>0.46844200000000003</v>
      </c>
      <c r="E36" s="65">
        <v>0</v>
      </c>
      <c r="F36" s="65">
        <v>4.52556E-2</v>
      </c>
      <c r="G36" s="65">
        <v>0</v>
      </c>
      <c r="H36" s="65">
        <v>0.418435</v>
      </c>
    </row>
    <row r="37" spans="1:8">
      <c r="A37" s="89" t="s">
        <v>333</v>
      </c>
      <c r="B37" s="65">
        <v>0.26740799999999998</v>
      </c>
      <c r="C37" s="65">
        <v>0.108529</v>
      </c>
      <c r="D37" s="65">
        <v>0.40585599999999999</v>
      </c>
      <c r="E37" s="65">
        <v>0.1</v>
      </c>
      <c r="F37" s="65">
        <v>2.1137599999999999E-2</v>
      </c>
      <c r="G37" s="65">
        <v>0.5</v>
      </c>
      <c r="H37" s="65">
        <v>0.35759800000000003</v>
      </c>
    </row>
    <row r="38" spans="1:8">
      <c r="A38" s="89" t="s">
        <v>334</v>
      </c>
      <c r="B38" s="65">
        <v>-1.8428800000000001</v>
      </c>
      <c r="C38" s="65">
        <v>33.953099999999999</v>
      </c>
      <c r="D38" s="65">
        <v>-18.4239</v>
      </c>
      <c r="E38" s="65">
        <v>0</v>
      </c>
      <c r="F38" s="65">
        <v>-152.631</v>
      </c>
      <c r="G38" s="65">
        <v>0</v>
      </c>
      <c r="H38" s="65">
        <v>169.81700000000001</v>
      </c>
    </row>
    <row r="39" spans="1:8">
      <c r="A39" s="89" t="s">
        <v>335</v>
      </c>
      <c r="B39" s="65">
        <v>-8.2183500000000007E-2</v>
      </c>
      <c r="C39" s="65">
        <v>3.1141100000000002</v>
      </c>
      <c r="D39" s="65">
        <v>-37.892099999999999</v>
      </c>
      <c r="E39" s="65">
        <v>0</v>
      </c>
      <c r="F39" s="65">
        <v>-6.9387999999999996</v>
      </c>
      <c r="G39" s="65">
        <v>0</v>
      </c>
      <c r="H39" s="65">
        <v>10.466799999999999</v>
      </c>
    </row>
    <row r="40" spans="1:8">
      <c r="A40" s="89" t="s">
        <v>336</v>
      </c>
      <c r="B40" s="65">
        <v>0.13236700000000001</v>
      </c>
      <c r="C40" s="65">
        <v>0.50078900000000004</v>
      </c>
      <c r="D40" s="65">
        <v>3.78335</v>
      </c>
      <c r="E40" s="65">
        <v>0</v>
      </c>
      <c r="F40" s="65">
        <v>-1.1064499999999999</v>
      </c>
      <c r="G40" s="65">
        <v>0</v>
      </c>
      <c r="H40" s="65">
        <v>0.88596200000000003</v>
      </c>
    </row>
    <row r="41" spans="1:8">
      <c r="A41" s="89" t="s">
        <v>337</v>
      </c>
      <c r="B41" s="65">
        <v>-8.1712099999999996E-2</v>
      </c>
      <c r="C41" s="65">
        <v>0.30315700000000001</v>
      </c>
      <c r="D41" s="65">
        <v>-3.71007</v>
      </c>
      <c r="E41" s="65">
        <v>0</v>
      </c>
      <c r="F41" s="65">
        <v>-0.75</v>
      </c>
      <c r="G41" s="65">
        <v>0</v>
      </c>
      <c r="H41" s="65">
        <v>1</v>
      </c>
    </row>
    <row r="42" spans="1:8">
      <c r="A42" s="89" t="s">
        <v>338</v>
      </c>
      <c r="B42" s="65">
        <v>-5.0141100000000001E-2</v>
      </c>
      <c r="C42" s="65">
        <v>8.4825399999999995E-2</v>
      </c>
      <c r="D42" s="65">
        <v>-1.69173</v>
      </c>
      <c r="E42" s="65">
        <v>0</v>
      </c>
      <c r="F42" s="65">
        <v>-0.23910400000000001</v>
      </c>
      <c r="G42" s="65">
        <v>0</v>
      </c>
      <c r="H42" s="65">
        <v>0.25</v>
      </c>
    </row>
    <row r="43" spans="1:8">
      <c r="A43" s="89" t="s">
        <v>339</v>
      </c>
      <c r="B43" s="65">
        <v>-1.6934500000000002E-2</v>
      </c>
      <c r="C43" s="65">
        <v>4.0314900000000001E-2</v>
      </c>
      <c r="D43" s="65">
        <v>-2.38063</v>
      </c>
      <c r="E43" s="65">
        <v>0</v>
      </c>
      <c r="F43" s="65">
        <v>-0.10111199999999999</v>
      </c>
      <c r="G43" s="65">
        <v>0</v>
      </c>
      <c r="H43" s="65">
        <v>0.11451600000000001</v>
      </c>
    </row>
    <row r="44" spans="1:8">
      <c r="A44" s="89" t="s">
        <v>340</v>
      </c>
      <c r="B44" s="65">
        <v>-2.9750100000000002</v>
      </c>
      <c r="C44" s="65">
        <v>5.6176300000000001</v>
      </c>
      <c r="D44" s="65">
        <v>-1.8882699999999999</v>
      </c>
      <c r="E44" s="65">
        <v>0</v>
      </c>
      <c r="F44" s="65">
        <v>-14.709</v>
      </c>
      <c r="G44" s="65">
        <v>0</v>
      </c>
      <c r="H44" s="65">
        <v>9.6836699999999993</v>
      </c>
    </row>
    <row r="45" spans="1:8">
      <c r="A45" s="89" t="s">
        <v>341</v>
      </c>
      <c r="B45" s="65">
        <v>64.966399999999993</v>
      </c>
      <c r="C45" s="65">
        <v>8.1236300000000004</v>
      </c>
      <c r="D45" s="65">
        <v>0.12504399999999999</v>
      </c>
      <c r="E45" s="65">
        <v>0</v>
      </c>
      <c r="F45" s="65">
        <v>44.122399999999999</v>
      </c>
      <c r="G45" s="65">
        <v>0</v>
      </c>
      <c r="H45" s="65">
        <v>85.630099999999999</v>
      </c>
    </row>
    <row r="46" spans="1:8">
      <c r="A46" s="89" t="s">
        <v>342</v>
      </c>
      <c r="B46" s="65">
        <v>36.676200000000001</v>
      </c>
      <c r="C46" s="65">
        <v>12.683400000000001</v>
      </c>
      <c r="D46" s="65">
        <v>0.34582000000000002</v>
      </c>
      <c r="E46" s="65">
        <v>0</v>
      </c>
      <c r="F46" s="65">
        <v>7.2420600000000004</v>
      </c>
      <c r="G46" s="65">
        <v>0</v>
      </c>
      <c r="H46" s="65">
        <v>46.368000000000002</v>
      </c>
    </row>
    <row r="47" spans="1:8">
      <c r="A47" s="89" t="s">
        <v>343</v>
      </c>
      <c r="B47" s="65">
        <v>0.60140800000000005</v>
      </c>
      <c r="C47" s="65">
        <v>0.181948</v>
      </c>
      <c r="D47" s="65">
        <v>0.30253600000000003</v>
      </c>
      <c r="E47" s="65">
        <v>0</v>
      </c>
      <c r="F47" s="65">
        <v>0.40290599999999999</v>
      </c>
      <c r="G47" s="65">
        <v>0</v>
      </c>
      <c r="H47" s="65">
        <v>1.43018</v>
      </c>
    </row>
    <row r="48" spans="1:8">
      <c r="A48" s="89" t="s">
        <v>344</v>
      </c>
      <c r="B48" s="65">
        <v>0.69112200000000001</v>
      </c>
      <c r="C48" s="65">
        <v>7.0979799999999996E-2</v>
      </c>
      <c r="D48" s="65">
        <v>0.102702</v>
      </c>
      <c r="E48" s="65">
        <v>0</v>
      </c>
      <c r="F48" s="65">
        <v>0.56251799999999996</v>
      </c>
      <c r="G48" s="65">
        <v>0</v>
      </c>
      <c r="H48" s="65">
        <v>0.90606200000000003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48"/>
  <sheetViews>
    <sheetView workbookViewId="0">
      <selection activeCell="B2" sqref="B2"/>
    </sheetView>
  </sheetViews>
  <sheetFormatPr defaultRowHeight="14"/>
  <cols>
    <col min="1" max="1" width="20.90625" customWidth="1"/>
  </cols>
  <sheetData>
    <row r="1" spans="1:8">
      <c r="A1" s="65" t="s">
        <v>57</v>
      </c>
      <c r="B1" s="65" t="s">
        <v>8</v>
      </c>
      <c r="C1" s="65" t="s">
        <v>9</v>
      </c>
      <c r="D1" s="65" t="s">
        <v>21</v>
      </c>
      <c r="E1" s="65" t="s">
        <v>58</v>
      </c>
      <c r="F1" s="65" t="s">
        <v>59</v>
      </c>
      <c r="G1" s="65" t="s">
        <v>60</v>
      </c>
      <c r="H1" s="65" t="s">
        <v>61</v>
      </c>
    </row>
    <row r="2" spans="1:8">
      <c r="A2" s="65" t="s">
        <v>240</v>
      </c>
      <c r="B2" s="65">
        <f>'M2'!B2-'M1'!B2</f>
        <v>0</v>
      </c>
      <c r="C2" s="65">
        <f>'M2'!C2-'M1'!C2</f>
        <v>0</v>
      </c>
      <c r="D2" s="65">
        <f>'M2'!D2-'M1'!D2</f>
        <v>0</v>
      </c>
      <c r="E2" s="65">
        <f>'M2'!E2-'M1'!E2</f>
        <v>0</v>
      </c>
      <c r="F2" s="65">
        <f>'M2'!F2-'M1'!F2</f>
        <v>0</v>
      </c>
      <c r="G2" s="65">
        <f>'M2'!G2-'M1'!G2</f>
        <v>0</v>
      </c>
      <c r="H2" s="65">
        <f>'M2'!H2-'M1'!H2</f>
        <v>0</v>
      </c>
    </row>
    <row r="3" spans="1:8">
      <c r="A3" s="65" t="s">
        <v>241</v>
      </c>
      <c r="B3" s="65">
        <f>'M2'!B3-'M1'!B3</f>
        <v>0</v>
      </c>
      <c r="C3" s="65">
        <f>'M2'!C3-'M1'!C3</f>
        <v>0</v>
      </c>
      <c r="D3" s="65">
        <f>'M2'!D3-'M1'!D3</f>
        <v>0</v>
      </c>
      <c r="E3" s="65">
        <f>'M2'!E3-'M1'!E3</f>
        <v>0</v>
      </c>
      <c r="F3" s="65">
        <f>'M2'!F3-'M1'!F3</f>
        <v>0</v>
      </c>
      <c r="G3" s="65">
        <f>'M2'!G3-'M1'!G3</f>
        <v>0</v>
      </c>
      <c r="H3" s="65">
        <f>'M2'!H3-'M1'!H3</f>
        <v>0</v>
      </c>
    </row>
    <row r="4" spans="1:8">
      <c r="A4" s="65" t="s">
        <v>242</v>
      </c>
      <c r="B4" s="65">
        <f>'M2'!B4-'M1'!B4</f>
        <v>0</v>
      </c>
      <c r="C4" s="65">
        <f>'M2'!C4-'M1'!C4</f>
        <v>0</v>
      </c>
      <c r="D4" s="65">
        <f>'M2'!D4-'M1'!D4</f>
        <v>0</v>
      </c>
      <c r="E4" s="65">
        <f>'M2'!E4-'M1'!E4</f>
        <v>0</v>
      </c>
      <c r="F4" s="65">
        <f>'M2'!F4-'M1'!F4</f>
        <v>0</v>
      </c>
      <c r="G4" s="65">
        <f>'M2'!G4-'M1'!G4</f>
        <v>0</v>
      </c>
      <c r="H4" s="65">
        <f>'M2'!H4-'M1'!H4</f>
        <v>0</v>
      </c>
    </row>
    <row r="5" spans="1:8">
      <c r="A5" s="65" t="s">
        <v>243</v>
      </c>
      <c r="B5" s="65">
        <f>'M2'!B5-'M1'!B5</f>
        <v>25.068199999999997</v>
      </c>
      <c r="C5" s="65">
        <f>'M2'!C5-'M1'!C5</f>
        <v>-5.9968699999999995</v>
      </c>
      <c r="D5" s="65">
        <f>'M2'!D5-'M1'!D5</f>
        <v>-30.861760000000004</v>
      </c>
      <c r="E5" s="65">
        <f>'M2'!E5-'M1'!E5</f>
        <v>0</v>
      </c>
      <c r="F5" s="65">
        <f>'M2'!F5-'M1'!F5</f>
        <v>31.931509999999999</v>
      </c>
      <c r="G5" s="65">
        <f>'M2'!G5-'M1'!G5</f>
        <v>0</v>
      </c>
      <c r="H5" s="65">
        <f>'M2'!H5-'M1'!H5</f>
        <v>26.617699999999999</v>
      </c>
    </row>
    <row r="6" spans="1:8">
      <c r="A6" s="65" t="s">
        <v>244</v>
      </c>
      <c r="B6" s="65">
        <f>'M2'!B6-'M1'!B6</f>
        <v>3.1447000000000003</v>
      </c>
      <c r="C6" s="65">
        <f>'M2'!C6-'M1'!C6</f>
        <v>-0.93300999999999989</v>
      </c>
      <c r="D6" s="65">
        <f>'M2'!D6-'M1'!D6</f>
        <v>-3.4522499999999998</v>
      </c>
      <c r="E6" s="65">
        <f>'M2'!E6-'M1'!E6</f>
        <v>0</v>
      </c>
      <c r="F6" s="65">
        <f>'M2'!F6-'M1'!F6</f>
        <v>5.1607999999999983</v>
      </c>
      <c r="G6" s="65">
        <f>'M2'!G6-'M1'!G6</f>
        <v>0</v>
      </c>
      <c r="H6" s="65">
        <f>'M2'!H6-'M1'!H6</f>
        <v>2.2413000000000025</v>
      </c>
    </row>
    <row r="7" spans="1:8">
      <c r="A7" s="65" t="s">
        <v>245</v>
      </c>
      <c r="B7" s="65">
        <f>'M2'!B7-'M1'!B7</f>
        <v>0.46819999999999951</v>
      </c>
      <c r="C7" s="65">
        <f>'M2'!C7-'M1'!C7</f>
        <v>-2.0270200000000003</v>
      </c>
      <c r="D7" s="65">
        <f>'M2'!D7-'M1'!D7</f>
        <v>-6.7891000000000012</v>
      </c>
      <c r="E7" s="65">
        <f>'M2'!E7-'M1'!E7</f>
        <v>0</v>
      </c>
      <c r="F7" s="65">
        <f>'M2'!F7-'M1'!F7</f>
        <v>-1.5909000000000013</v>
      </c>
      <c r="G7" s="65">
        <f>'M2'!G7-'M1'!G7</f>
        <v>0</v>
      </c>
      <c r="H7" s="65">
        <f>'M2'!H7-'M1'!H7</f>
        <v>-7.5426000000000002</v>
      </c>
    </row>
    <row r="8" spans="1:8">
      <c r="A8" s="65" t="s">
        <v>246</v>
      </c>
      <c r="B8" s="65">
        <f>'M2'!B8-'M1'!B8</f>
        <v>10.265499999999999</v>
      </c>
      <c r="C8" s="65">
        <f>'M2'!C8-'M1'!C8</f>
        <v>0.18942000000000014</v>
      </c>
      <c r="D8" s="65">
        <f>'M2'!D8-'M1'!D8</f>
        <v>-1.7217700000000002</v>
      </c>
      <c r="E8" s="65">
        <f>'M2'!E8-'M1'!E8</f>
        <v>0</v>
      </c>
      <c r="F8" s="65">
        <f>'M2'!F8-'M1'!F8</f>
        <v>8.1276000000000046</v>
      </c>
      <c r="G8" s="65">
        <f>'M2'!G8-'M1'!G8</f>
        <v>0</v>
      </c>
      <c r="H8" s="65">
        <f>'M2'!H8-'M1'!H8</f>
        <v>7.2374999999999972</v>
      </c>
    </row>
    <row r="9" spans="1:8">
      <c r="A9" s="65" t="s">
        <v>247</v>
      </c>
      <c r="B9" s="65">
        <f>'M2'!B9-'M1'!B9</f>
        <v>-10.4529</v>
      </c>
      <c r="C9" s="65">
        <f>'M2'!C9-'M1'!C9</f>
        <v>-7.7448800000000002</v>
      </c>
      <c r="D9" s="65">
        <f>'M2'!D9-'M1'!D9</f>
        <v>-13.4186</v>
      </c>
      <c r="E9" s="65">
        <f>'M2'!E9-'M1'!E9</f>
        <v>0</v>
      </c>
      <c r="F9" s="65">
        <f>'M2'!F9-'M1'!F9</f>
        <v>-10.418000000000003</v>
      </c>
      <c r="G9" s="65">
        <f>'M2'!G9-'M1'!G9</f>
        <v>0</v>
      </c>
      <c r="H9" s="65">
        <f>'M2'!H9-'M1'!H9</f>
        <v>-41.2042</v>
      </c>
    </row>
    <row r="10" spans="1:8">
      <c r="A10" s="65" t="s">
        <v>248</v>
      </c>
      <c r="B10" s="65">
        <f>'M2'!B10-'M1'!B10</f>
        <v>3.5862999999999943</v>
      </c>
      <c r="C10" s="65">
        <f>'M2'!C10-'M1'!C10</f>
        <v>0.44118000000000013</v>
      </c>
      <c r="D10" s="65">
        <f>'M2'!D10-'M1'!D10</f>
        <v>0.44148000000000032</v>
      </c>
      <c r="E10" s="65">
        <f>'M2'!E10-'M1'!E10</f>
        <v>0</v>
      </c>
      <c r="F10" s="65">
        <f>'M2'!F10-'M1'!F10</f>
        <v>5.6898999999999944</v>
      </c>
      <c r="G10" s="65">
        <f>'M2'!G10-'M1'!G10</f>
        <v>0</v>
      </c>
      <c r="H10" s="65">
        <f>'M2'!H10-'M1'!H10</f>
        <v>2.1838000000000051</v>
      </c>
    </row>
    <row r="11" spans="1:8">
      <c r="A11" s="65" t="s">
        <v>249</v>
      </c>
      <c r="B11" s="65">
        <f>'M2'!B11-'M1'!B11</f>
        <v>8.1030000000000015</v>
      </c>
      <c r="C11" s="65">
        <f>'M2'!C11-'M1'!C11</f>
        <v>-2.7059679999999999</v>
      </c>
      <c r="D11" s="65">
        <f>'M2'!D11-'M1'!D11</f>
        <v>-26.544920000000001</v>
      </c>
      <c r="E11" s="65">
        <f>'M2'!E11-'M1'!E11</f>
        <v>0</v>
      </c>
      <c r="F11" s="65">
        <f>'M2'!F11-'M1'!F11</f>
        <v>12.683859999999999</v>
      </c>
      <c r="G11" s="65">
        <f>'M2'!G11-'M1'!G11</f>
        <v>0</v>
      </c>
      <c r="H11" s="65">
        <f>'M2'!H11-'M1'!H11</f>
        <v>3.8171999999999997</v>
      </c>
    </row>
    <row r="12" spans="1:8">
      <c r="A12" s="65" t="s">
        <v>250</v>
      </c>
      <c r="B12" s="65">
        <f>'M2'!B12-'M1'!B12</f>
        <v>-5.5416999999999987</v>
      </c>
      <c r="C12" s="65">
        <f>'M2'!C12-'M1'!C12</f>
        <v>-3.7038600000000006</v>
      </c>
      <c r="D12" s="65">
        <f>'M2'!D12-'M1'!D12</f>
        <v>-6.0076099999999997</v>
      </c>
      <c r="E12" s="65">
        <f>'M2'!E12-'M1'!E12</f>
        <v>0</v>
      </c>
      <c r="F12" s="65">
        <f>'M2'!F12-'M1'!F12</f>
        <v>-0.90220000000000056</v>
      </c>
      <c r="G12" s="65">
        <f>'M2'!G12-'M1'!G12</f>
        <v>0</v>
      </c>
      <c r="H12" s="65">
        <f>'M2'!H12-'M1'!H12</f>
        <v>-17.077800000000003</v>
      </c>
    </row>
    <row r="13" spans="1:8">
      <c r="A13" s="65" t="s">
        <v>251</v>
      </c>
      <c r="B13" s="65">
        <f>'M2'!B13-'M1'!B13</f>
        <v>-0.75329999999999941</v>
      </c>
      <c r="C13" s="65">
        <f>'M2'!C13-'M1'!C13</f>
        <v>-1.0853099999999998</v>
      </c>
      <c r="D13" s="65">
        <f>'M2'!D13-'M1'!D13</f>
        <v>-5.4578999999999986</v>
      </c>
      <c r="E13" s="65">
        <f>'M2'!E13-'M1'!E13</f>
        <v>0</v>
      </c>
      <c r="F13" s="65">
        <f>'M2'!F13-'M1'!F13</f>
        <v>3.672699999999999</v>
      </c>
      <c r="G13" s="65">
        <f>'M2'!G13-'M1'!G13</f>
        <v>0</v>
      </c>
      <c r="H13" s="65">
        <f>'M2'!H13-'M1'!H13</f>
        <v>8.8699999999999335E-2</v>
      </c>
    </row>
    <row r="14" spans="1:8">
      <c r="A14" s="65" t="s">
        <v>252</v>
      </c>
      <c r="B14" s="65">
        <f>'M2'!B14-'M1'!B14</f>
        <v>-10.853099999999998</v>
      </c>
      <c r="C14" s="65">
        <f>'M2'!C14-'M1'!C14</f>
        <v>-0.15860000000000163</v>
      </c>
      <c r="D14" s="65">
        <f>'M2'!D14-'M1'!D14</f>
        <v>17.423999999999999</v>
      </c>
      <c r="E14" s="65">
        <f>'M2'!E14-'M1'!E14</f>
        <v>0</v>
      </c>
      <c r="F14" s="65">
        <f>'M2'!F14-'M1'!F14</f>
        <v>0.61240000000000006</v>
      </c>
      <c r="G14" s="65">
        <f>'M2'!G14-'M1'!G14</f>
        <v>0</v>
      </c>
      <c r="H14" s="65">
        <f>'M2'!H14-'M1'!H14</f>
        <v>-4.3502999999999972</v>
      </c>
    </row>
    <row r="15" spans="1:8">
      <c r="A15" s="65" t="s">
        <v>253</v>
      </c>
      <c r="B15" s="65">
        <f>'M2'!B15-'M1'!B15</f>
        <v>0</v>
      </c>
      <c r="C15" s="65">
        <f>'M2'!C15-'M1'!C15</f>
        <v>0</v>
      </c>
      <c r="D15" s="65">
        <f>'M2'!D15-'M1'!D15</f>
        <v>0</v>
      </c>
      <c r="E15" s="65">
        <f>'M2'!E15-'M1'!E15</f>
        <v>0</v>
      </c>
      <c r="F15" s="65">
        <f>'M2'!F15-'M1'!F15</f>
        <v>0</v>
      </c>
      <c r="G15" s="65">
        <f>'M2'!G15-'M1'!G15</f>
        <v>0</v>
      </c>
      <c r="H15" s="65">
        <f>'M2'!H15-'M1'!H15</f>
        <v>0</v>
      </c>
    </row>
    <row r="16" spans="1:8">
      <c r="A16" s="65" t="s">
        <v>254</v>
      </c>
      <c r="B16" s="65">
        <f>'M2'!B16-'M1'!B16</f>
        <v>0</v>
      </c>
      <c r="C16" s="65">
        <f>'M2'!C16-'M1'!C16</f>
        <v>0</v>
      </c>
      <c r="D16" s="65">
        <f>'M2'!D16-'M1'!D16</f>
        <v>0</v>
      </c>
      <c r="E16" s="65">
        <f>'M2'!E16-'M1'!E16</f>
        <v>0</v>
      </c>
      <c r="F16" s="65">
        <f>'M2'!F16-'M1'!F16</f>
        <v>0</v>
      </c>
      <c r="G16" s="65">
        <f>'M2'!G16-'M1'!G16</f>
        <v>0</v>
      </c>
      <c r="H16" s="65">
        <f>'M2'!H16-'M1'!H16</f>
        <v>0</v>
      </c>
    </row>
    <row r="17" spans="1:8">
      <c r="A17" s="65" t="s">
        <v>62</v>
      </c>
      <c r="B17" s="65">
        <f>'M2'!B17-'M1'!B17</f>
        <v>0</v>
      </c>
      <c r="C17" s="65">
        <f>'M2'!C17-'M1'!C17</f>
        <v>0</v>
      </c>
      <c r="D17" s="65">
        <f>'M2'!D17-'M1'!D17</f>
        <v>0</v>
      </c>
      <c r="E17" s="65">
        <f>'M2'!E17-'M1'!E17</f>
        <v>0</v>
      </c>
      <c r="F17" s="65">
        <f>'M2'!F17-'M1'!F17</f>
        <v>0</v>
      </c>
      <c r="G17" s="65">
        <f>'M2'!G17-'M1'!G17</f>
        <v>0</v>
      </c>
      <c r="H17" s="65">
        <f>'M2'!H17-'M1'!H17</f>
        <v>0</v>
      </c>
    </row>
    <row r="18" spans="1:8">
      <c r="A18" s="65" t="s">
        <v>255</v>
      </c>
      <c r="B18" s="65">
        <f>'M2'!B18-'M1'!B18</f>
        <v>0.43970370000000003</v>
      </c>
      <c r="C18" s="65">
        <f>'M2'!C18-'M1'!C18</f>
        <v>6.0892599999999998E-2</v>
      </c>
      <c r="D18" s="65">
        <f>'M2'!D18-'M1'!D18</f>
        <v>0.12570100000000001</v>
      </c>
      <c r="E18" s="65">
        <f>'M2'!E18-'M1'!E18</f>
        <v>0</v>
      </c>
      <c r="F18" s="65">
        <f>'M2'!F18-'M1'!F18</f>
        <v>0.42353400000000002</v>
      </c>
      <c r="G18" s="65">
        <f>'M2'!G18-'M1'!G18</f>
        <v>0</v>
      </c>
      <c r="H18" s="65">
        <f>'M2'!H18-'M1'!H18</f>
        <v>0.545319</v>
      </c>
    </row>
    <row r="19" spans="1:8">
      <c r="A19" s="65" t="s">
        <v>256</v>
      </c>
      <c r="B19" s="65">
        <f>'M2'!B19-'M1'!B19</f>
        <v>0.24687900000000007</v>
      </c>
      <c r="C19" s="65">
        <f>'M2'!C19-'M1'!C19</f>
        <v>5.7561800000000003E-2</v>
      </c>
      <c r="D19" s="65">
        <f>'M2'!D19-'M1'!D19</f>
        <v>7.5633199999999998E-2</v>
      </c>
      <c r="E19" s="65">
        <f>'M2'!E19-'M1'!E19</f>
        <v>0</v>
      </c>
      <c r="F19" s="65">
        <f>'M2'!F19-'M1'!F19</f>
        <v>0.70350400000000002</v>
      </c>
      <c r="G19" s="65">
        <f>'M2'!G19-'M1'!G19</f>
        <v>0</v>
      </c>
      <c r="H19" s="65">
        <f>'M2'!H19-'M1'!H19</f>
        <v>0.81862699999999999</v>
      </c>
    </row>
    <row r="20" spans="1:8">
      <c r="A20" s="65" t="s">
        <v>63</v>
      </c>
      <c r="B20" s="65">
        <f>'M2'!B20-'M1'!B20</f>
        <v>1.5444999999999999E-4</v>
      </c>
      <c r="C20" s="65">
        <f>'M2'!C20-'M1'!C20</f>
        <v>3.8943300000000001E-3</v>
      </c>
      <c r="D20" s="65">
        <f>'M2'!D20-'M1'!D20</f>
        <v>1.11307</v>
      </c>
      <c r="E20" s="65">
        <f>'M2'!E20-'M1'!E20</f>
        <v>0</v>
      </c>
      <c r="F20" s="65">
        <f>'M2'!F20-'M1'!F20</f>
        <v>1.440460000000001E-4</v>
      </c>
      <c r="G20" s="65">
        <f>'M2'!G20-'M1'!G20</f>
        <v>0</v>
      </c>
      <c r="H20" s="65">
        <f>'M2'!H20-'M1'!H20</f>
        <v>9.2536499999999994E-2</v>
      </c>
    </row>
    <row r="21" spans="1:8">
      <c r="A21" s="65" t="s">
        <v>64</v>
      </c>
      <c r="B21" s="65">
        <f>'M2'!B21-'M1'!B21</f>
        <v>3.5030999999999951E-3</v>
      </c>
      <c r="C21" s="65">
        <f>'M2'!C21-'M1'!C21</f>
        <v>1.3104600000000001E-2</v>
      </c>
      <c r="D21" s="65">
        <f>'M2'!D21-'M1'!D21</f>
        <v>0.21053999999999995</v>
      </c>
      <c r="E21" s="65">
        <f>'M2'!E21-'M1'!E21</f>
        <v>0</v>
      </c>
      <c r="F21" s="65">
        <f>'M2'!F21-'M1'!F21</f>
        <v>2.76429E-3</v>
      </c>
      <c r="G21" s="65">
        <f>'M2'!G21-'M1'!G21</f>
        <v>0</v>
      </c>
      <c r="H21" s="65">
        <f>'M2'!H21-'M1'!H21</f>
        <v>0.109351</v>
      </c>
    </row>
    <row r="22" spans="1:8">
      <c r="A22" s="65" t="s">
        <v>65</v>
      </c>
      <c r="B22" s="65">
        <f>'M2'!B22-'M1'!B22</f>
        <v>2.7983000000000011</v>
      </c>
      <c r="C22" s="65">
        <f>'M2'!C22-'M1'!C22</f>
        <v>-1.2356799999999999</v>
      </c>
      <c r="D22" s="65">
        <f>'M2'!D22-'M1'!D22</f>
        <v>-5.4069000000000006E-2</v>
      </c>
      <c r="E22" s="65">
        <f>'M2'!E22-'M1'!E22</f>
        <v>0</v>
      </c>
      <c r="F22" s="65">
        <f>'M2'!F22-'M1'!F22</f>
        <v>4.3658999999999999</v>
      </c>
      <c r="G22" s="65">
        <f>'M2'!G22-'M1'!G22</f>
        <v>0</v>
      </c>
      <c r="H22" s="65">
        <f>'M2'!H22-'M1'!H22</f>
        <v>3.1642999999999972</v>
      </c>
    </row>
    <row r="23" spans="1:8">
      <c r="A23" s="65" t="s">
        <v>66</v>
      </c>
      <c r="B23" s="65">
        <f>'M2'!B23-'M1'!B23</f>
        <v>6.0501999999999985</v>
      </c>
      <c r="C23" s="65">
        <f>'M2'!C23-'M1'!C23</f>
        <v>-1.7193670000000001</v>
      </c>
      <c r="D23" s="65">
        <f>'M2'!D23-'M1'!D23</f>
        <v>-0.19404010000000002</v>
      </c>
      <c r="E23" s="65">
        <f>'M2'!E23-'M1'!E23</f>
        <v>0</v>
      </c>
      <c r="F23" s="65">
        <f>'M2'!F23-'M1'!F23</f>
        <v>8.8076299999999996</v>
      </c>
      <c r="G23" s="65">
        <f>'M2'!G23-'M1'!G23</f>
        <v>0</v>
      </c>
      <c r="H23" s="65">
        <f>'M2'!H23-'M1'!H23</f>
        <v>3.8531000000000013</v>
      </c>
    </row>
    <row r="24" spans="1:8">
      <c r="A24" s="65" t="s">
        <v>67</v>
      </c>
      <c r="B24" s="65">
        <f>'M2'!B24-'M1'!B24</f>
        <v>2.9298999999999992E-4</v>
      </c>
      <c r="C24" s="65">
        <f>'M2'!C24-'M1'!C24</f>
        <v>1.9956900000000001E-3</v>
      </c>
      <c r="D24" s="65">
        <f>'M2'!D24-'M1'!D24</f>
        <v>0.45145400000000002</v>
      </c>
      <c r="E24" s="65">
        <f>'M2'!E24-'M1'!E24</f>
        <v>0</v>
      </c>
      <c r="F24" s="65">
        <f>'M2'!F24-'M1'!F24</f>
        <v>3.3919999999999979E-4</v>
      </c>
      <c r="G24" s="65">
        <f>'M2'!G24-'M1'!G24</f>
        <v>0</v>
      </c>
      <c r="H24" s="65">
        <f>'M2'!H24-'M1'!H24</f>
        <v>1.7002490000000002E-2</v>
      </c>
    </row>
    <row r="25" spans="1:8">
      <c r="A25" s="65" t="s">
        <v>68</v>
      </c>
      <c r="B25" s="65">
        <f>'M2'!B25-'M1'!B25</f>
        <v>7.7165999999999971E-3</v>
      </c>
      <c r="C25" s="65">
        <f>'M2'!C25-'M1'!C25</f>
        <v>4.3968000000000011E-3</v>
      </c>
      <c r="D25" s="65">
        <f>'M2'!D25-'M1'!D25</f>
        <v>4.2759999999999992E-2</v>
      </c>
      <c r="E25" s="65">
        <f>'M2'!E25-'M1'!E25</f>
        <v>0</v>
      </c>
      <c r="F25" s="65">
        <f>'M2'!F25-'M1'!F25</f>
        <v>-4.9704999999999992E-3</v>
      </c>
      <c r="G25" s="65">
        <f>'M2'!G25-'M1'!G25</f>
        <v>0</v>
      </c>
      <c r="H25" s="65">
        <f>'M2'!H25-'M1'!H25</f>
        <v>2.8408799999999998E-2</v>
      </c>
    </row>
    <row r="26" spans="1:8">
      <c r="A26" s="65" t="s">
        <v>69</v>
      </c>
      <c r="B26" s="65">
        <f>'M2'!B26-'M1'!B26</f>
        <v>7.7139999999999956E-5</v>
      </c>
      <c r="C26" s="65">
        <f>'M2'!C26-'M1'!C26</f>
        <v>6.2589999999999955E-5</v>
      </c>
      <c r="D26" s="65">
        <f>'M2'!D26-'M1'!D26</f>
        <v>-5.3460000000000063E-2</v>
      </c>
      <c r="E26" s="65">
        <f>'M2'!E26-'M1'!E26</f>
        <v>0</v>
      </c>
      <c r="F26" s="65">
        <f>'M2'!F26-'M1'!F26</f>
        <v>2.2977999999999996E-5</v>
      </c>
      <c r="G26" s="65">
        <f>'M2'!G26-'M1'!G26</f>
        <v>0</v>
      </c>
      <c r="H26" s="65">
        <f>'M2'!H26-'M1'!H26</f>
        <v>8.2064000000000008E-4</v>
      </c>
    </row>
    <row r="27" spans="1:8">
      <c r="A27" s="65" t="s">
        <v>70</v>
      </c>
      <c r="B27" s="65">
        <f>'M2'!B27-'M1'!B27</f>
        <v>-3.2825640000000002E-5</v>
      </c>
      <c r="C27" s="65">
        <f>'M2'!C27-'M1'!C27</f>
        <v>7.5129999999999967E-5</v>
      </c>
      <c r="D27" s="65">
        <f>'M2'!D27-'M1'!D27</f>
        <v>-199.4074</v>
      </c>
      <c r="E27" s="65">
        <f>'M2'!E27-'M1'!E27</f>
        <v>0</v>
      </c>
      <c r="F27" s="65">
        <f>'M2'!F27-'M1'!F27</f>
        <v>-1.0865300000000005E-3</v>
      </c>
      <c r="G27" s="65">
        <f>'M2'!G27-'M1'!G27</f>
        <v>0</v>
      </c>
      <c r="H27" s="65">
        <f>'M2'!H27-'M1'!H27</f>
        <v>1.3918100000000003E-3</v>
      </c>
    </row>
    <row r="28" spans="1:8">
      <c r="A28" s="65" t="s">
        <v>71</v>
      </c>
      <c r="B28" s="65">
        <f>'M2'!B28-'M1'!B28</f>
        <v>6.7708000000000004E-4</v>
      </c>
      <c r="C28" s="65">
        <f>'M2'!C28-'M1'!C28</f>
        <v>7.180100000000007E-4</v>
      </c>
      <c r="D28" s="65">
        <f>'M2'!D28-'M1'!D28</f>
        <v>1.8846000000000029E-2</v>
      </c>
      <c r="E28" s="65">
        <f>'M2'!E28-'M1'!E28</f>
        <v>0</v>
      </c>
      <c r="F28" s="65">
        <f>'M2'!F28-'M1'!F28</f>
        <v>6.1197900000000013E-4</v>
      </c>
      <c r="G28" s="65">
        <f>'M2'!G28-'M1'!G28</f>
        <v>0</v>
      </c>
      <c r="H28" s="65">
        <f>'M2'!H28-'M1'!H28</f>
        <v>3.9745999999999983E-3</v>
      </c>
    </row>
    <row r="29" spans="1:8">
      <c r="A29" s="65" t="s">
        <v>72</v>
      </c>
      <c r="B29" s="65">
        <f>'M2'!B29-'M1'!B29</f>
        <v>10.496099999999998</v>
      </c>
      <c r="C29" s="65">
        <f>'M2'!C29-'M1'!C29</f>
        <v>-1.5307499999999994</v>
      </c>
      <c r="D29" s="65">
        <f>'M2'!D29-'M1'!D29</f>
        <v>-3.4812999999999997E-2</v>
      </c>
      <c r="E29" s="65">
        <f>'M2'!E29-'M1'!E29</f>
        <v>0</v>
      </c>
      <c r="F29" s="65">
        <f>'M2'!F29-'M1'!F29</f>
        <v>4.0601999999999947</v>
      </c>
      <c r="G29" s="65">
        <f>'M2'!G29-'M1'!G29</f>
        <v>0</v>
      </c>
      <c r="H29" s="65">
        <f>'M2'!H29-'M1'!H29</f>
        <v>3.6239999999999952</v>
      </c>
    </row>
    <row r="30" spans="1:8">
      <c r="A30" s="65" t="s">
        <v>73</v>
      </c>
      <c r="B30" s="65">
        <f>'M2'!B30-'M1'!B30</f>
        <v>16.437799999999996</v>
      </c>
      <c r="C30" s="65">
        <f>'M2'!C30-'M1'!C30</f>
        <v>-3.23908</v>
      </c>
      <c r="D30" s="65">
        <f>'M2'!D30-'M1'!D30</f>
        <v>-0.2220104</v>
      </c>
      <c r="E30" s="65">
        <f>'M2'!E30-'M1'!E30</f>
        <v>0</v>
      </c>
      <c r="F30" s="65">
        <f>'M2'!F30-'M1'!F30</f>
        <v>20.074380000000001</v>
      </c>
      <c r="G30" s="65">
        <f>'M2'!G30-'M1'!G30</f>
        <v>0</v>
      </c>
      <c r="H30" s="65">
        <f>'M2'!H30-'M1'!H30</f>
        <v>10.058799999999998</v>
      </c>
    </row>
    <row r="31" spans="1:8">
      <c r="A31" s="65" t="s">
        <v>74</v>
      </c>
      <c r="B31" s="65">
        <f>'M2'!B31-'M1'!B31</f>
        <v>64.817399999999992</v>
      </c>
      <c r="C31" s="65">
        <f>'M2'!C31-'M1'!C31</f>
        <v>-16.935410000000001</v>
      </c>
      <c r="D31" s="65">
        <f>'M2'!D31-'M1'!D31</f>
        <v>-0.30306469999999996</v>
      </c>
      <c r="E31" s="65">
        <f>'M2'!E31-'M1'!E31</f>
        <v>0</v>
      </c>
      <c r="F31" s="65">
        <f>'M2'!F31-'M1'!F31</f>
        <v>80.660700000000006</v>
      </c>
      <c r="G31" s="65">
        <f>'M2'!G31-'M1'!G31</f>
        <v>0</v>
      </c>
      <c r="H31" s="65">
        <f>'M2'!H31-'M1'!H31</f>
        <v>35.490999999999985</v>
      </c>
    </row>
    <row r="32" spans="1:8">
      <c r="A32" s="65" t="s">
        <v>75</v>
      </c>
      <c r="B32" s="65">
        <f>'M2'!B32-'M1'!B32</f>
        <v>4.6820000000000195E-3</v>
      </c>
      <c r="C32" s="65">
        <f>'M2'!C32-'M1'!C32</f>
        <v>-2.0270200000000002E-2</v>
      </c>
      <c r="D32" s="65">
        <f>'M2'!D32-'M1'!D32</f>
        <v>-6.7890999999999979E-2</v>
      </c>
      <c r="E32" s="65">
        <f>'M2'!E32-'M1'!E32</f>
        <v>0</v>
      </c>
      <c r="F32" s="65">
        <f>'M2'!F32-'M1'!F32</f>
        <v>-1.5909000000000006E-2</v>
      </c>
      <c r="G32" s="65">
        <f>'M2'!G32-'M1'!G32</f>
        <v>0</v>
      </c>
      <c r="H32" s="65">
        <f>'M2'!H32-'M1'!H32</f>
        <v>-7.5425999999999993E-2</v>
      </c>
    </row>
    <row r="33" spans="1:8">
      <c r="A33" s="65" t="s">
        <v>76</v>
      </c>
      <c r="B33" s="65">
        <f>'M2'!B33-'M1'!B33</f>
        <v>0.130305</v>
      </c>
      <c r="C33" s="65">
        <f>'M2'!C33-'M1'!C33</f>
        <v>2.5347999999999968E-3</v>
      </c>
      <c r="D33" s="65">
        <f>'M2'!D33-'M1'!D33</f>
        <v>-4.4497000000000009E-2</v>
      </c>
      <c r="E33" s="65">
        <f>'M2'!E33-'M1'!E33</f>
        <v>0</v>
      </c>
      <c r="F33" s="65">
        <f>'M2'!F33-'M1'!F33</f>
        <v>0.16628099999999998</v>
      </c>
      <c r="G33" s="65">
        <f>'M2'!G33-'M1'!G33</f>
        <v>0</v>
      </c>
      <c r="H33" s="65">
        <f>'M2'!H33-'M1'!H33</f>
        <v>0.15454800000000007</v>
      </c>
    </row>
    <row r="34" spans="1:8">
      <c r="A34" s="65" t="s">
        <v>77</v>
      </c>
      <c r="B34" s="65">
        <f>'M2'!B34-'M1'!B34</f>
        <v>-7.5330000000000119E-3</v>
      </c>
      <c r="C34" s="65">
        <f>'M2'!C34-'M1'!C34</f>
        <v>-1.0853100000000004E-2</v>
      </c>
      <c r="D34" s="65">
        <f>'M2'!D34-'M1'!D34</f>
        <v>-5.4579000000000003E-2</v>
      </c>
      <c r="E34" s="65">
        <f>'M2'!E34-'M1'!E34</f>
        <v>0</v>
      </c>
      <c r="F34" s="65">
        <f>'M2'!F34-'M1'!F34</f>
        <v>3.6726999999999996E-2</v>
      </c>
      <c r="G34" s="65">
        <f>'M2'!G34-'M1'!G34</f>
        <v>0</v>
      </c>
      <c r="H34" s="65">
        <f>'M2'!H34-'M1'!H34</f>
        <v>8.869999999999989E-4</v>
      </c>
    </row>
    <row r="35" spans="1:8">
      <c r="A35" s="65" t="s">
        <v>78</v>
      </c>
      <c r="B35" s="65">
        <f>'M2'!B35-'M1'!B35</f>
        <v>-1.4185299999999998E-2</v>
      </c>
      <c r="C35" s="65">
        <f>'M2'!C35-'M1'!C35</f>
        <v>-7.9020000000000132E-4</v>
      </c>
      <c r="D35" s="65">
        <f>'M2'!D35-'M1'!D35</f>
        <v>4.9723000000000017E-2</v>
      </c>
      <c r="E35" s="65">
        <f>'M2'!E35-'M1'!E35</f>
        <v>0</v>
      </c>
      <c r="F35" s="65">
        <f>'M2'!F35-'M1'!F35</f>
        <v>3.0692000000000011E-3</v>
      </c>
      <c r="G35" s="65">
        <f>'M2'!G35-'M1'!G35</f>
        <v>0</v>
      </c>
      <c r="H35" s="65">
        <f>'M2'!H35-'M1'!H35</f>
        <v>-5.6910000000000016E-3</v>
      </c>
    </row>
    <row r="36" spans="1:8">
      <c r="A36" s="65" t="s">
        <v>79</v>
      </c>
      <c r="B36" s="65">
        <f>'M2'!B36-'M1'!B36</f>
        <v>-1.3219999999999898E-3</v>
      </c>
      <c r="C36" s="65">
        <f>'M2'!C36-'M1'!C36</f>
        <v>-1.1069999999999136E-4</v>
      </c>
      <c r="D36" s="65">
        <f>'M2'!D36-'M1'!D36</f>
        <v>2.8779999999999917E-3</v>
      </c>
      <c r="E36" s="65">
        <f>'M2'!E36-'M1'!E36</f>
        <v>0</v>
      </c>
      <c r="F36" s="65">
        <f>'M2'!F36-'M1'!F36</f>
        <v>-1.0518600000000003E-2</v>
      </c>
      <c r="G36" s="65">
        <f>'M2'!G36-'M1'!G36</f>
        <v>0</v>
      </c>
      <c r="H36" s="65">
        <f>'M2'!H36-'M1'!H36</f>
        <v>-4.1769999999999863E-3</v>
      </c>
    </row>
    <row r="37" spans="1:8">
      <c r="A37" s="65" t="s">
        <v>80</v>
      </c>
      <c r="B37" s="65">
        <f>'M2'!B37-'M1'!B37</f>
        <v>-0.10853099999999999</v>
      </c>
      <c r="C37" s="65">
        <f>'M2'!C37-'M1'!C37</f>
        <v>-1.5860000000000041E-3</v>
      </c>
      <c r="D37" s="65">
        <f>'M2'!D37-'M1'!D37</f>
        <v>0.17423999999999995</v>
      </c>
      <c r="E37" s="65">
        <f>'M2'!E37-'M1'!E37</f>
        <v>0</v>
      </c>
      <c r="F37" s="65">
        <f>'M2'!F37-'M1'!F37</f>
        <v>6.124000000000001E-3</v>
      </c>
      <c r="G37" s="65">
        <f>'M2'!G37-'M1'!G37</f>
        <v>0</v>
      </c>
      <c r="H37" s="65">
        <f>'M2'!H37-'M1'!H37</f>
        <v>-4.3503000000000014E-2</v>
      </c>
    </row>
    <row r="38" spans="1:8">
      <c r="A38" s="65" t="s">
        <v>81</v>
      </c>
      <c r="B38" s="65">
        <f>'M2'!B38-'M1'!B38</f>
        <v>2.3133600000000003</v>
      </c>
      <c r="C38" s="65">
        <f>'M2'!C38-'M1'!C38</f>
        <v>3.1257999999999981</v>
      </c>
      <c r="D38" s="65">
        <f>'M2'!D38-'M1'!D38</f>
        <v>-21.13109</v>
      </c>
      <c r="E38" s="65">
        <f>'M2'!E38-'M1'!E38</f>
        <v>0</v>
      </c>
      <c r="F38" s="65">
        <f>'M2'!F38-'M1'!F38</f>
        <v>-52.697000000000003</v>
      </c>
      <c r="G38" s="65">
        <f>'M2'!G38-'M1'!G38</f>
        <v>0</v>
      </c>
      <c r="H38" s="65">
        <f>'M2'!H38-'M1'!H38</f>
        <v>46.704000000000008</v>
      </c>
    </row>
    <row r="39" spans="1:8">
      <c r="A39" s="65" t="s">
        <v>82</v>
      </c>
      <c r="B39" s="65">
        <f>'M2'!B39-'M1'!B39</f>
        <v>2.0657269999999999</v>
      </c>
      <c r="C39" s="65">
        <f>'M2'!C39-'M1'!C39</f>
        <v>1.3416600000000001</v>
      </c>
      <c r="D39" s="65">
        <f>'M2'!D39-'M1'!D39</f>
        <v>5.4063499999999998</v>
      </c>
      <c r="E39" s="65">
        <f>'M2'!E39-'M1'!E39</f>
        <v>0</v>
      </c>
      <c r="F39" s="65">
        <f>'M2'!F39-'M1'!F39</f>
        <v>3.6544099999999995</v>
      </c>
      <c r="G39" s="65">
        <f>'M2'!G39-'M1'!G39</f>
        <v>0</v>
      </c>
      <c r="H39" s="65">
        <f>'M2'!H39-'M1'!H39</f>
        <v>7.2547299999999986</v>
      </c>
    </row>
    <row r="40" spans="1:8">
      <c r="A40" s="65" t="s">
        <v>83</v>
      </c>
      <c r="B40" s="65">
        <f>'M2'!B40-'M1'!B40</f>
        <v>-0.92030800000000001</v>
      </c>
      <c r="C40" s="65">
        <f>'M2'!C40-'M1'!C40</f>
        <v>0.12687800000000002</v>
      </c>
      <c r="D40" s="65">
        <f>'M2'!D40-'M1'!D40</f>
        <v>-1.052783</v>
      </c>
      <c r="E40" s="65">
        <f>'M2'!E40-'M1'!E40</f>
        <v>0</v>
      </c>
      <c r="F40" s="65">
        <f>'M2'!F40-'M1'!F40</f>
        <v>-1.2388170000000001</v>
      </c>
      <c r="G40" s="65">
        <f>'M2'!G40-'M1'!G40</f>
        <v>0</v>
      </c>
      <c r="H40" s="65">
        <f>'M2'!H40-'M1'!H40</f>
        <v>-0.80122190000000004</v>
      </c>
    </row>
    <row r="41" spans="1:8">
      <c r="A41" s="65" t="s">
        <v>84</v>
      </c>
      <c r="B41" s="65">
        <f>'M2'!B41-'M1'!B41</f>
        <v>-4.4063000000000019E-3</v>
      </c>
      <c r="C41" s="65">
        <f>'M2'!C41-'M1'!C41</f>
        <v>-0.13987600000000003</v>
      </c>
      <c r="D41" s="65">
        <f>'M2'!D41-'M1'!D41</f>
        <v>1.8952100000000001</v>
      </c>
      <c r="E41" s="65">
        <f>'M2'!E41-'M1'!E41</f>
        <v>0</v>
      </c>
      <c r="F41" s="65">
        <f>'M2'!F41-'M1'!F41</f>
        <v>0.15963899999999998</v>
      </c>
      <c r="G41" s="65">
        <f>'M2'!G41-'M1'!G41</f>
        <v>0</v>
      </c>
      <c r="H41" s="65">
        <f>'M2'!H41-'M1'!H41</f>
        <v>-0.31578899999999999</v>
      </c>
    </row>
    <row r="42" spans="1:8">
      <c r="A42" s="65" t="s">
        <v>85</v>
      </c>
      <c r="B42" s="65">
        <f>'M2'!B42-'M1'!B42</f>
        <v>1.5138799999999994E-2</v>
      </c>
      <c r="C42" s="65">
        <f>'M2'!C42-'M1'!C42</f>
        <v>3.2687400000000005E-2</v>
      </c>
      <c r="D42" s="65">
        <f>'M2'!D42-'M1'!D42</f>
        <v>-1.2201900000000001</v>
      </c>
      <c r="E42" s="65">
        <f>'M2'!E42-'M1'!E42</f>
        <v>0</v>
      </c>
      <c r="F42" s="65">
        <f>'M2'!F42-'M1'!F42</f>
        <v>0.122868</v>
      </c>
      <c r="G42" s="65">
        <f>'M2'!G42-'M1'!G42</f>
        <v>0</v>
      </c>
      <c r="H42" s="65">
        <f>'M2'!H42-'M1'!H42</f>
        <v>0.144514</v>
      </c>
    </row>
    <row r="43" spans="1:8">
      <c r="A43" s="65" t="s">
        <v>86</v>
      </c>
      <c r="B43" s="65">
        <f>'M2'!B43-'M1'!B43</f>
        <v>-5.781012E-2</v>
      </c>
      <c r="C43" s="65">
        <f>'M2'!C43-'M1'!C43</f>
        <v>-2.4361000000000001E-3</v>
      </c>
      <c r="D43" s="65">
        <f>'M2'!D43-'M1'!D43</f>
        <v>-3.9154740000000001</v>
      </c>
      <c r="E43" s="65">
        <f>'M2'!E43-'M1'!E43</f>
        <v>0</v>
      </c>
      <c r="F43" s="65">
        <f>'M2'!F43-'M1'!F43</f>
        <v>-8.3834399999999989E-2</v>
      </c>
      <c r="G43" s="65">
        <f>'M2'!G43-'M1'!G43</f>
        <v>0</v>
      </c>
      <c r="H43" s="65">
        <f>'M2'!H43-'M1'!H43</f>
        <v>-0.12384102000000001</v>
      </c>
    </row>
    <row r="44" spans="1:8">
      <c r="A44" s="65" t="s">
        <v>87</v>
      </c>
      <c r="B44" s="65">
        <f>'M2'!B44-'M1'!B44</f>
        <v>0.42655000000000021</v>
      </c>
      <c r="C44" s="65">
        <f>'M2'!C44-'M1'!C44</f>
        <v>-1.9371</v>
      </c>
      <c r="D44" s="65">
        <f>'M2'!D44-'M1'!D44</f>
        <v>0.38668999999999998</v>
      </c>
      <c r="E44" s="65">
        <f>'M2'!E44-'M1'!E44</f>
        <v>0</v>
      </c>
      <c r="F44" s="65">
        <f>'M2'!F44-'M1'!F44</f>
        <v>4.2190999999999992</v>
      </c>
      <c r="G44" s="65">
        <f>'M2'!G44-'M1'!G44</f>
        <v>0</v>
      </c>
      <c r="H44" s="65">
        <f>'M2'!H44-'M1'!H44</f>
        <v>3.428799999999999</v>
      </c>
    </row>
    <row r="45" spans="1:8">
      <c r="A45" s="65" t="s">
        <v>88</v>
      </c>
      <c r="B45" s="65">
        <f>'M2'!B45-'M1'!B45</f>
        <v>4.4969999999999999</v>
      </c>
      <c r="C45" s="65">
        <f>'M2'!C45-'M1'!C45</f>
        <v>-3.1080699999999997</v>
      </c>
      <c r="D45" s="65">
        <f>'M2'!D45-'M1'!D45</f>
        <v>-5.679759999999999E-2</v>
      </c>
      <c r="E45" s="65">
        <f>'M2'!E45-'M1'!E45</f>
        <v>0</v>
      </c>
      <c r="F45" s="65">
        <f>'M2'!F45-'M1'!F45</f>
        <v>13.637799999999999</v>
      </c>
      <c r="G45" s="65">
        <f>'M2'!G45-'M1'!G45</f>
        <v>0</v>
      </c>
      <c r="H45" s="65">
        <f>'M2'!H45-'M1'!H45</f>
        <v>-1.7843000000000018</v>
      </c>
    </row>
    <row r="46" spans="1:8">
      <c r="A46" s="65" t="s">
        <v>89</v>
      </c>
      <c r="B46" s="65">
        <f>'M2'!B46-'M1'!B46</f>
        <v>22.873699999999996</v>
      </c>
      <c r="C46" s="65">
        <f>'M2'!C46-'M1'!C46</f>
        <v>-6.9028299999999989</v>
      </c>
      <c r="D46" s="65">
        <f>'M2'!D46-'M1'!D46</f>
        <v>-0.35674350000000005</v>
      </c>
      <c r="E46" s="65">
        <f>'M2'!E46-'M1'!E46</f>
        <v>0</v>
      </c>
      <c r="F46" s="65">
        <f>'M2'!F46-'M1'!F46</f>
        <v>30.514939999999996</v>
      </c>
      <c r="G46" s="65">
        <f>'M2'!G46-'M1'!G46</f>
        <v>0</v>
      </c>
      <c r="H46" s="65">
        <f>'M2'!H46-'M1'!H46</f>
        <v>9.6918000000000006</v>
      </c>
    </row>
    <row r="47" spans="1:8">
      <c r="A47" s="65" t="s">
        <v>90</v>
      </c>
      <c r="B47" s="65">
        <f>'M2'!B47-'M1'!B47</f>
        <v>3.3475000000000033E-2</v>
      </c>
      <c r="C47" s="65">
        <f>'M2'!C47-'M1'!C47</f>
        <v>0.13238630000000001</v>
      </c>
      <c r="D47" s="65">
        <f>'M2'!D47-'M1'!D47</f>
        <v>0.20418500000000003</v>
      </c>
      <c r="E47" s="65">
        <f>'M2'!E47-'M1'!E47</f>
        <v>0</v>
      </c>
      <c r="F47" s="65">
        <f>'M2'!F47-'M1'!F47</f>
        <v>3.7963000000000025E-2</v>
      </c>
      <c r="G47" s="65">
        <f>'M2'!G47-'M1'!G47</f>
        <v>0</v>
      </c>
      <c r="H47" s="65">
        <f>'M2'!H47-'M1'!H47</f>
        <v>0.54979900000000004</v>
      </c>
    </row>
    <row r="48" spans="1:8">
      <c r="A48" s="65" t="s">
        <v>91</v>
      </c>
      <c r="B48" s="65">
        <f>'M2'!B48-'M1'!B48</f>
        <v>-5.6486999999999954E-2</v>
      </c>
      <c r="C48" s="65">
        <f>'M2'!C48-'M1'!C48</f>
        <v>-1.06488E-2</v>
      </c>
      <c r="D48" s="65">
        <f>'M2'!D48-'M1'!D48</f>
        <v>-8.7006000000000028E-3</v>
      </c>
      <c r="E48" s="65">
        <f>'M2'!E48-'M1'!E48</f>
        <v>0</v>
      </c>
      <c r="F48" s="65">
        <f>'M2'!F48-'M1'!F48</f>
        <v>-8.3541000000000087E-2</v>
      </c>
      <c r="G48" s="65">
        <f>'M2'!G48-'M1'!G48</f>
        <v>0</v>
      </c>
      <c r="H48" s="65">
        <f>'M2'!H48-'M1'!H48</f>
        <v>-0.17316600000000004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H48"/>
  <sheetViews>
    <sheetView workbookViewId="0"/>
  </sheetViews>
  <sheetFormatPr defaultRowHeight="14"/>
  <cols>
    <col min="1" max="1" width="20.90625" customWidth="1"/>
  </cols>
  <sheetData>
    <row r="1" spans="1:8">
      <c r="A1" s="89" t="s">
        <v>345</v>
      </c>
      <c r="B1" s="89" t="s">
        <v>347</v>
      </c>
      <c r="C1" s="89" t="s">
        <v>348</v>
      </c>
      <c r="D1" s="89" t="s">
        <v>349</v>
      </c>
      <c r="E1" s="89" t="s">
        <v>350</v>
      </c>
      <c r="F1" s="89" t="s">
        <v>351</v>
      </c>
      <c r="G1" s="89" t="s">
        <v>352</v>
      </c>
      <c r="H1" s="89" t="s">
        <v>353</v>
      </c>
    </row>
    <row r="2" spans="1:8">
      <c r="A2" s="89" t="s">
        <v>346</v>
      </c>
      <c r="B2" s="65">
        <v>0</v>
      </c>
      <c r="C2" s="65">
        <v>0</v>
      </c>
      <c r="D2" s="65">
        <v>0</v>
      </c>
      <c r="E2" s="65">
        <v>0</v>
      </c>
      <c r="F2" s="65">
        <v>0</v>
      </c>
      <c r="G2" s="65">
        <v>0</v>
      </c>
      <c r="H2" s="65">
        <v>0</v>
      </c>
    </row>
    <row r="3" spans="1:8">
      <c r="A3" s="89" t="s">
        <v>354</v>
      </c>
      <c r="B3" s="65">
        <v>0</v>
      </c>
      <c r="C3" s="65">
        <v>0</v>
      </c>
      <c r="D3" s="65">
        <v>0</v>
      </c>
      <c r="E3" s="65">
        <v>0</v>
      </c>
      <c r="F3" s="65">
        <v>0</v>
      </c>
      <c r="G3" s="65">
        <v>0</v>
      </c>
      <c r="H3" s="65">
        <v>0</v>
      </c>
    </row>
    <row r="4" spans="1:8">
      <c r="A4" s="89" t="s">
        <v>355</v>
      </c>
      <c r="B4" s="65">
        <v>0</v>
      </c>
      <c r="C4" s="65">
        <v>0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</row>
    <row r="5" spans="1:8">
      <c r="A5" s="89" t="s">
        <v>356</v>
      </c>
      <c r="B5" s="65">
        <v>25.2971</v>
      </c>
      <c r="C5" s="65">
        <v>9.6339199999999998</v>
      </c>
      <c r="D5" s="65">
        <v>38.083100000000002</v>
      </c>
      <c r="E5" s="65">
        <v>20</v>
      </c>
      <c r="F5" s="65">
        <v>8.1970899999999993</v>
      </c>
      <c r="G5" s="65">
        <v>50</v>
      </c>
      <c r="H5" s="65">
        <v>39.613399999999999</v>
      </c>
    </row>
    <row r="6" spans="1:8">
      <c r="A6" s="89" t="s">
        <v>357</v>
      </c>
      <c r="B6" s="65">
        <v>29.846800000000002</v>
      </c>
      <c r="C6" s="65">
        <v>1.9546399999999999</v>
      </c>
      <c r="D6" s="65">
        <v>6.5488999999999997</v>
      </c>
      <c r="E6" s="65">
        <v>20</v>
      </c>
      <c r="F6" s="65">
        <v>25.2971</v>
      </c>
      <c r="G6" s="65">
        <v>40</v>
      </c>
      <c r="H6" s="65">
        <v>32.168599999999998</v>
      </c>
    </row>
    <row r="7" spans="1:8">
      <c r="A7" s="89" t="s">
        <v>358</v>
      </c>
      <c r="B7" s="65">
        <v>30.774100000000001</v>
      </c>
      <c r="C7" s="65">
        <v>6.1823600000000001</v>
      </c>
      <c r="D7" s="65">
        <v>20.089500000000001</v>
      </c>
      <c r="E7" s="65">
        <v>15</v>
      </c>
      <c r="F7" s="65">
        <v>24.200500000000002</v>
      </c>
      <c r="G7" s="65">
        <v>40</v>
      </c>
      <c r="H7" s="65">
        <v>46.8185</v>
      </c>
    </row>
    <row r="8" spans="1:8">
      <c r="A8" s="89" t="s">
        <v>359</v>
      </c>
      <c r="B8" s="65">
        <v>28.2514</v>
      </c>
      <c r="C8" s="65">
        <v>2.3463799999999999</v>
      </c>
      <c r="D8" s="65">
        <v>8.3053600000000003</v>
      </c>
      <c r="E8" s="65">
        <v>20</v>
      </c>
      <c r="F8" s="65">
        <v>24.098299999999998</v>
      </c>
      <c r="G8" s="65">
        <v>50</v>
      </c>
      <c r="H8" s="65">
        <v>32.8018</v>
      </c>
    </row>
    <row r="9" spans="1:8">
      <c r="A9" s="89" t="s">
        <v>360</v>
      </c>
      <c r="B9" s="65">
        <v>49.7378</v>
      </c>
      <c r="C9" s="65">
        <v>11.7689</v>
      </c>
      <c r="D9" s="65">
        <v>23.661799999999999</v>
      </c>
      <c r="E9" s="65">
        <v>50</v>
      </c>
      <c r="F9" s="65">
        <v>40.461300000000001</v>
      </c>
      <c r="G9" s="65">
        <v>100</v>
      </c>
      <c r="H9" s="65">
        <v>87.704999999999998</v>
      </c>
    </row>
    <row r="10" spans="1:8">
      <c r="A10" s="89" t="s">
        <v>361</v>
      </c>
      <c r="B10" s="65">
        <v>65.634100000000004</v>
      </c>
      <c r="C10" s="65">
        <v>2.4812799999999999</v>
      </c>
      <c r="D10" s="65">
        <v>3.7804799999999998</v>
      </c>
      <c r="E10" s="65">
        <v>40</v>
      </c>
      <c r="F10" s="65">
        <v>55.869100000000003</v>
      </c>
      <c r="G10" s="65">
        <v>100</v>
      </c>
      <c r="H10" s="65">
        <v>68.861699999999999</v>
      </c>
    </row>
    <row r="11" spans="1:8">
      <c r="A11" s="89" t="s">
        <v>362</v>
      </c>
      <c r="B11" s="65">
        <v>11.6525</v>
      </c>
      <c r="C11" s="65">
        <v>3.6499199999999998</v>
      </c>
      <c r="D11" s="65">
        <v>31.3231</v>
      </c>
      <c r="E11" s="65">
        <v>10</v>
      </c>
      <c r="F11" s="65">
        <v>4.53904</v>
      </c>
      <c r="G11" s="65">
        <v>50</v>
      </c>
      <c r="H11" s="65">
        <v>17.240400000000001</v>
      </c>
    </row>
    <row r="12" spans="1:8">
      <c r="A12" s="89" t="s">
        <v>363</v>
      </c>
      <c r="B12" s="65">
        <v>58.165700000000001</v>
      </c>
      <c r="C12" s="65">
        <v>5.6932400000000003</v>
      </c>
      <c r="D12" s="65">
        <v>9.7879699999999996</v>
      </c>
      <c r="E12" s="65">
        <v>50</v>
      </c>
      <c r="F12" s="65">
        <v>51.353900000000003</v>
      </c>
      <c r="G12" s="65">
        <v>100</v>
      </c>
      <c r="H12" s="65">
        <v>75.275400000000005</v>
      </c>
    </row>
    <row r="13" spans="1:8">
      <c r="A13" s="89" t="s">
        <v>364</v>
      </c>
      <c r="B13" s="65">
        <v>18.2544</v>
      </c>
      <c r="C13" s="65">
        <v>3.1530999999999998</v>
      </c>
      <c r="D13" s="65">
        <v>17.273099999999999</v>
      </c>
      <c r="E13" s="65">
        <v>10</v>
      </c>
      <c r="F13" s="65">
        <v>11.296900000000001</v>
      </c>
      <c r="G13" s="65">
        <v>25</v>
      </c>
      <c r="H13" s="65">
        <v>24.0242</v>
      </c>
    </row>
    <row r="14" spans="1:8">
      <c r="A14" s="89" t="s">
        <v>365</v>
      </c>
      <c r="B14" s="65">
        <v>31.530999999999999</v>
      </c>
      <c r="C14" s="65">
        <v>10.928000000000001</v>
      </c>
      <c r="D14" s="65">
        <v>34.658000000000001</v>
      </c>
      <c r="E14" s="65">
        <v>10</v>
      </c>
      <c r="F14" s="65">
        <v>2.1137600000000001</v>
      </c>
      <c r="G14" s="65">
        <v>50</v>
      </c>
      <c r="H14" s="65">
        <v>35.759799999999998</v>
      </c>
    </row>
    <row r="15" spans="1:8">
      <c r="A15" s="89" t="s">
        <v>366</v>
      </c>
      <c r="B15" s="65">
        <v>0</v>
      </c>
      <c r="C15" s="65">
        <v>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</row>
    <row r="16" spans="1:8">
      <c r="A16" s="89" t="s">
        <v>367</v>
      </c>
      <c r="B16" s="65">
        <v>0</v>
      </c>
      <c r="C16" s="65">
        <v>0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</row>
    <row r="17" spans="1:8">
      <c r="A17" s="89" t="s">
        <v>368</v>
      </c>
      <c r="B17" s="65">
        <v>0</v>
      </c>
      <c r="C17" s="65">
        <v>0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</row>
    <row r="18" spans="1:8">
      <c r="A18" s="89" t="s">
        <v>369</v>
      </c>
      <c r="B18" s="65">
        <v>4.47223E-2</v>
      </c>
      <c r="C18" s="65">
        <v>0</v>
      </c>
      <c r="D18" s="65">
        <v>0</v>
      </c>
      <c r="E18" s="65">
        <v>0</v>
      </c>
      <c r="F18" s="65">
        <v>0</v>
      </c>
      <c r="G18" s="65">
        <v>0</v>
      </c>
      <c r="H18" s="65">
        <v>0</v>
      </c>
    </row>
    <row r="19" spans="1:8">
      <c r="A19" s="89" t="s">
        <v>370</v>
      </c>
      <c r="B19" s="65">
        <v>0.51418699999999995</v>
      </c>
      <c r="C19" s="65">
        <v>0</v>
      </c>
      <c r="D19" s="65">
        <v>0</v>
      </c>
      <c r="E19" s="65">
        <v>0</v>
      </c>
      <c r="F19" s="65">
        <v>0</v>
      </c>
      <c r="G19" s="65">
        <v>0</v>
      </c>
      <c r="H19" s="65">
        <v>0</v>
      </c>
    </row>
    <row r="20" spans="1:8">
      <c r="A20" s="89" t="s">
        <v>371</v>
      </c>
      <c r="B20" s="65">
        <v>3.1891100000000002E-3</v>
      </c>
      <c r="C20" s="65">
        <v>3.5658899999999999E-3</v>
      </c>
      <c r="D20" s="65">
        <v>1.11815</v>
      </c>
      <c r="E20" s="65">
        <v>0</v>
      </c>
      <c r="F20" s="65">
        <v>8.4473899999999995E-4</v>
      </c>
      <c r="G20" s="65">
        <v>0</v>
      </c>
      <c r="H20" s="65">
        <v>3.38725E-2</v>
      </c>
    </row>
    <row r="21" spans="1:8">
      <c r="A21" s="89" t="s">
        <v>372</v>
      </c>
      <c r="B21" s="65">
        <v>4.0860800000000003E-2</v>
      </c>
      <c r="C21" s="65">
        <v>4.3909499999999997E-2</v>
      </c>
      <c r="D21" s="65">
        <v>1.0746100000000001</v>
      </c>
      <c r="E21" s="65">
        <v>0</v>
      </c>
      <c r="F21" s="65">
        <v>2.6335400000000002E-3</v>
      </c>
      <c r="G21" s="65">
        <v>0</v>
      </c>
      <c r="H21" s="65">
        <v>0.203122</v>
      </c>
    </row>
    <row r="22" spans="1:8">
      <c r="A22" s="89" t="s">
        <v>373</v>
      </c>
      <c r="B22" s="65">
        <v>29.091999999999999</v>
      </c>
      <c r="C22" s="65">
        <v>5.0795300000000001</v>
      </c>
      <c r="D22" s="65">
        <v>0.17460200000000001</v>
      </c>
      <c r="E22" s="65">
        <v>0</v>
      </c>
      <c r="F22" s="65">
        <v>19.271599999999999</v>
      </c>
      <c r="G22" s="65">
        <v>0</v>
      </c>
      <c r="H22" s="65">
        <v>37.109900000000003</v>
      </c>
    </row>
    <row r="23" spans="1:8">
      <c r="A23" s="89" t="s">
        <v>374</v>
      </c>
      <c r="B23" s="65">
        <v>10.474600000000001</v>
      </c>
      <c r="C23" s="65">
        <v>2.5745900000000002</v>
      </c>
      <c r="D23" s="65">
        <v>0.24579400000000001</v>
      </c>
      <c r="E23" s="65">
        <v>0</v>
      </c>
      <c r="F23" s="65">
        <v>5.06067</v>
      </c>
      <c r="G23" s="65">
        <v>0</v>
      </c>
      <c r="H23" s="65">
        <v>13.6828</v>
      </c>
    </row>
    <row r="24" spans="1:8">
      <c r="A24" s="89" t="s">
        <v>375</v>
      </c>
      <c r="B24" s="65">
        <v>3.8915E-3</v>
      </c>
      <c r="C24" s="65">
        <v>1.4156500000000001E-3</v>
      </c>
      <c r="D24" s="65">
        <v>0.36378100000000002</v>
      </c>
      <c r="E24" s="65">
        <v>0</v>
      </c>
      <c r="F24" s="65">
        <v>1.73554E-3</v>
      </c>
      <c r="G24" s="65">
        <v>0</v>
      </c>
      <c r="H24" s="65">
        <v>8.2151099999999994E-3</v>
      </c>
    </row>
    <row r="25" spans="1:8">
      <c r="A25" s="89" t="s">
        <v>376</v>
      </c>
      <c r="B25" s="65">
        <v>5.0187900000000001E-2</v>
      </c>
      <c r="C25" s="65">
        <v>1.2492899999999999E-2</v>
      </c>
      <c r="D25" s="65">
        <v>0.248922</v>
      </c>
      <c r="E25" s="65">
        <v>0</v>
      </c>
      <c r="F25" s="65">
        <v>2.86146E-2</v>
      </c>
      <c r="G25" s="65">
        <v>0</v>
      </c>
      <c r="H25" s="65">
        <v>8.0401200000000006E-2</v>
      </c>
    </row>
    <row r="26" spans="1:8">
      <c r="A26" s="89" t="s">
        <v>377</v>
      </c>
      <c r="B26" s="65">
        <v>6.1876300000000004E-4</v>
      </c>
      <c r="C26" s="65">
        <v>8.0051600000000003E-4</v>
      </c>
      <c r="D26" s="65">
        <v>1.29373</v>
      </c>
      <c r="E26" s="65">
        <v>0</v>
      </c>
      <c r="F26" s="65">
        <v>1.5099800000000001E-4</v>
      </c>
      <c r="G26" s="65">
        <v>0</v>
      </c>
      <c r="H26" s="65">
        <v>5.8954799999999998E-3</v>
      </c>
    </row>
    <row r="27" spans="1:8">
      <c r="A27" s="89" t="s">
        <v>378</v>
      </c>
      <c r="B27" s="90">
        <v>2.7901800000000001E-5</v>
      </c>
      <c r="C27" s="65">
        <v>7.7071300000000002E-4</v>
      </c>
      <c r="D27" s="65">
        <v>27.622399999999999</v>
      </c>
      <c r="E27" s="65">
        <v>0</v>
      </c>
      <c r="F27" s="65">
        <v>-4.5233699999999996E-3</v>
      </c>
      <c r="G27" s="65">
        <v>0</v>
      </c>
      <c r="H27" s="65">
        <v>3.49921E-3</v>
      </c>
    </row>
    <row r="28" spans="1:8">
      <c r="A28" s="89" t="s">
        <v>379</v>
      </c>
      <c r="B28" s="65">
        <v>8.2063799999999992E-3</v>
      </c>
      <c r="C28" s="65">
        <v>6.6733799999999996E-3</v>
      </c>
      <c r="D28" s="65">
        <v>0.81319399999999997</v>
      </c>
      <c r="E28" s="65">
        <v>0</v>
      </c>
      <c r="F28" s="65">
        <v>4.8177099999999998E-4</v>
      </c>
      <c r="G28" s="65">
        <v>0</v>
      </c>
      <c r="H28" s="65">
        <v>3.03288E-2</v>
      </c>
    </row>
    <row r="29" spans="1:8">
      <c r="A29" s="89" t="s">
        <v>380</v>
      </c>
      <c r="B29" s="65">
        <v>77.9024</v>
      </c>
      <c r="C29" s="65">
        <v>11.479799999999999</v>
      </c>
      <c r="D29" s="65">
        <v>0.14736099999999999</v>
      </c>
      <c r="E29" s="65">
        <v>0</v>
      </c>
      <c r="F29" s="65">
        <v>57.059600000000003</v>
      </c>
      <c r="G29" s="65">
        <v>0</v>
      </c>
      <c r="H29" s="65">
        <v>103.19</v>
      </c>
    </row>
    <row r="30" spans="1:8">
      <c r="A30" s="89" t="s">
        <v>381</v>
      </c>
      <c r="B30" s="65">
        <v>19.874400000000001</v>
      </c>
      <c r="C30" s="65">
        <v>5.8308499999999999</v>
      </c>
      <c r="D30" s="65">
        <v>0.29338500000000001</v>
      </c>
      <c r="E30" s="65">
        <v>0</v>
      </c>
      <c r="F30" s="65">
        <v>8.2361199999999997</v>
      </c>
      <c r="G30" s="65">
        <v>0</v>
      </c>
      <c r="H30" s="65">
        <v>27.953099999999999</v>
      </c>
    </row>
    <row r="31" spans="1:8">
      <c r="A31" s="89" t="s">
        <v>382</v>
      </c>
      <c r="B31" s="65">
        <v>67.598600000000005</v>
      </c>
      <c r="C31" s="65">
        <v>24.1905</v>
      </c>
      <c r="D31" s="65">
        <v>0.35785499999999998</v>
      </c>
      <c r="E31" s="65">
        <v>0</v>
      </c>
      <c r="F31" s="65">
        <v>31.016300000000001</v>
      </c>
      <c r="G31" s="65">
        <v>0</v>
      </c>
      <c r="H31" s="65">
        <v>110.983</v>
      </c>
    </row>
    <row r="32" spans="1:8">
      <c r="A32" s="89" t="s">
        <v>383</v>
      </c>
      <c r="B32" s="65">
        <v>0.30774099999999999</v>
      </c>
      <c r="C32" s="65">
        <v>6.1823599999999999E-2</v>
      </c>
      <c r="D32" s="65">
        <v>0.20089499999999999</v>
      </c>
      <c r="E32" s="65">
        <v>0.15</v>
      </c>
      <c r="F32" s="65">
        <v>0.242005</v>
      </c>
      <c r="G32" s="65">
        <v>0.4</v>
      </c>
      <c r="H32" s="65">
        <v>0.46818500000000002</v>
      </c>
    </row>
    <row r="33" spans="1:8">
      <c r="A33" s="89" t="s">
        <v>384</v>
      </c>
      <c r="B33" s="65">
        <v>0.32639600000000002</v>
      </c>
      <c r="C33" s="65">
        <v>5.7252200000000003E-2</v>
      </c>
      <c r="D33" s="65">
        <v>0.17540700000000001</v>
      </c>
      <c r="E33" s="65">
        <v>0</v>
      </c>
      <c r="F33" s="65">
        <v>0.21689600000000001</v>
      </c>
      <c r="G33" s="65">
        <v>0</v>
      </c>
      <c r="H33" s="65">
        <v>0.39701599999999998</v>
      </c>
    </row>
    <row r="34" spans="1:8">
      <c r="A34" s="89" t="s">
        <v>385</v>
      </c>
      <c r="B34" s="65">
        <v>0.18254400000000001</v>
      </c>
      <c r="C34" s="65">
        <v>3.1531000000000003E-2</v>
      </c>
      <c r="D34" s="65">
        <v>0.172731</v>
      </c>
      <c r="E34" s="65">
        <v>0.1</v>
      </c>
      <c r="F34" s="65">
        <v>0.112969</v>
      </c>
      <c r="G34" s="65">
        <v>0.25</v>
      </c>
      <c r="H34" s="65">
        <v>0.24024200000000001</v>
      </c>
    </row>
    <row r="35" spans="1:8">
      <c r="A35" s="89" t="s">
        <v>386</v>
      </c>
      <c r="B35" s="65">
        <v>7.8945399999999999E-2</v>
      </c>
      <c r="C35" s="65">
        <v>2.2318500000000002E-2</v>
      </c>
      <c r="D35" s="65">
        <v>0.28270899999999999</v>
      </c>
      <c r="E35" s="65">
        <v>0</v>
      </c>
      <c r="F35" s="65">
        <v>3.6638799999999999E-2</v>
      </c>
      <c r="G35" s="65">
        <v>0</v>
      </c>
      <c r="H35" s="65">
        <v>0.119264</v>
      </c>
    </row>
    <row r="36" spans="1:8">
      <c r="A36" s="89" t="s">
        <v>387</v>
      </c>
      <c r="B36" s="65">
        <v>0.176704</v>
      </c>
      <c r="C36" s="65">
        <v>8.2258899999999996E-2</v>
      </c>
      <c r="D36" s="65">
        <v>0.46551700000000001</v>
      </c>
      <c r="E36" s="65">
        <v>0</v>
      </c>
      <c r="F36" s="65">
        <v>5.5774200000000003E-2</v>
      </c>
      <c r="G36" s="65">
        <v>0</v>
      </c>
      <c r="H36" s="65">
        <v>0.418435</v>
      </c>
    </row>
    <row r="37" spans="1:8">
      <c r="A37" s="89" t="s">
        <v>388</v>
      </c>
      <c r="B37" s="65">
        <v>0.31530999999999998</v>
      </c>
      <c r="C37" s="65">
        <v>0.10928</v>
      </c>
      <c r="D37" s="65">
        <v>0.34658</v>
      </c>
      <c r="E37" s="65">
        <v>0.1</v>
      </c>
      <c r="F37" s="65">
        <v>2.1137599999999999E-2</v>
      </c>
      <c r="G37" s="65">
        <v>0.5</v>
      </c>
      <c r="H37" s="65">
        <v>0.35759800000000003</v>
      </c>
    </row>
    <row r="38" spans="1:8">
      <c r="A38" s="89" t="s">
        <v>389</v>
      </c>
      <c r="B38" s="65">
        <v>-3.48068</v>
      </c>
      <c r="C38" s="65">
        <v>32.410699999999999</v>
      </c>
      <c r="D38" s="65">
        <v>-9.3116099999999999</v>
      </c>
      <c r="E38" s="65">
        <v>0</v>
      </c>
      <c r="F38" s="65">
        <v>-99.933999999999997</v>
      </c>
      <c r="G38" s="65">
        <v>0</v>
      </c>
      <c r="H38" s="65">
        <v>123.113</v>
      </c>
    </row>
    <row r="39" spans="1:8">
      <c r="A39" s="89" t="s">
        <v>390</v>
      </c>
      <c r="B39" s="65">
        <v>-1.1416999999999999</v>
      </c>
      <c r="C39" s="65">
        <v>2.0194899999999998</v>
      </c>
      <c r="D39" s="65">
        <v>-1.76885</v>
      </c>
      <c r="E39" s="65">
        <v>0</v>
      </c>
      <c r="F39" s="65">
        <v>-6.9387999999999996</v>
      </c>
      <c r="G39" s="65">
        <v>0</v>
      </c>
      <c r="H39" s="65">
        <v>3.2120700000000002</v>
      </c>
    </row>
    <row r="40" spans="1:8">
      <c r="A40" s="89" t="s">
        <v>391</v>
      </c>
      <c r="B40" s="65">
        <v>0.41250799999999999</v>
      </c>
      <c r="C40" s="65">
        <v>0.182754</v>
      </c>
      <c r="D40" s="65">
        <v>0.44303100000000001</v>
      </c>
      <c r="E40" s="65">
        <v>0</v>
      </c>
      <c r="F40" s="65">
        <v>0.13236700000000001</v>
      </c>
      <c r="G40" s="65">
        <v>0</v>
      </c>
      <c r="H40" s="65">
        <v>0.88596200000000003</v>
      </c>
    </row>
    <row r="41" spans="1:8">
      <c r="A41" s="89" t="s">
        <v>392</v>
      </c>
      <c r="B41" s="65">
        <v>-7.9931000000000002E-2</v>
      </c>
      <c r="C41" s="65">
        <v>0.36209000000000002</v>
      </c>
      <c r="D41" s="65">
        <v>-4.53003</v>
      </c>
      <c r="E41" s="65">
        <v>0</v>
      </c>
      <c r="F41" s="65">
        <v>-0.75</v>
      </c>
      <c r="G41" s="65">
        <v>0</v>
      </c>
      <c r="H41" s="65">
        <v>1</v>
      </c>
    </row>
    <row r="42" spans="1:8">
      <c r="A42" s="89" t="s">
        <v>338</v>
      </c>
      <c r="B42" s="65">
        <v>-5.5855299999999997E-2</v>
      </c>
      <c r="C42" s="65">
        <v>6.2701499999999993E-2</v>
      </c>
      <c r="D42" s="65">
        <v>-1.1225700000000001</v>
      </c>
      <c r="E42" s="65">
        <v>0</v>
      </c>
      <c r="F42" s="65">
        <v>-0.23910400000000001</v>
      </c>
      <c r="G42" s="65">
        <v>0</v>
      </c>
      <c r="H42" s="65">
        <v>0.105486</v>
      </c>
    </row>
    <row r="43" spans="1:8">
      <c r="A43" s="89" t="s">
        <v>339</v>
      </c>
      <c r="B43" s="65">
        <v>7.9091200000000004E-3</v>
      </c>
      <c r="C43" s="65">
        <v>2.7064399999999999E-2</v>
      </c>
      <c r="D43" s="65">
        <v>3.4219300000000001</v>
      </c>
      <c r="E43" s="65">
        <v>0</v>
      </c>
      <c r="F43" s="65">
        <v>-1.7277600000000001E-2</v>
      </c>
      <c r="G43" s="65">
        <v>0</v>
      </c>
      <c r="H43" s="65">
        <v>0.11451600000000001</v>
      </c>
    </row>
    <row r="44" spans="1:8">
      <c r="A44" s="89" t="s">
        <v>340</v>
      </c>
      <c r="B44" s="65">
        <v>-3.3102800000000001</v>
      </c>
      <c r="C44" s="65">
        <v>6.37887</v>
      </c>
      <c r="D44" s="65">
        <v>-1.9269799999999999</v>
      </c>
      <c r="E44" s="65">
        <v>0</v>
      </c>
      <c r="F44" s="65">
        <v>-14.709</v>
      </c>
      <c r="G44" s="65">
        <v>0</v>
      </c>
      <c r="H44" s="65">
        <v>6.2548700000000004</v>
      </c>
    </row>
    <row r="45" spans="1:8">
      <c r="A45" s="89" t="s">
        <v>341</v>
      </c>
      <c r="B45" s="65">
        <v>61.977800000000002</v>
      </c>
      <c r="C45" s="65">
        <v>9.2001799999999996</v>
      </c>
      <c r="D45" s="65">
        <v>0.14844299999999999</v>
      </c>
      <c r="E45" s="65">
        <v>0</v>
      </c>
      <c r="F45" s="65">
        <v>44.122399999999999</v>
      </c>
      <c r="G45" s="65">
        <v>0</v>
      </c>
      <c r="H45" s="65">
        <v>85.630099999999999</v>
      </c>
    </row>
    <row r="46" spans="1:8">
      <c r="A46" s="89" t="s">
        <v>342</v>
      </c>
      <c r="B46" s="65">
        <v>22.240500000000001</v>
      </c>
      <c r="C46" s="65">
        <v>8.9369599999999991</v>
      </c>
      <c r="D46" s="65">
        <v>0.40183200000000002</v>
      </c>
      <c r="E46" s="65">
        <v>0</v>
      </c>
      <c r="F46" s="65">
        <v>7.2420600000000004</v>
      </c>
      <c r="G46" s="65">
        <v>0</v>
      </c>
      <c r="H46" s="65">
        <v>36.676200000000001</v>
      </c>
    </row>
    <row r="47" spans="1:8">
      <c r="A47" s="89" t="s">
        <v>343</v>
      </c>
      <c r="B47" s="65">
        <v>0.58820499999999998</v>
      </c>
      <c r="C47" s="65">
        <v>9.5754699999999998E-2</v>
      </c>
      <c r="D47" s="65">
        <v>0.16279099999999999</v>
      </c>
      <c r="E47" s="65">
        <v>0</v>
      </c>
      <c r="F47" s="65">
        <v>0.40290599999999999</v>
      </c>
      <c r="G47" s="65">
        <v>0</v>
      </c>
      <c r="H47" s="65">
        <v>0.88038099999999997</v>
      </c>
    </row>
    <row r="48" spans="1:8">
      <c r="A48" s="89" t="s">
        <v>344</v>
      </c>
      <c r="B48" s="65">
        <v>0.72989199999999999</v>
      </c>
      <c r="C48" s="65">
        <v>6.1890199999999999E-2</v>
      </c>
      <c r="D48" s="65">
        <v>8.4793599999999997E-2</v>
      </c>
      <c r="E48" s="65">
        <v>0</v>
      </c>
      <c r="F48" s="65">
        <v>0.64605900000000005</v>
      </c>
      <c r="G48" s="65">
        <v>0</v>
      </c>
      <c r="H48" s="65">
        <v>0.90606200000000003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H48"/>
  <sheetViews>
    <sheetView workbookViewId="0"/>
  </sheetViews>
  <sheetFormatPr defaultRowHeight="14"/>
  <cols>
    <col min="1" max="1" width="20.90625" customWidth="1"/>
  </cols>
  <sheetData>
    <row r="1" spans="1:8">
      <c r="A1" s="89" t="s">
        <v>345</v>
      </c>
      <c r="B1" s="89" t="s">
        <v>347</v>
      </c>
      <c r="C1" s="89" t="s">
        <v>348</v>
      </c>
      <c r="D1" s="89" t="s">
        <v>349</v>
      </c>
      <c r="E1" s="89" t="s">
        <v>350</v>
      </c>
      <c r="F1" s="89" t="s">
        <v>351</v>
      </c>
      <c r="G1" s="89" t="s">
        <v>352</v>
      </c>
      <c r="H1" s="89" t="s">
        <v>353</v>
      </c>
    </row>
    <row r="2" spans="1:8">
      <c r="A2" s="89" t="s">
        <v>346</v>
      </c>
      <c r="B2" s="65">
        <v>0</v>
      </c>
      <c r="C2" s="65">
        <v>0</v>
      </c>
      <c r="D2" s="65">
        <v>0</v>
      </c>
      <c r="E2" s="65">
        <v>0</v>
      </c>
      <c r="F2" s="65">
        <v>0</v>
      </c>
      <c r="G2" s="65">
        <v>0</v>
      </c>
      <c r="H2" s="65">
        <v>0</v>
      </c>
    </row>
    <row r="3" spans="1:8">
      <c r="A3" s="89" t="s">
        <v>354</v>
      </c>
      <c r="B3" s="65">
        <v>0</v>
      </c>
      <c r="C3" s="65">
        <v>0</v>
      </c>
      <c r="D3" s="65">
        <v>0</v>
      </c>
      <c r="E3" s="65">
        <v>0</v>
      </c>
      <c r="F3" s="65">
        <v>0</v>
      </c>
      <c r="G3" s="65">
        <v>0</v>
      </c>
      <c r="H3" s="65">
        <v>0</v>
      </c>
    </row>
    <row r="4" spans="1:8">
      <c r="A4" s="89" t="s">
        <v>355</v>
      </c>
      <c r="B4" s="65">
        <v>0</v>
      </c>
      <c r="C4" s="65">
        <v>0</v>
      </c>
      <c r="D4" s="65">
        <v>0</v>
      </c>
      <c r="E4" s="65">
        <v>0</v>
      </c>
      <c r="F4" s="65">
        <v>0</v>
      </c>
      <c r="G4" s="65">
        <v>0</v>
      </c>
      <c r="H4" s="65">
        <v>0</v>
      </c>
    </row>
    <row r="5" spans="1:8">
      <c r="A5" s="89" t="s">
        <v>356</v>
      </c>
      <c r="B5" s="65">
        <v>50.365299999999998</v>
      </c>
      <c r="C5" s="65">
        <v>3.6370499999999999</v>
      </c>
      <c r="D5" s="65">
        <v>7.2213399999999996</v>
      </c>
      <c r="E5" s="65">
        <v>20</v>
      </c>
      <c r="F5" s="65">
        <v>40.128599999999999</v>
      </c>
      <c r="G5" s="65">
        <v>50</v>
      </c>
      <c r="H5" s="65">
        <v>66.231099999999998</v>
      </c>
    </row>
    <row r="6" spans="1:8">
      <c r="A6" s="89" t="s">
        <v>357</v>
      </c>
      <c r="B6" s="65">
        <v>32.991500000000002</v>
      </c>
      <c r="C6" s="65">
        <v>1.02163</v>
      </c>
      <c r="D6" s="65">
        <v>3.0966499999999999</v>
      </c>
      <c r="E6" s="65">
        <v>20</v>
      </c>
      <c r="F6" s="65">
        <v>30.457899999999999</v>
      </c>
      <c r="G6" s="65">
        <v>40</v>
      </c>
      <c r="H6" s="65">
        <v>34.4099</v>
      </c>
    </row>
    <row r="7" spans="1:8">
      <c r="A7" s="89" t="s">
        <v>358</v>
      </c>
      <c r="B7" s="65">
        <v>31.2423</v>
      </c>
      <c r="C7" s="65">
        <v>4.1553399999999998</v>
      </c>
      <c r="D7" s="65">
        <v>13.3004</v>
      </c>
      <c r="E7" s="65">
        <v>15</v>
      </c>
      <c r="F7" s="65">
        <v>22.6096</v>
      </c>
      <c r="G7" s="65">
        <v>40</v>
      </c>
      <c r="H7" s="65">
        <v>39.2759</v>
      </c>
    </row>
    <row r="8" spans="1:8">
      <c r="A8" s="89" t="s">
        <v>359</v>
      </c>
      <c r="B8" s="65">
        <v>38.5169</v>
      </c>
      <c r="C8" s="65">
        <v>2.5358000000000001</v>
      </c>
      <c r="D8" s="65">
        <v>6.5835900000000001</v>
      </c>
      <c r="E8" s="65">
        <v>20</v>
      </c>
      <c r="F8" s="65">
        <v>32.225900000000003</v>
      </c>
      <c r="G8" s="65">
        <v>50</v>
      </c>
      <c r="H8" s="65">
        <v>40.039299999999997</v>
      </c>
    </row>
    <row r="9" spans="1:8">
      <c r="A9" s="89" t="s">
        <v>360</v>
      </c>
      <c r="B9" s="65">
        <v>39.2849</v>
      </c>
      <c r="C9" s="65">
        <v>4.0240200000000002</v>
      </c>
      <c r="D9" s="65">
        <v>10.2432</v>
      </c>
      <c r="E9" s="65">
        <v>50</v>
      </c>
      <c r="F9" s="65">
        <v>30.043299999999999</v>
      </c>
      <c r="G9" s="65">
        <v>100</v>
      </c>
      <c r="H9" s="65">
        <v>46.500799999999998</v>
      </c>
    </row>
    <row r="10" spans="1:8">
      <c r="A10" s="89" t="s">
        <v>361</v>
      </c>
      <c r="B10" s="65">
        <v>69.220399999999998</v>
      </c>
      <c r="C10" s="65">
        <v>2.9224600000000001</v>
      </c>
      <c r="D10" s="65">
        <v>4.2219600000000002</v>
      </c>
      <c r="E10" s="65">
        <v>40</v>
      </c>
      <c r="F10" s="65">
        <v>61.558999999999997</v>
      </c>
      <c r="G10" s="65">
        <v>100</v>
      </c>
      <c r="H10" s="65">
        <v>71.045500000000004</v>
      </c>
    </row>
    <row r="11" spans="1:8">
      <c r="A11" s="89" t="s">
        <v>362</v>
      </c>
      <c r="B11" s="65">
        <v>19.755500000000001</v>
      </c>
      <c r="C11" s="65">
        <v>0.94395200000000001</v>
      </c>
      <c r="D11" s="65">
        <v>4.7781799999999999</v>
      </c>
      <c r="E11" s="65">
        <v>10</v>
      </c>
      <c r="F11" s="65">
        <v>17.222899999999999</v>
      </c>
      <c r="G11" s="65">
        <v>50</v>
      </c>
      <c r="H11" s="65">
        <v>21.057600000000001</v>
      </c>
    </row>
    <row r="12" spans="1:8">
      <c r="A12" s="89" t="s">
        <v>363</v>
      </c>
      <c r="B12" s="65">
        <v>52.624000000000002</v>
      </c>
      <c r="C12" s="65">
        <v>1.9893799999999999</v>
      </c>
      <c r="D12" s="65">
        <v>3.7803599999999999</v>
      </c>
      <c r="E12" s="65">
        <v>50</v>
      </c>
      <c r="F12" s="65">
        <v>50.451700000000002</v>
      </c>
      <c r="G12" s="65">
        <v>100</v>
      </c>
      <c r="H12" s="65">
        <v>58.197600000000001</v>
      </c>
    </row>
    <row r="13" spans="1:8">
      <c r="A13" s="89" t="s">
        <v>364</v>
      </c>
      <c r="B13" s="65">
        <v>17.501100000000001</v>
      </c>
      <c r="C13" s="65">
        <v>2.06779</v>
      </c>
      <c r="D13" s="65">
        <v>11.815200000000001</v>
      </c>
      <c r="E13" s="65">
        <v>10</v>
      </c>
      <c r="F13" s="65">
        <v>14.9696</v>
      </c>
      <c r="G13" s="65">
        <v>25</v>
      </c>
      <c r="H13" s="65">
        <v>24.1129</v>
      </c>
    </row>
    <row r="14" spans="1:8">
      <c r="A14" s="89" t="s">
        <v>365</v>
      </c>
      <c r="B14" s="65">
        <v>20.677900000000001</v>
      </c>
      <c r="C14" s="65">
        <v>10.769399999999999</v>
      </c>
      <c r="D14" s="65">
        <v>52.082000000000001</v>
      </c>
      <c r="E14" s="65">
        <v>10</v>
      </c>
      <c r="F14" s="65">
        <v>2.7261600000000001</v>
      </c>
      <c r="G14" s="65">
        <v>50</v>
      </c>
      <c r="H14" s="65">
        <v>31.409500000000001</v>
      </c>
    </row>
    <row r="15" spans="1:8">
      <c r="A15" s="89" t="s">
        <v>366</v>
      </c>
      <c r="B15" s="65">
        <v>0</v>
      </c>
      <c r="C15" s="65">
        <v>0</v>
      </c>
      <c r="D15" s="65">
        <v>0</v>
      </c>
      <c r="E15" s="65">
        <v>0</v>
      </c>
      <c r="F15" s="65">
        <v>0</v>
      </c>
      <c r="G15" s="65">
        <v>0</v>
      </c>
      <c r="H15" s="65">
        <v>0</v>
      </c>
    </row>
    <row r="16" spans="1:8">
      <c r="A16" s="89" t="s">
        <v>367</v>
      </c>
      <c r="B16" s="65">
        <v>0</v>
      </c>
      <c r="C16" s="65">
        <v>0</v>
      </c>
      <c r="D16" s="65">
        <v>0</v>
      </c>
      <c r="E16" s="65">
        <v>0</v>
      </c>
      <c r="F16" s="65">
        <v>0</v>
      </c>
      <c r="G16" s="65">
        <v>0</v>
      </c>
      <c r="H16" s="65">
        <v>0</v>
      </c>
    </row>
    <row r="17" spans="1:8">
      <c r="A17" s="89" t="s">
        <v>368</v>
      </c>
      <c r="B17" s="65">
        <v>0</v>
      </c>
      <c r="C17" s="65">
        <v>0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</row>
    <row r="18" spans="1:8">
      <c r="A18" s="89" t="s">
        <v>369</v>
      </c>
      <c r="B18" s="65">
        <v>0.48442600000000002</v>
      </c>
      <c r="C18" s="65">
        <v>6.0892599999999998E-2</v>
      </c>
      <c r="D18" s="65">
        <v>0.12570100000000001</v>
      </c>
      <c r="E18" s="65">
        <v>0</v>
      </c>
      <c r="F18" s="65">
        <v>0.42353400000000002</v>
      </c>
      <c r="G18" s="65">
        <v>0</v>
      </c>
      <c r="H18" s="65">
        <v>0.545319</v>
      </c>
    </row>
    <row r="19" spans="1:8">
      <c r="A19" s="89" t="s">
        <v>370</v>
      </c>
      <c r="B19" s="65">
        <v>0.76106600000000002</v>
      </c>
      <c r="C19" s="65">
        <v>5.7561800000000003E-2</v>
      </c>
      <c r="D19" s="65">
        <v>7.5633199999999998E-2</v>
      </c>
      <c r="E19" s="65">
        <v>0</v>
      </c>
      <c r="F19" s="65">
        <v>0.70350400000000002</v>
      </c>
      <c r="G19" s="65">
        <v>0</v>
      </c>
      <c r="H19" s="65">
        <v>0.81862699999999999</v>
      </c>
    </row>
    <row r="20" spans="1:8">
      <c r="A20" s="89" t="s">
        <v>371</v>
      </c>
      <c r="B20" s="65">
        <v>3.3435600000000002E-3</v>
      </c>
      <c r="C20" s="65">
        <v>7.46022E-3</v>
      </c>
      <c r="D20" s="65">
        <v>2.23122</v>
      </c>
      <c r="E20" s="65">
        <v>0</v>
      </c>
      <c r="F20" s="65">
        <v>9.8878500000000005E-4</v>
      </c>
      <c r="G20" s="65">
        <v>0</v>
      </c>
      <c r="H20" s="65">
        <v>0.12640899999999999</v>
      </c>
    </row>
    <row r="21" spans="1:8">
      <c r="A21" s="89" t="s">
        <v>372</v>
      </c>
      <c r="B21" s="65">
        <v>4.4363899999999998E-2</v>
      </c>
      <c r="C21" s="65">
        <v>5.7014099999999998E-2</v>
      </c>
      <c r="D21" s="65">
        <v>1.28515</v>
      </c>
      <c r="E21" s="65">
        <v>0</v>
      </c>
      <c r="F21" s="65">
        <v>5.3978300000000002E-3</v>
      </c>
      <c r="G21" s="65">
        <v>0</v>
      </c>
      <c r="H21" s="65">
        <v>0.312473</v>
      </c>
    </row>
    <row r="22" spans="1:8">
      <c r="A22" s="89" t="s">
        <v>373</v>
      </c>
      <c r="B22" s="65">
        <v>31.8903</v>
      </c>
      <c r="C22" s="65">
        <v>3.8438500000000002</v>
      </c>
      <c r="D22" s="65">
        <v>0.120533</v>
      </c>
      <c r="E22" s="65">
        <v>0</v>
      </c>
      <c r="F22" s="65">
        <v>23.637499999999999</v>
      </c>
      <c r="G22" s="65">
        <v>0</v>
      </c>
      <c r="H22" s="65">
        <v>40.2742</v>
      </c>
    </row>
    <row r="23" spans="1:8">
      <c r="A23" s="89" t="s">
        <v>374</v>
      </c>
      <c r="B23" s="65">
        <v>16.524799999999999</v>
      </c>
      <c r="C23" s="65">
        <v>0.85522299999999996</v>
      </c>
      <c r="D23" s="65">
        <v>5.1753899999999999E-2</v>
      </c>
      <c r="E23" s="65">
        <v>0</v>
      </c>
      <c r="F23" s="65">
        <v>13.8683</v>
      </c>
      <c r="G23" s="65">
        <v>0</v>
      </c>
      <c r="H23" s="65">
        <v>17.535900000000002</v>
      </c>
    </row>
    <row r="24" spans="1:8">
      <c r="A24" s="89" t="s">
        <v>375</v>
      </c>
      <c r="B24" s="65">
        <v>4.1844899999999999E-3</v>
      </c>
      <c r="C24" s="65">
        <v>3.4113400000000001E-3</v>
      </c>
      <c r="D24" s="65">
        <v>0.81523500000000004</v>
      </c>
      <c r="E24" s="65">
        <v>0</v>
      </c>
      <c r="F24" s="65">
        <v>2.0747399999999998E-3</v>
      </c>
      <c r="G24" s="65">
        <v>0</v>
      </c>
      <c r="H24" s="65">
        <v>2.52176E-2</v>
      </c>
    </row>
    <row r="25" spans="1:8">
      <c r="A25" s="89" t="s">
        <v>376</v>
      </c>
      <c r="B25" s="65">
        <v>5.7904499999999998E-2</v>
      </c>
      <c r="C25" s="65">
        <v>1.6889700000000001E-2</v>
      </c>
      <c r="D25" s="65">
        <v>0.291682</v>
      </c>
      <c r="E25" s="65">
        <v>0</v>
      </c>
      <c r="F25" s="65">
        <v>2.3644100000000001E-2</v>
      </c>
      <c r="G25" s="65">
        <v>0</v>
      </c>
      <c r="H25" s="65">
        <v>0.10881</v>
      </c>
    </row>
    <row r="26" spans="1:8">
      <c r="A26" s="89" t="s">
        <v>377</v>
      </c>
      <c r="B26" s="65">
        <v>6.9590299999999999E-4</v>
      </c>
      <c r="C26" s="65">
        <v>8.6310599999999999E-4</v>
      </c>
      <c r="D26" s="65">
        <v>1.24027</v>
      </c>
      <c r="E26" s="65">
        <v>0</v>
      </c>
      <c r="F26" s="65">
        <v>1.73976E-4</v>
      </c>
      <c r="G26" s="65">
        <v>0</v>
      </c>
      <c r="H26" s="65">
        <v>6.7161199999999999E-3</v>
      </c>
    </row>
    <row r="27" spans="1:8">
      <c r="A27" s="89" t="s">
        <v>378</v>
      </c>
      <c r="B27" s="90">
        <v>-4.9238399999999996E-6</v>
      </c>
      <c r="C27" s="65">
        <v>8.4584299999999999E-4</v>
      </c>
      <c r="D27" s="65">
        <v>-171.785</v>
      </c>
      <c r="E27" s="65">
        <v>0</v>
      </c>
      <c r="F27" s="65">
        <v>-5.6099000000000001E-3</v>
      </c>
      <c r="G27" s="65">
        <v>0</v>
      </c>
      <c r="H27" s="65">
        <v>4.8910200000000003E-3</v>
      </c>
    </row>
    <row r="28" spans="1:8">
      <c r="A28" s="89" t="s">
        <v>379</v>
      </c>
      <c r="B28" s="65">
        <v>8.8834599999999993E-3</v>
      </c>
      <c r="C28" s="65">
        <v>7.3913900000000003E-3</v>
      </c>
      <c r="D28" s="65">
        <v>0.83204</v>
      </c>
      <c r="E28" s="65">
        <v>0</v>
      </c>
      <c r="F28" s="65">
        <v>1.0937500000000001E-3</v>
      </c>
      <c r="G28" s="65">
        <v>0</v>
      </c>
      <c r="H28" s="65">
        <v>3.4303399999999998E-2</v>
      </c>
    </row>
    <row r="29" spans="1:8">
      <c r="A29" s="89" t="s">
        <v>380</v>
      </c>
      <c r="B29" s="65">
        <v>88.398499999999999</v>
      </c>
      <c r="C29" s="65">
        <v>9.9490499999999997</v>
      </c>
      <c r="D29" s="65">
        <v>0.112548</v>
      </c>
      <c r="E29" s="65">
        <v>0</v>
      </c>
      <c r="F29" s="65">
        <v>61.119799999999998</v>
      </c>
      <c r="G29" s="65">
        <v>0</v>
      </c>
      <c r="H29" s="65">
        <v>106.81399999999999</v>
      </c>
    </row>
    <row r="30" spans="1:8">
      <c r="A30" s="89" t="s">
        <v>381</v>
      </c>
      <c r="B30" s="65">
        <v>36.312199999999997</v>
      </c>
      <c r="C30" s="65">
        <v>2.5917699999999999</v>
      </c>
      <c r="D30" s="65">
        <v>7.1374599999999996E-2</v>
      </c>
      <c r="E30" s="65">
        <v>0</v>
      </c>
      <c r="F30" s="65">
        <v>28.310500000000001</v>
      </c>
      <c r="G30" s="65">
        <v>0</v>
      </c>
      <c r="H30" s="65">
        <v>38.011899999999997</v>
      </c>
    </row>
    <row r="31" spans="1:8">
      <c r="A31" s="89" t="s">
        <v>382</v>
      </c>
      <c r="B31" s="65">
        <v>132.416</v>
      </c>
      <c r="C31" s="65">
        <v>7.25509</v>
      </c>
      <c r="D31" s="65">
        <v>5.47903E-2</v>
      </c>
      <c r="E31" s="65">
        <v>0</v>
      </c>
      <c r="F31" s="65">
        <v>111.67700000000001</v>
      </c>
      <c r="G31" s="65">
        <v>0</v>
      </c>
      <c r="H31" s="65">
        <v>146.47399999999999</v>
      </c>
    </row>
    <row r="32" spans="1:8">
      <c r="A32" s="89" t="s">
        <v>383</v>
      </c>
      <c r="B32" s="65">
        <v>0.31242300000000001</v>
      </c>
      <c r="C32" s="65">
        <v>4.1553399999999997E-2</v>
      </c>
      <c r="D32" s="65">
        <v>0.13300400000000001</v>
      </c>
      <c r="E32" s="65">
        <v>0.15</v>
      </c>
      <c r="F32" s="65">
        <v>0.22609599999999999</v>
      </c>
      <c r="G32" s="65">
        <v>0.4</v>
      </c>
      <c r="H32" s="65">
        <v>0.39275900000000002</v>
      </c>
    </row>
    <row r="33" spans="1:8">
      <c r="A33" s="89" t="s">
        <v>384</v>
      </c>
      <c r="B33" s="65">
        <v>0.45670100000000002</v>
      </c>
      <c r="C33" s="65">
        <v>5.9787E-2</v>
      </c>
      <c r="D33" s="65">
        <v>0.13091</v>
      </c>
      <c r="E33" s="65">
        <v>0</v>
      </c>
      <c r="F33" s="65">
        <v>0.38317699999999999</v>
      </c>
      <c r="G33" s="65">
        <v>0</v>
      </c>
      <c r="H33" s="65">
        <v>0.55156400000000005</v>
      </c>
    </row>
    <row r="34" spans="1:8">
      <c r="A34" s="89" t="s">
        <v>385</v>
      </c>
      <c r="B34" s="65">
        <v>0.175011</v>
      </c>
      <c r="C34" s="65">
        <v>2.0677899999999999E-2</v>
      </c>
      <c r="D34" s="65">
        <v>0.11815199999999999</v>
      </c>
      <c r="E34" s="65">
        <v>0.1</v>
      </c>
      <c r="F34" s="65">
        <v>0.149696</v>
      </c>
      <c r="G34" s="65">
        <v>0.25</v>
      </c>
      <c r="H34" s="65">
        <v>0.24112900000000001</v>
      </c>
    </row>
    <row r="35" spans="1:8">
      <c r="A35" s="89" t="s">
        <v>386</v>
      </c>
      <c r="B35" s="65">
        <v>6.4760100000000001E-2</v>
      </c>
      <c r="C35" s="65">
        <v>2.15283E-2</v>
      </c>
      <c r="D35" s="65">
        <v>0.33243200000000001</v>
      </c>
      <c r="E35" s="65">
        <v>0</v>
      </c>
      <c r="F35" s="65">
        <v>3.9708E-2</v>
      </c>
      <c r="G35" s="65">
        <v>0</v>
      </c>
      <c r="H35" s="65">
        <v>0.11357299999999999</v>
      </c>
    </row>
    <row r="36" spans="1:8">
      <c r="A36" s="89" t="s">
        <v>387</v>
      </c>
      <c r="B36" s="65">
        <v>0.17538200000000001</v>
      </c>
      <c r="C36" s="65">
        <v>8.2148200000000005E-2</v>
      </c>
      <c r="D36" s="65">
        <v>0.46839500000000001</v>
      </c>
      <c r="E36" s="65">
        <v>0</v>
      </c>
      <c r="F36" s="65">
        <v>4.52556E-2</v>
      </c>
      <c r="G36" s="65">
        <v>0</v>
      </c>
      <c r="H36" s="65">
        <v>0.41425800000000002</v>
      </c>
    </row>
    <row r="37" spans="1:8">
      <c r="A37" s="89" t="s">
        <v>388</v>
      </c>
      <c r="B37" s="65">
        <v>0.20677899999999999</v>
      </c>
      <c r="C37" s="65">
        <v>0.107694</v>
      </c>
      <c r="D37" s="65">
        <v>0.52081999999999995</v>
      </c>
      <c r="E37" s="65">
        <v>0.1</v>
      </c>
      <c r="F37" s="65">
        <v>2.72616E-2</v>
      </c>
      <c r="G37" s="65">
        <v>0.5</v>
      </c>
      <c r="H37" s="65">
        <v>0.31409500000000001</v>
      </c>
    </row>
    <row r="38" spans="1:8">
      <c r="A38" s="89" t="s">
        <v>389</v>
      </c>
      <c r="B38" s="65">
        <v>-1.1673199999999999</v>
      </c>
      <c r="C38" s="65">
        <v>35.536499999999997</v>
      </c>
      <c r="D38" s="65">
        <v>-30.442699999999999</v>
      </c>
      <c r="E38" s="65">
        <v>0</v>
      </c>
      <c r="F38" s="65">
        <v>-152.631</v>
      </c>
      <c r="G38" s="65">
        <v>0</v>
      </c>
      <c r="H38" s="65">
        <v>169.81700000000001</v>
      </c>
    </row>
    <row r="39" spans="1:8">
      <c r="A39" s="89" t="s">
        <v>390</v>
      </c>
      <c r="B39" s="65">
        <v>0.92402700000000004</v>
      </c>
      <c r="C39" s="65">
        <v>3.3611499999999999</v>
      </c>
      <c r="D39" s="65">
        <v>3.6375000000000002</v>
      </c>
      <c r="E39" s="65">
        <v>0</v>
      </c>
      <c r="F39" s="65">
        <v>-3.2843900000000001</v>
      </c>
      <c r="G39" s="65">
        <v>0</v>
      </c>
      <c r="H39" s="65">
        <v>10.466799999999999</v>
      </c>
    </row>
    <row r="40" spans="1:8">
      <c r="A40" s="89" t="s">
        <v>391</v>
      </c>
      <c r="B40" s="65">
        <v>-0.50780000000000003</v>
      </c>
      <c r="C40" s="65">
        <v>0.30963200000000002</v>
      </c>
      <c r="D40" s="65">
        <v>-0.60975199999999996</v>
      </c>
      <c r="E40" s="65">
        <v>0</v>
      </c>
      <c r="F40" s="65">
        <v>-1.1064499999999999</v>
      </c>
      <c r="G40" s="65">
        <v>0</v>
      </c>
      <c r="H40" s="65">
        <v>8.4740099999999999E-2</v>
      </c>
    </row>
    <row r="41" spans="1:8">
      <c r="A41" s="89" t="s">
        <v>392</v>
      </c>
      <c r="B41" s="65">
        <v>-8.4337300000000004E-2</v>
      </c>
      <c r="C41" s="65">
        <v>0.22221399999999999</v>
      </c>
      <c r="D41" s="65">
        <v>-2.6348199999999999</v>
      </c>
      <c r="E41" s="65">
        <v>0</v>
      </c>
      <c r="F41" s="65">
        <v>-0.59036100000000002</v>
      </c>
      <c r="G41" s="65">
        <v>0</v>
      </c>
      <c r="H41" s="65">
        <v>0.68421100000000001</v>
      </c>
    </row>
    <row r="42" spans="1:8">
      <c r="A42" s="89" t="s">
        <v>338</v>
      </c>
      <c r="B42" s="65">
        <v>-4.0716500000000003E-2</v>
      </c>
      <c r="C42" s="65">
        <v>9.5388899999999999E-2</v>
      </c>
      <c r="D42" s="65">
        <v>-2.3427600000000002</v>
      </c>
      <c r="E42" s="65">
        <v>0</v>
      </c>
      <c r="F42" s="65">
        <v>-0.11623600000000001</v>
      </c>
      <c r="G42" s="65">
        <v>0</v>
      </c>
      <c r="H42" s="65">
        <v>0.25</v>
      </c>
    </row>
    <row r="43" spans="1:8">
      <c r="A43" s="89" t="s">
        <v>339</v>
      </c>
      <c r="B43" s="65">
        <v>-4.9901000000000001E-2</v>
      </c>
      <c r="C43" s="65">
        <v>2.4628299999999999E-2</v>
      </c>
      <c r="D43" s="65">
        <v>-0.49354399999999998</v>
      </c>
      <c r="E43" s="65">
        <v>0</v>
      </c>
      <c r="F43" s="65">
        <v>-0.10111199999999999</v>
      </c>
      <c r="G43" s="65">
        <v>0</v>
      </c>
      <c r="H43" s="65">
        <v>-9.3250199999999998E-3</v>
      </c>
    </row>
    <row r="44" spans="1:8">
      <c r="A44" s="89" t="s">
        <v>340</v>
      </c>
      <c r="B44" s="65">
        <v>-2.8837299999999999</v>
      </c>
      <c r="C44" s="65">
        <v>4.44177</v>
      </c>
      <c r="D44" s="65">
        <v>-1.5402899999999999</v>
      </c>
      <c r="E44" s="65">
        <v>0</v>
      </c>
      <c r="F44" s="65">
        <v>-10.4899</v>
      </c>
      <c r="G44" s="65">
        <v>0</v>
      </c>
      <c r="H44" s="65">
        <v>9.6836699999999993</v>
      </c>
    </row>
    <row r="45" spans="1:8">
      <c r="A45" s="89" t="s">
        <v>341</v>
      </c>
      <c r="B45" s="65">
        <v>66.474800000000002</v>
      </c>
      <c r="C45" s="65">
        <v>6.0921099999999999</v>
      </c>
      <c r="D45" s="65">
        <v>9.1645400000000002E-2</v>
      </c>
      <c r="E45" s="65">
        <v>0</v>
      </c>
      <c r="F45" s="65">
        <v>57.760199999999998</v>
      </c>
      <c r="G45" s="65">
        <v>0</v>
      </c>
      <c r="H45" s="65">
        <v>83.845799999999997</v>
      </c>
    </row>
    <row r="46" spans="1:8">
      <c r="A46" s="89" t="s">
        <v>342</v>
      </c>
      <c r="B46" s="65">
        <v>45.114199999999997</v>
      </c>
      <c r="C46" s="65">
        <v>2.0341300000000002</v>
      </c>
      <c r="D46" s="65">
        <v>4.5088499999999997E-2</v>
      </c>
      <c r="E46" s="65">
        <v>0</v>
      </c>
      <c r="F46" s="65">
        <v>37.756999999999998</v>
      </c>
      <c r="G46" s="65">
        <v>0</v>
      </c>
      <c r="H46" s="65">
        <v>46.368000000000002</v>
      </c>
    </row>
    <row r="47" spans="1:8">
      <c r="A47" s="89" t="s">
        <v>343</v>
      </c>
      <c r="B47" s="65">
        <v>0.62168000000000001</v>
      </c>
      <c r="C47" s="65">
        <v>0.22814100000000001</v>
      </c>
      <c r="D47" s="65">
        <v>0.36697600000000002</v>
      </c>
      <c r="E47" s="65">
        <v>0</v>
      </c>
      <c r="F47" s="65">
        <v>0.44086900000000001</v>
      </c>
      <c r="G47" s="65">
        <v>0</v>
      </c>
      <c r="H47" s="65">
        <v>1.43018</v>
      </c>
    </row>
    <row r="48" spans="1:8">
      <c r="A48" s="89" t="s">
        <v>344</v>
      </c>
      <c r="B48" s="65">
        <v>0.67340500000000003</v>
      </c>
      <c r="C48" s="65">
        <v>5.1241399999999999E-2</v>
      </c>
      <c r="D48" s="65">
        <v>7.6092999999999994E-2</v>
      </c>
      <c r="E48" s="65">
        <v>0</v>
      </c>
      <c r="F48" s="65">
        <v>0.56251799999999996</v>
      </c>
      <c r="G48" s="65">
        <v>0</v>
      </c>
      <c r="H48" s="65">
        <v>0.73289599999999999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L257"/>
  <sheetViews>
    <sheetView workbookViewId="0">
      <selection activeCell="G1" sqref="G1:L1048576"/>
    </sheetView>
  </sheetViews>
  <sheetFormatPr defaultRowHeight="14"/>
  <cols>
    <col min="14" max="14" width="10.26953125" bestFit="1" customWidth="1"/>
  </cols>
  <sheetData>
    <row r="1" spans="1:12">
      <c r="A1" s="89" t="s">
        <v>393</v>
      </c>
      <c r="B1" s="89" t="s">
        <v>394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0">
        <f ca="1">SUM(H2:H257)/SUM(D2:D257)</f>
        <v>83.647146165804813</v>
      </c>
    </row>
    <row r="2" spans="1:12">
      <c r="A2" s="59">
        <v>0</v>
      </c>
      <c r="B2" s="65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0">
        <f ca="1">L1*info!L2/255</f>
        <v>1.6044834746698082</v>
      </c>
    </row>
    <row r="3" spans="1:12">
      <c r="A3" s="65">
        <v>0</v>
      </c>
      <c r="B3" s="65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0">
        <f ca="1">SQRT(SUM(I2:I257)/SUM(D2:D257))*info!L2/255</f>
        <v>0.91967222803823834</v>
      </c>
    </row>
    <row r="4" spans="1:12">
      <c r="A4" s="65">
        <v>0</v>
      </c>
      <c r="B4" s="65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5">
        <v>0</v>
      </c>
      <c r="B5" s="65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5">
        <v>0</v>
      </c>
      <c r="B6" s="65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5">
        <v>0</v>
      </c>
      <c r="B7" s="65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5">
        <v>4322</v>
      </c>
      <c r="B8" s="65">
        <v>4322</v>
      </c>
      <c r="D8">
        <f t="shared" si="0"/>
        <v>6.0311745579883058E-2</v>
      </c>
      <c r="E8">
        <f t="shared" si="0"/>
        <v>6.0311745579883058E-2</v>
      </c>
      <c r="G8">
        <f t="shared" ca="1" si="1"/>
        <v>6</v>
      </c>
      <c r="H8">
        <f t="shared" ca="1" si="2"/>
        <v>0.36187047347929835</v>
      </c>
      <c r="I8">
        <f t="shared" ca="1" si="3"/>
        <v>363.6242972865694</v>
      </c>
    </row>
    <row r="9" spans="1:12">
      <c r="A9" s="65">
        <v>0</v>
      </c>
      <c r="B9" s="65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5">
        <v>10476</v>
      </c>
      <c r="B10" s="65">
        <v>10476</v>
      </c>
      <c r="D10">
        <f t="shared" si="0"/>
        <v>0.14618830326118809</v>
      </c>
      <c r="E10">
        <f t="shared" si="0"/>
        <v>0.14618830326118809</v>
      </c>
      <c r="G10">
        <f t="shared" ca="1" si="1"/>
        <v>8</v>
      </c>
      <c r="H10">
        <f t="shared" ca="1" si="2"/>
        <v>1.1695064260895047</v>
      </c>
      <c r="I10">
        <f t="shared" ca="1" si="3"/>
        <v>836.56120922773846</v>
      </c>
    </row>
    <row r="11" spans="1:12">
      <c r="A11" s="65">
        <v>0</v>
      </c>
      <c r="B11" s="65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5">
        <v>0</v>
      </c>
      <c r="B12" s="65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5">
        <v>15505</v>
      </c>
      <c r="B13" s="65">
        <v>15505</v>
      </c>
      <c r="D13">
        <f t="shared" si="0"/>
        <v>0.21636594521427277</v>
      </c>
      <c r="E13">
        <f t="shared" si="0"/>
        <v>0.21636594521427277</v>
      </c>
      <c r="G13">
        <f t="shared" ca="1" si="1"/>
        <v>11</v>
      </c>
      <c r="H13">
        <f t="shared" ca="1" si="2"/>
        <v>2.3800253973570005</v>
      </c>
      <c r="I13">
        <f t="shared" ca="1" si="3"/>
        <v>1141.8946100777998</v>
      </c>
    </row>
    <row r="14" spans="1:12">
      <c r="A14" s="65">
        <v>0</v>
      </c>
      <c r="B14" s="65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5">
        <v>18019</v>
      </c>
      <c r="B15" s="65">
        <v>18019</v>
      </c>
      <c r="D15">
        <f t="shared" si="0"/>
        <v>0.25144778889493585</v>
      </c>
      <c r="E15">
        <f t="shared" si="0"/>
        <v>0.25144778889493585</v>
      </c>
      <c r="G15">
        <f t="shared" ca="1" si="1"/>
        <v>13</v>
      </c>
      <c r="H15">
        <f t="shared" ca="1" si="2"/>
        <v>3.2688212556341663</v>
      </c>
      <c r="I15">
        <f t="shared" ca="1" si="3"/>
        <v>1254.9807576041735</v>
      </c>
    </row>
    <row r="16" spans="1:12">
      <c r="A16" s="65">
        <v>0</v>
      </c>
      <c r="B16" s="65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5">
        <v>0</v>
      </c>
      <c r="B17" s="65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5">
        <v>24448</v>
      </c>
      <c r="B18" s="65">
        <v>24448</v>
      </c>
      <c r="D18">
        <f t="shared" si="0"/>
        <v>0.34116185930980591</v>
      </c>
      <c r="E18">
        <f t="shared" si="0"/>
        <v>0.34116185930980591</v>
      </c>
      <c r="G18">
        <f t="shared" ca="1" si="1"/>
        <v>16</v>
      </c>
      <c r="H18">
        <f t="shared" ca="1" si="2"/>
        <v>5.4585897489568946</v>
      </c>
      <c r="I18">
        <f t="shared" ca="1" si="3"/>
        <v>1561.2031973495696</v>
      </c>
    </row>
    <row r="19" spans="1:9">
      <c r="A19" s="65">
        <v>0</v>
      </c>
      <c r="B19" s="65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5">
        <v>0</v>
      </c>
      <c r="B20" s="65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5">
        <v>32695</v>
      </c>
      <c r="B21" s="65">
        <v>32695</v>
      </c>
      <c r="D21">
        <f t="shared" si="0"/>
        <v>0.45624537754148003</v>
      </c>
      <c r="E21">
        <f t="shared" si="0"/>
        <v>0.45624537754148003</v>
      </c>
      <c r="G21">
        <f t="shared" ca="1" si="1"/>
        <v>19</v>
      </c>
      <c r="H21">
        <f t="shared" ca="1" si="2"/>
        <v>8.6686621732881211</v>
      </c>
      <c r="I21">
        <f t="shared" ca="1" si="3"/>
        <v>1906.7650943174806</v>
      </c>
    </row>
    <row r="22" spans="1:9">
      <c r="A22" s="65">
        <v>0</v>
      </c>
      <c r="B22" s="65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5">
        <v>36507</v>
      </c>
      <c r="B23" s="65">
        <v>36507</v>
      </c>
      <c r="D23">
        <f t="shared" si="0"/>
        <v>0.50944028132456987</v>
      </c>
      <c r="E23">
        <f t="shared" si="0"/>
        <v>0.50944028132456987</v>
      </c>
      <c r="G23">
        <f t="shared" ca="1" si="1"/>
        <v>21</v>
      </c>
      <c r="H23">
        <f t="shared" ca="1" si="2"/>
        <v>10.698245907815966</v>
      </c>
      <c r="I23">
        <f t="shared" ca="1" si="3"/>
        <v>1999.3824023350016</v>
      </c>
    </row>
    <row r="24" spans="1:9">
      <c r="A24" s="65">
        <v>0</v>
      </c>
      <c r="B24" s="65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5">
        <v>0</v>
      </c>
      <c r="B25" s="65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5">
        <v>36438</v>
      </c>
      <c r="B26" s="65">
        <v>36438</v>
      </c>
      <c r="D26">
        <f t="shared" si="0"/>
        <v>0.50847741449323902</v>
      </c>
      <c r="E26">
        <f t="shared" si="0"/>
        <v>0.50847741449323902</v>
      </c>
      <c r="G26">
        <f t="shared" ca="1" si="1"/>
        <v>24</v>
      </c>
      <c r="H26">
        <f t="shared" ca="1" si="2"/>
        <v>12.203457947837737</v>
      </c>
      <c r="I26">
        <f t="shared" ca="1" si="3"/>
        <v>1809.0518159406554</v>
      </c>
    </row>
    <row r="27" spans="1:9">
      <c r="A27" s="65">
        <v>0</v>
      </c>
      <c r="B27" s="65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5">
        <v>45866</v>
      </c>
      <c r="B28" s="65">
        <v>45866</v>
      </c>
      <c r="D28">
        <f t="shared" si="0"/>
        <v>0.64004130559160488</v>
      </c>
      <c r="E28">
        <f t="shared" si="0"/>
        <v>0.64004130559160488</v>
      </c>
      <c r="G28">
        <f t="shared" ca="1" si="1"/>
        <v>26</v>
      </c>
      <c r="H28">
        <f t="shared" ca="1" si="2"/>
        <v>16.641073945381727</v>
      </c>
      <c r="I28">
        <f t="shared" ca="1" si="3"/>
        <v>2126.981081551392</v>
      </c>
    </row>
    <row r="29" spans="1:9">
      <c r="A29" s="65">
        <v>0</v>
      </c>
      <c r="B29" s="65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5">
        <v>0</v>
      </c>
      <c r="B30" s="65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5">
        <v>53738</v>
      </c>
      <c r="B31" s="65">
        <v>53738</v>
      </c>
      <c r="D31">
        <f t="shared" si="0"/>
        <v>0.74989185191387231</v>
      </c>
      <c r="E31">
        <f t="shared" si="0"/>
        <v>0.74989185191387231</v>
      </c>
      <c r="G31">
        <f t="shared" ca="1" si="1"/>
        <v>29</v>
      </c>
      <c r="H31">
        <f t="shared" ca="1" si="2"/>
        <v>21.746863705502296</v>
      </c>
      <c r="I31">
        <f t="shared" ca="1" si="3"/>
        <v>2239.4099742758772</v>
      </c>
    </row>
    <row r="32" spans="1:9">
      <c r="A32" s="65">
        <v>0</v>
      </c>
      <c r="B32" s="65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5">
        <v>53551</v>
      </c>
      <c r="B33" s="65">
        <v>53551</v>
      </c>
      <c r="D33">
        <f t="shared" si="0"/>
        <v>0.74728234325504805</v>
      </c>
      <c r="E33">
        <f t="shared" si="0"/>
        <v>0.74728234325504805</v>
      </c>
      <c r="G33">
        <f t="shared" ca="1" si="1"/>
        <v>31</v>
      </c>
      <c r="H33">
        <f t="shared" ca="1" si="2"/>
        <v>23.16575264090649</v>
      </c>
      <c r="I33">
        <f t="shared" ca="1" si="3"/>
        <v>2071.2589105659013</v>
      </c>
    </row>
    <row r="34" spans="1:9">
      <c r="A34" s="65">
        <v>0</v>
      </c>
      <c r="B34" s="65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5">
        <v>0</v>
      </c>
      <c r="B35" s="65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5">
        <v>57255</v>
      </c>
      <c r="B36" s="65">
        <v>57255</v>
      </c>
      <c r="D36">
        <f t="shared" si="0"/>
        <v>0.79897015112822878</v>
      </c>
      <c r="E36">
        <f t="shared" si="0"/>
        <v>0.79897015112822878</v>
      </c>
      <c r="G36">
        <f t="shared" ca="1" si="1"/>
        <v>34</v>
      </c>
      <c r="H36">
        <f t="shared" ca="1" si="2"/>
        <v>27.164985138359778</v>
      </c>
      <c r="I36">
        <f t="shared" ca="1" si="3"/>
        <v>1969.3328861377199</v>
      </c>
    </row>
    <row r="37" spans="1:9">
      <c r="A37" s="65">
        <v>0</v>
      </c>
      <c r="B37" s="65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5">
        <v>0</v>
      </c>
      <c r="B38" s="65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5">
        <v>59866</v>
      </c>
      <c r="B39" s="65">
        <v>59866</v>
      </c>
      <c r="D39">
        <f t="shared" si="0"/>
        <v>0.83540559020945837</v>
      </c>
      <c r="E39">
        <f t="shared" si="0"/>
        <v>0.83540559020945837</v>
      </c>
      <c r="G39">
        <f t="shared" ca="1" si="1"/>
        <v>37</v>
      </c>
      <c r="H39">
        <f t="shared" ca="1" si="2"/>
        <v>30.910006837749961</v>
      </c>
      <c r="I39">
        <f t="shared" ca="1" si="3"/>
        <v>1817.8060114700052</v>
      </c>
    </row>
    <row r="40" spans="1:9">
      <c r="A40" s="65">
        <v>0</v>
      </c>
      <c r="B40" s="65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5">
        <v>62645</v>
      </c>
      <c r="B41" s="65">
        <v>62645</v>
      </c>
      <c r="D41">
        <f t="shared" si="0"/>
        <v>0.87418540070610229</v>
      </c>
      <c r="E41">
        <f t="shared" si="0"/>
        <v>0.87418540070610229</v>
      </c>
      <c r="G41">
        <f t="shared" ca="1" si="1"/>
        <v>39</v>
      </c>
      <c r="H41">
        <f t="shared" ca="1" si="2"/>
        <v>34.093230627537991</v>
      </c>
      <c r="I41">
        <f t="shared" ca="1" si="3"/>
        <v>1742.5729072679708</v>
      </c>
    </row>
    <row r="42" spans="1:9">
      <c r="A42" s="65">
        <v>0</v>
      </c>
      <c r="B42" s="65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5">
        <v>0</v>
      </c>
      <c r="B43" s="65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5">
        <v>62970</v>
      </c>
      <c r="B44" s="65">
        <v>62970</v>
      </c>
      <c r="D44">
        <f t="shared" si="0"/>
        <v>0.87872064302758823</v>
      </c>
      <c r="E44">
        <f t="shared" si="0"/>
        <v>0.87872064302758823</v>
      </c>
      <c r="G44">
        <f t="shared" ca="1" si="1"/>
        <v>42</v>
      </c>
      <c r="H44">
        <f t="shared" ca="1" si="2"/>
        <v>36.906267007158704</v>
      </c>
      <c r="I44">
        <f t="shared" ca="1" si="3"/>
        <v>1524.1275845035609</v>
      </c>
    </row>
    <row r="45" spans="1:9">
      <c r="A45" s="65">
        <v>0</v>
      </c>
      <c r="B45" s="65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5">
        <v>61944</v>
      </c>
      <c r="B46" s="65">
        <v>61944</v>
      </c>
      <c r="D46">
        <f t="shared" si="0"/>
        <v>0.86440323188345125</v>
      </c>
      <c r="E46">
        <f t="shared" si="0"/>
        <v>0.86440323188345125</v>
      </c>
      <c r="G46">
        <f t="shared" ca="1" si="1"/>
        <v>44</v>
      </c>
      <c r="H46">
        <f t="shared" ca="1" si="2"/>
        <v>38.033742202871856</v>
      </c>
      <c r="I46">
        <f t="shared" ca="1" si="3"/>
        <v>1358.7521546810351</v>
      </c>
    </row>
    <row r="47" spans="1:9">
      <c r="A47" s="65">
        <v>0</v>
      </c>
      <c r="B47" s="65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5">
        <v>0</v>
      </c>
      <c r="B48" s="65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5">
        <v>67412</v>
      </c>
      <c r="B49" s="65">
        <v>67412</v>
      </c>
      <c r="D49">
        <f t="shared" si="0"/>
        <v>0.94070693961848151</v>
      </c>
      <c r="E49">
        <f t="shared" si="0"/>
        <v>0.94070693961848151</v>
      </c>
      <c r="G49">
        <f t="shared" ca="1" si="1"/>
        <v>47</v>
      </c>
      <c r="H49">
        <f t="shared" ca="1" si="2"/>
        <v>44.213226162068629</v>
      </c>
      <c r="I49">
        <f t="shared" ca="1" si="3"/>
        <v>1263.3819520975301</v>
      </c>
    </row>
    <row r="50" spans="1:9">
      <c r="A50" s="65">
        <v>0</v>
      </c>
      <c r="B50" s="65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5">
        <v>64861</v>
      </c>
      <c r="B51" s="65">
        <v>64861</v>
      </c>
      <c r="D51">
        <f t="shared" si="0"/>
        <v>0.90510877604275686</v>
      </c>
      <c r="E51">
        <f t="shared" si="0"/>
        <v>0.90510877604275686</v>
      </c>
      <c r="G51">
        <f t="shared" ca="1" si="1"/>
        <v>49</v>
      </c>
      <c r="H51">
        <f t="shared" ca="1" si="2"/>
        <v>44.350330026095087</v>
      </c>
      <c r="I51">
        <f t="shared" ca="1" si="3"/>
        <v>1086.5149648309177</v>
      </c>
    </row>
    <row r="52" spans="1:9">
      <c r="A52" s="65">
        <v>0</v>
      </c>
      <c r="B52" s="65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5">
        <v>0</v>
      </c>
      <c r="B53" s="65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5">
        <v>71661</v>
      </c>
      <c r="B54" s="65">
        <v>71661</v>
      </c>
      <c r="D54">
        <f t="shared" si="0"/>
        <v>1</v>
      </c>
      <c r="E54">
        <f t="shared" si="0"/>
        <v>1</v>
      </c>
      <c r="G54">
        <f t="shared" ca="1" si="1"/>
        <v>52</v>
      </c>
      <c r="H54">
        <f t="shared" ca="1" si="2"/>
        <v>52</v>
      </c>
      <c r="I54">
        <f t="shared" ca="1" si="3"/>
        <v>1001.5418604398143</v>
      </c>
    </row>
    <row r="55" spans="1:9">
      <c r="A55" s="65">
        <v>0</v>
      </c>
      <c r="B55" s="65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5">
        <v>0</v>
      </c>
      <c r="B56" s="65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5">
        <v>70746</v>
      </c>
      <c r="B57" s="65">
        <v>70746</v>
      </c>
      <c r="D57">
        <f t="shared" si="0"/>
        <v>0.98723154854104744</v>
      </c>
      <c r="E57">
        <f t="shared" si="0"/>
        <v>0.98723154854104744</v>
      </c>
      <c r="G57">
        <f t="shared" ca="1" si="1"/>
        <v>55</v>
      </c>
      <c r="H57">
        <f t="shared" ca="1" si="2"/>
        <v>54.297735169757608</v>
      </c>
      <c r="I57">
        <f t="shared" ca="1" si="3"/>
        <v>810.18043905051479</v>
      </c>
    </row>
    <row r="58" spans="1:9">
      <c r="A58" s="65">
        <v>0</v>
      </c>
      <c r="B58" s="65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5">
        <v>67118</v>
      </c>
      <c r="B59" s="65">
        <v>67118</v>
      </c>
      <c r="D59">
        <f t="shared" si="0"/>
        <v>0.93660428964150655</v>
      </c>
      <c r="E59">
        <f t="shared" si="0"/>
        <v>0.93660428964150655</v>
      </c>
      <c r="G59">
        <f t="shared" ca="1" si="1"/>
        <v>57</v>
      </c>
      <c r="H59">
        <f t="shared" ca="1" si="2"/>
        <v>53.386444509565877</v>
      </c>
      <c r="I59">
        <f t="shared" ca="1" si="3"/>
        <v>665.0549814464573</v>
      </c>
    </row>
    <row r="60" spans="1:9">
      <c r="A60" s="65">
        <v>0</v>
      </c>
      <c r="B60" s="65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5">
        <v>0</v>
      </c>
      <c r="B61" s="65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5">
        <v>71452</v>
      </c>
      <c r="B62" s="65">
        <v>71452</v>
      </c>
      <c r="D62">
        <f t="shared" si="0"/>
        <v>0.99708349032249066</v>
      </c>
      <c r="E62">
        <f t="shared" si="0"/>
        <v>0.99708349032249066</v>
      </c>
      <c r="G62">
        <f t="shared" ca="1" si="1"/>
        <v>60</v>
      </c>
      <c r="H62">
        <f t="shared" ca="1" si="2"/>
        <v>59.825009419349442</v>
      </c>
      <c r="I62">
        <f t="shared" ca="1" si="3"/>
        <v>557.55664596810323</v>
      </c>
    </row>
    <row r="63" spans="1:9">
      <c r="A63" s="65">
        <v>0</v>
      </c>
      <c r="B63" s="65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5">
        <v>70186</v>
      </c>
      <c r="B64" s="65">
        <v>70186</v>
      </c>
      <c r="D64">
        <f t="shared" si="0"/>
        <v>0.97941697715633325</v>
      </c>
      <c r="E64">
        <f t="shared" si="0"/>
        <v>0.97941697715633325</v>
      </c>
      <c r="G64">
        <f t="shared" ca="1" si="1"/>
        <v>62</v>
      </c>
      <c r="H64">
        <f t="shared" ca="1" si="2"/>
        <v>60.723852583692661</v>
      </c>
      <c r="I64">
        <f t="shared" ca="1" si="3"/>
        <v>458.9537544963826</v>
      </c>
    </row>
    <row r="65" spans="1:9">
      <c r="A65" s="65">
        <v>0</v>
      </c>
      <c r="B65" s="65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5">
        <v>0</v>
      </c>
      <c r="B66" s="65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5">
        <v>59214</v>
      </c>
      <c r="B67" s="65">
        <v>59214</v>
      </c>
      <c r="D67">
        <f t="shared" ref="D67:E130" si="4">IFERROR( A67/MAX(A$2:A$257), 0 )</f>
        <v>0.82630719638296979</v>
      </c>
      <c r="E67">
        <f t="shared" si="4"/>
        <v>0.82630719638296979</v>
      </c>
      <c r="G67">
        <f t="shared" ref="G67:G130" ca="1" si="5">CELL("row",D67)-2</f>
        <v>65</v>
      </c>
      <c r="H67">
        <f t="shared" ref="H67:H130" ca="1" si="6">D67*G67</f>
        <v>53.709967764893037</v>
      </c>
      <c r="I67">
        <f t="shared" ref="I67:I130" ca="1" si="7">D67*((G67-$L$1)^2)</f>
        <v>287.3202827824345</v>
      </c>
    </row>
    <row r="68" spans="1:9">
      <c r="A68" s="65">
        <v>0</v>
      </c>
      <c r="B68" s="65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5">
        <v>55317</v>
      </c>
      <c r="B69" s="65">
        <v>55317</v>
      </c>
      <c r="D69">
        <f t="shared" si="4"/>
        <v>0.7719261523004145</v>
      </c>
      <c r="E69">
        <f t="shared" si="4"/>
        <v>0.7719261523004145</v>
      </c>
      <c r="G69">
        <f t="shared" ca="1" si="5"/>
        <v>67</v>
      </c>
      <c r="H69">
        <f t="shared" ca="1" si="6"/>
        <v>51.71905220412777</v>
      </c>
      <c r="I69">
        <f t="shared" ca="1" si="7"/>
        <v>213.92194583294207</v>
      </c>
    </row>
    <row r="70" spans="1:9">
      <c r="A70" s="65">
        <v>0</v>
      </c>
      <c r="B70" s="65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5">
        <v>0</v>
      </c>
      <c r="B71" s="65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5">
        <v>49111</v>
      </c>
      <c r="B72" s="65">
        <v>49111</v>
      </c>
      <c r="D72">
        <f t="shared" si="4"/>
        <v>0.6853239558476717</v>
      </c>
      <c r="E72">
        <f t="shared" si="4"/>
        <v>0.6853239558476717</v>
      </c>
      <c r="G72">
        <f t="shared" ca="1" si="5"/>
        <v>70</v>
      </c>
      <c r="H72">
        <f t="shared" ca="1" si="6"/>
        <v>47.972676909337018</v>
      </c>
      <c r="I72">
        <f t="shared" ca="1" si="7"/>
        <v>127.63788497929798</v>
      </c>
    </row>
    <row r="73" spans="1:9">
      <c r="A73" s="65">
        <v>0</v>
      </c>
      <c r="B73" s="65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5">
        <v>0</v>
      </c>
      <c r="B74" s="65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5">
        <v>49400</v>
      </c>
      <c r="B75" s="65">
        <v>49400</v>
      </c>
      <c r="D75">
        <f t="shared" si="4"/>
        <v>0.68935683286585447</v>
      </c>
      <c r="E75">
        <f t="shared" si="4"/>
        <v>0.68935683286585447</v>
      </c>
      <c r="G75">
        <f t="shared" ca="1" si="5"/>
        <v>73</v>
      </c>
      <c r="H75">
        <f t="shared" ca="1" si="6"/>
        <v>50.323048799207378</v>
      </c>
      <c r="I75">
        <f t="shared" ca="1" si="7"/>
        <v>78.146677284924834</v>
      </c>
    </row>
    <row r="76" spans="1:9">
      <c r="A76" s="65">
        <v>0</v>
      </c>
      <c r="B76" s="65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5">
        <v>44842</v>
      </c>
      <c r="B77" s="65">
        <v>44842</v>
      </c>
      <c r="D77">
        <f t="shared" si="4"/>
        <v>0.62575180363098482</v>
      </c>
      <c r="E77">
        <f t="shared" si="4"/>
        <v>0.62575180363098482</v>
      </c>
      <c r="G77">
        <f t="shared" ca="1" si="5"/>
        <v>75</v>
      </c>
      <c r="H77">
        <f t="shared" ca="1" si="6"/>
        <v>46.931385272323858</v>
      </c>
      <c r="I77">
        <f t="shared" ca="1" si="7"/>
        <v>46.789425223751529</v>
      </c>
    </row>
    <row r="78" spans="1:9">
      <c r="A78" s="65">
        <v>0</v>
      </c>
      <c r="B78" s="65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5">
        <v>0</v>
      </c>
      <c r="B79" s="65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5">
        <v>38706</v>
      </c>
      <c r="B80" s="65">
        <v>38706</v>
      </c>
      <c r="D80">
        <f t="shared" si="4"/>
        <v>0.54012642860133131</v>
      </c>
      <c r="E80">
        <f t="shared" si="4"/>
        <v>0.54012642860133131</v>
      </c>
      <c r="G80">
        <f t="shared" ca="1" si="5"/>
        <v>78</v>
      </c>
      <c r="H80">
        <f t="shared" ca="1" si="6"/>
        <v>42.129861430903844</v>
      </c>
      <c r="I80">
        <f t="shared" ca="1" si="7"/>
        <v>17.224772142645435</v>
      </c>
    </row>
    <row r="81" spans="1:9">
      <c r="A81" s="65">
        <v>0</v>
      </c>
      <c r="B81" s="65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5">
        <v>35730</v>
      </c>
      <c r="B82" s="65">
        <v>35730</v>
      </c>
      <c r="D82">
        <f t="shared" si="4"/>
        <v>0.498597563528279</v>
      </c>
      <c r="E82">
        <f t="shared" si="4"/>
        <v>0.498597563528279</v>
      </c>
      <c r="G82">
        <f t="shared" ca="1" si="5"/>
        <v>80</v>
      </c>
      <c r="H82">
        <f t="shared" ca="1" si="6"/>
        <v>39.887805082262318</v>
      </c>
      <c r="I82">
        <f t="shared" ca="1" si="7"/>
        <v>6.6321828230003739</v>
      </c>
    </row>
    <row r="83" spans="1:9">
      <c r="A83" s="65">
        <v>0</v>
      </c>
      <c r="B83" s="65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5">
        <v>0</v>
      </c>
      <c r="B84" s="65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5">
        <v>34275</v>
      </c>
      <c r="B85" s="65">
        <v>34275</v>
      </c>
      <c r="D85">
        <f t="shared" si="4"/>
        <v>0.47829363251978063</v>
      </c>
      <c r="E85">
        <f t="shared" si="4"/>
        <v>0.47829363251978063</v>
      </c>
      <c r="G85">
        <f t="shared" ca="1" si="5"/>
        <v>83</v>
      </c>
      <c r="H85">
        <f t="shared" ca="1" si="6"/>
        <v>39.698371499141793</v>
      </c>
      <c r="I85">
        <f t="shared" ca="1" si="7"/>
        <v>0.20030849319876154</v>
      </c>
    </row>
    <row r="86" spans="1:9">
      <c r="A86" s="65">
        <v>0</v>
      </c>
      <c r="B86" s="65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5">
        <v>0</v>
      </c>
      <c r="B87" s="65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5">
        <v>33103</v>
      </c>
      <c r="B88" s="65">
        <v>33103</v>
      </c>
      <c r="D88">
        <f t="shared" si="4"/>
        <v>0.46193885097891463</v>
      </c>
      <c r="E88">
        <f t="shared" si="4"/>
        <v>0.46193885097891463</v>
      </c>
      <c r="G88">
        <f t="shared" ca="1" si="5"/>
        <v>86</v>
      </c>
      <c r="H88">
        <f t="shared" ca="1" si="6"/>
        <v>39.726741184186658</v>
      </c>
      <c r="I88">
        <f t="shared" ca="1" si="7"/>
        <v>2.5572570621101405</v>
      </c>
    </row>
    <row r="89" spans="1:9">
      <c r="A89" s="65">
        <v>0</v>
      </c>
      <c r="B89" s="65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5">
        <v>30177</v>
      </c>
      <c r="B90" s="65">
        <v>30177</v>
      </c>
      <c r="D90">
        <f t="shared" si="4"/>
        <v>0.42110771549378323</v>
      </c>
      <c r="E90">
        <f t="shared" si="4"/>
        <v>0.42110771549378323</v>
      </c>
      <c r="G90">
        <f t="shared" ca="1" si="5"/>
        <v>88</v>
      </c>
      <c r="H90">
        <f t="shared" ca="1" si="6"/>
        <v>37.057478963452922</v>
      </c>
      <c r="I90">
        <f t="shared" ca="1" si="7"/>
        <v>7.9788695889934953</v>
      </c>
    </row>
    <row r="91" spans="1:9">
      <c r="A91" s="65">
        <v>0</v>
      </c>
      <c r="B91" s="65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5">
        <v>0</v>
      </c>
      <c r="B92" s="65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5">
        <v>27967</v>
      </c>
      <c r="B93" s="65">
        <v>27967</v>
      </c>
      <c r="D93">
        <f t="shared" si="4"/>
        <v>0.39026806770767919</v>
      </c>
      <c r="E93">
        <f t="shared" si="4"/>
        <v>0.39026806770767919</v>
      </c>
      <c r="G93">
        <f t="shared" ca="1" si="5"/>
        <v>91</v>
      </c>
      <c r="H93">
        <f t="shared" ca="1" si="6"/>
        <v>35.514394161398805</v>
      </c>
      <c r="I93">
        <f t="shared" ca="1" si="7"/>
        <v>21.099632143472125</v>
      </c>
    </row>
    <row r="94" spans="1:9">
      <c r="A94" s="65">
        <v>0</v>
      </c>
      <c r="B94" s="65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5">
        <v>28462</v>
      </c>
      <c r="B95" s="65">
        <v>28462</v>
      </c>
      <c r="D95">
        <f t="shared" si="4"/>
        <v>0.39717559062809615</v>
      </c>
      <c r="E95">
        <f t="shared" si="4"/>
        <v>0.39717559062809615</v>
      </c>
      <c r="G95">
        <f t="shared" ca="1" si="5"/>
        <v>93</v>
      </c>
      <c r="H95">
        <f t="shared" ca="1" si="6"/>
        <v>36.937329928412943</v>
      </c>
      <c r="I95">
        <f t="shared" ca="1" si="7"/>
        <v>34.743282256803475</v>
      </c>
    </row>
    <row r="96" spans="1:9">
      <c r="A96" s="65">
        <v>0</v>
      </c>
      <c r="B96" s="65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5">
        <v>0</v>
      </c>
      <c r="B97" s="65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5">
        <v>28239</v>
      </c>
      <c r="B98" s="65">
        <v>28239</v>
      </c>
      <c r="D98">
        <f t="shared" si="4"/>
        <v>0.39406371666596895</v>
      </c>
      <c r="E98">
        <f t="shared" si="4"/>
        <v>0.39406371666596895</v>
      </c>
      <c r="G98">
        <f t="shared" ca="1" si="5"/>
        <v>96</v>
      </c>
      <c r="H98">
        <f t="shared" ca="1" si="6"/>
        <v>37.830116799933023</v>
      </c>
      <c r="I98">
        <f t="shared" ca="1" si="7"/>
        <v>60.131363869575495</v>
      </c>
    </row>
    <row r="99" spans="1:9">
      <c r="A99" s="65">
        <v>0</v>
      </c>
      <c r="B99" s="65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5">
        <v>28043</v>
      </c>
      <c r="B100" s="65">
        <v>28043</v>
      </c>
      <c r="D100">
        <f t="shared" si="4"/>
        <v>0.39132861668131896</v>
      </c>
      <c r="E100">
        <f t="shared" si="4"/>
        <v>0.39132861668131896</v>
      </c>
      <c r="G100">
        <f t="shared" ca="1" si="5"/>
        <v>98</v>
      </c>
      <c r="H100">
        <f t="shared" ca="1" si="6"/>
        <v>38.35020443476926</v>
      </c>
      <c r="I100">
        <f t="shared" ca="1" si="7"/>
        <v>80.615422042234812</v>
      </c>
    </row>
    <row r="101" spans="1:9">
      <c r="A101" s="65">
        <v>0</v>
      </c>
      <c r="B101" s="65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5">
        <v>0</v>
      </c>
      <c r="B102" s="65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5">
        <v>25170</v>
      </c>
      <c r="B103" s="65">
        <v>25170</v>
      </c>
      <c r="D103">
        <f t="shared" si="4"/>
        <v>0.35123707455938374</v>
      </c>
      <c r="E103">
        <f t="shared" si="4"/>
        <v>0.35123707455938374</v>
      </c>
      <c r="G103">
        <f t="shared" ca="1" si="5"/>
        <v>101</v>
      </c>
      <c r="H103">
        <f t="shared" ca="1" si="6"/>
        <v>35.474944530497758</v>
      </c>
      <c r="I103">
        <f t="shared" ca="1" si="7"/>
        <v>105.76504745853428</v>
      </c>
    </row>
    <row r="104" spans="1:9">
      <c r="A104" s="65">
        <v>0</v>
      </c>
      <c r="B104" s="65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5">
        <v>0</v>
      </c>
      <c r="B105" s="65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5">
        <v>24471</v>
      </c>
      <c r="B106" s="65">
        <v>24471</v>
      </c>
      <c r="D106">
        <f t="shared" si="4"/>
        <v>0.34148281492024951</v>
      </c>
      <c r="E106">
        <f t="shared" si="4"/>
        <v>0.34148281492024951</v>
      </c>
      <c r="G106">
        <f t="shared" ca="1" si="5"/>
        <v>104</v>
      </c>
      <c r="H106">
        <f t="shared" ca="1" si="6"/>
        <v>35.514212751705948</v>
      </c>
      <c r="I106">
        <f t="shared" ca="1" si="7"/>
        <v>141.45538339107884</v>
      </c>
    </row>
    <row r="107" spans="1:9">
      <c r="A107" s="65">
        <v>0</v>
      </c>
      <c r="B107" s="65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5">
        <v>21914</v>
      </c>
      <c r="B108" s="65">
        <v>21914</v>
      </c>
      <c r="D108">
        <f t="shared" si="4"/>
        <v>0.30580092379397439</v>
      </c>
      <c r="E108">
        <f t="shared" si="4"/>
        <v>0.30580092379397439</v>
      </c>
      <c r="G108">
        <f t="shared" ca="1" si="5"/>
        <v>106</v>
      </c>
      <c r="H108">
        <f t="shared" ca="1" si="6"/>
        <v>32.414897922161288</v>
      </c>
      <c r="I108">
        <f t="shared" ca="1" si="7"/>
        <v>152.7934543658873</v>
      </c>
    </row>
    <row r="109" spans="1:9">
      <c r="A109" s="65">
        <v>0</v>
      </c>
      <c r="B109" s="65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5">
        <v>0</v>
      </c>
      <c r="B110" s="65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5">
        <v>24184</v>
      </c>
      <c r="B111" s="65">
        <v>24184</v>
      </c>
      <c r="D111">
        <f t="shared" si="4"/>
        <v>0.33747784708558354</v>
      </c>
      <c r="E111">
        <f t="shared" si="4"/>
        <v>0.33747784708558354</v>
      </c>
      <c r="G111">
        <f t="shared" ca="1" si="5"/>
        <v>109</v>
      </c>
      <c r="H111">
        <f t="shared" ca="1" si="6"/>
        <v>36.785085332328606</v>
      </c>
      <c r="I111">
        <f t="shared" ca="1" si="7"/>
        <v>216.91969000238038</v>
      </c>
    </row>
    <row r="112" spans="1:9">
      <c r="A112" s="65">
        <v>0</v>
      </c>
      <c r="B112" s="65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5">
        <v>24770</v>
      </c>
      <c r="B113" s="65">
        <v>24770</v>
      </c>
      <c r="D113">
        <f t="shared" si="4"/>
        <v>0.34565523785601654</v>
      </c>
      <c r="E113">
        <f t="shared" si="4"/>
        <v>0.34565523785601654</v>
      </c>
      <c r="G113">
        <f t="shared" ca="1" si="5"/>
        <v>111</v>
      </c>
      <c r="H113">
        <f t="shared" ca="1" si="6"/>
        <v>38.367731402017839</v>
      </c>
      <c r="I113">
        <f t="shared" ca="1" si="7"/>
        <v>258.61185639203956</v>
      </c>
    </row>
    <row r="114" spans="1:9">
      <c r="A114" s="65">
        <v>0</v>
      </c>
      <c r="B114" s="65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5">
        <v>0</v>
      </c>
      <c r="B115" s="65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5">
        <v>24949</v>
      </c>
      <c r="B116" s="65">
        <v>24949</v>
      </c>
      <c r="D116">
        <f t="shared" si="4"/>
        <v>0.34815310978077335</v>
      </c>
      <c r="E116">
        <f t="shared" si="4"/>
        <v>0.34815310978077335</v>
      </c>
      <c r="G116">
        <f t="shared" ca="1" si="5"/>
        <v>114</v>
      </c>
      <c r="H116">
        <f t="shared" ca="1" si="6"/>
        <v>39.689454515008165</v>
      </c>
      <c r="I116">
        <f t="shared" ca="1" si="7"/>
        <v>320.7519754743941</v>
      </c>
    </row>
    <row r="117" spans="1:9">
      <c r="A117" s="65">
        <v>0</v>
      </c>
      <c r="B117" s="65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5">
        <v>24822</v>
      </c>
      <c r="B118" s="65">
        <v>24822</v>
      </c>
      <c r="D118">
        <f t="shared" si="4"/>
        <v>0.34638087662745426</v>
      </c>
      <c r="E118">
        <f t="shared" si="4"/>
        <v>0.34638087662745426</v>
      </c>
      <c r="G118">
        <f t="shared" ca="1" si="5"/>
        <v>116</v>
      </c>
      <c r="H118">
        <f t="shared" ca="1" si="6"/>
        <v>40.180181688784693</v>
      </c>
      <c r="I118">
        <f t="shared" ca="1" si="7"/>
        <v>362.55934061069985</v>
      </c>
    </row>
    <row r="119" spans="1:9">
      <c r="A119" s="65">
        <v>0</v>
      </c>
      <c r="B119" s="65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5">
        <v>0</v>
      </c>
      <c r="B120" s="65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5">
        <v>29912</v>
      </c>
      <c r="B121" s="65">
        <v>29912</v>
      </c>
      <c r="D121">
        <f t="shared" si="4"/>
        <v>0.41740974867780245</v>
      </c>
      <c r="E121">
        <f t="shared" si="4"/>
        <v>0.41740974867780245</v>
      </c>
      <c r="G121">
        <f t="shared" ca="1" si="5"/>
        <v>119</v>
      </c>
      <c r="H121">
        <f t="shared" ca="1" si="6"/>
        <v>49.671760092658495</v>
      </c>
      <c r="I121">
        <f t="shared" ca="1" si="7"/>
        <v>521.68883619440908</v>
      </c>
    </row>
    <row r="122" spans="1:9">
      <c r="A122" s="65">
        <v>0</v>
      </c>
      <c r="B122" s="65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5">
        <v>0</v>
      </c>
      <c r="B123" s="65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5">
        <v>30445</v>
      </c>
      <c r="B124" s="65">
        <v>30445</v>
      </c>
      <c r="D124">
        <f t="shared" si="4"/>
        <v>0.42484754608503927</v>
      </c>
      <c r="E124">
        <f t="shared" si="4"/>
        <v>0.42484754608503927</v>
      </c>
      <c r="G124">
        <f t="shared" ca="1" si="5"/>
        <v>122</v>
      </c>
      <c r="H124">
        <f t="shared" ca="1" si="6"/>
        <v>51.831400622374794</v>
      </c>
      <c r="I124">
        <f t="shared" ca="1" si="7"/>
        <v>624.92584304684965</v>
      </c>
    </row>
    <row r="125" spans="1:9">
      <c r="A125" s="65">
        <v>0</v>
      </c>
      <c r="B125" s="65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5">
        <v>27730</v>
      </c>
      <c r="B126" s="65">
        <v>27730</v>
      </c>
      <c r="D126">
        <f t="shared" si="4"/>
        <v>0.38696082946093413</v>
      </c>
      <c r="E126">
        <f t="shared" si="4"/>
        <v>0.38696082946093413</v>
      </c>
      <c r="G126">
        <f t="shared" ca="1" si="5"/>
        <v>124</v>
      </c>
      <c r="H126">
        <f t="shared" ca="1" si="6"/>
        <v>47.983142853155833</v>
      </c>
      <c r="I126">
        <f t="shared" ca="1" si="7"/>
        <v>630.10875500477994</v>
      </c>
    </row>
    <row r="127" spans="1:9">
      <c r="A127" s="65">
        <v>0</v>
      </c>
      <c r="B127" s="65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5">
        <v>0</v>
      </c>
      <c r="B128" s="65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5">
        <v>25771</v>
      </c>
      <c r="B129" s="65">
        <v>25771</v>
      </c>
      <c r="D129">
        <f t="shared" si="4"/>
        <v>0.35962378420619306</v>
      </c>
      <c r="E129">
        <f t="shared" si="4"/>
        <v>0.35962378420619306</v>
      </c>
      <c r="G129">
        <f t="shared" ca="1" si="5"/>
        <v>127</v>
      </c>
      <c r="H129">
        <f t="shared" ca="1" si="6"/>
        <v>45.67222059418652</v>
      </c>
      <c r="I129">
        <f t="shared" ca="1" si="7"/>
        <v>675.90209053112687</v>
      </c>
    </row>
    <row r="130" spans="1:9">
      <c r="A130" s="65">
        <v>0</v>
      </c>
      <c r="B130" s="65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5">
        <v>29122</v>
      </c>
      <c r="B131" s="65">
        <v>29122</v>
      </c>
      <c r="D131">
        <f t="shared" ref="D131:E194" si="8">IFERROR( A131/MAX(A$2:A$257), 0 )</f>
        <v>0.40638562118865212</v>
      </c>
      <c r="E131">
        <f t="shared" si="8"/>
        <v>0.40638562118865212</v>
      </c>
      <c r="G131">
        <f t="shared" ref="G131:G194" ca="1" si="9">CELL("row",D131)-2</f>
        <v>129</v>
      </c>
      <c r="H131">
        <f t="shared" ref="H131:H194" ca="1" si="10">D131*G131</f>
        <v>52.423745133336126</v>
      </c>
      <c r="I131">
        <f t="shared" ref="I131:I194" ca="1" si="11">D131*((G131-$L$1)^2)</f>
        <v>835.88700549923726</v>
      </c>
    </row>
    <row r="132" spans="1:9">
      <c r="A132" s="65">
        <v>0</v>
      </c>
      <c r="B132" s="65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5">
        <v>0</v>
      </c>
      <c r="B133" s="65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5">
        <v>30137</v>
      </c>
      <c r="B134" s="65">
        <v>30137</v>
      </c>
      <c r="D134">
        <f t="shared" si="8"/>
        <v>0.42054953182344651</v>
      </c>
      <c r="E134">
        <f t="shared" si="8"/>
        <v>0.42054953182344651</v>
      </c>
      <c r="G134">
        <f t="shared" ca="1" si="9"/>
        <v>132</v>
      </c>
      <c r="H134">
        <f t="shared" ca="1" si="10"/>
        <v>55.512538200694941</v>
      </c>
      <c r="I134">
        <f t="shared" ca="1" si="11"/>
        <v>983.24416360722205</v>
      </c>
    </row>
    <row r="135" spans="1:9">
      <c r="A135" s="65">
        <v>0</v>
      </c>
      <c r="B135" s="65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5">
        <v>32322</v>
      </c>
      <c r="B136" s="65">
        <v>32322</v>
      </c>
      <c r="D136">
        <f t="shared" si="8"/>
        <v>0.45104031481559009</v>
      </c>
      <c r="E136">
        <f t="shared" si="8"/>
        <v>0.45104031481559009</v>
      </c>
      <c r="G136">
        <f t="shared" ca="1" si="9"/>
        <v>134</v>
      </c>
      <c r="H136">
        <f t="shared" ca="1" si="10"/>
        <v>60.439402185289076</v>
      </c>
      <c r="I136">
        <f t="shared" ca="1" si="11"/>
        <v>1143.5720746328993</v>
      </c>
    </row>
    <row r="137" spans="1:9">
      <c r="A137" s="65">
        <v>0</v>
      </c>
      <c r="B137" s="65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5">
        <v>0</v>
      </c>
      <c r="B138" s="65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5">
        <v>31141</v>
      </c>
      <c r="B139" s="65">
        <v>31141</v>
      </c>
      <c r="D139">
        <f t="shared" si="8"/>
        <v>0.4345599419488983</v>
      </c>
      <c r="E139">
        <f t="shared" si="8"/>
        <v>0.4345599419488983</v>
      </c>
      <c r="G139">
        <f t="shared" ca="1" si="9"/>
        <v>137</v>
      </c>
      <c r="H139">
        <f t="shared" ca="1" si="10"/>
        <v>59.534712046999068</v>
      </c>
      <c r="I139">
        <f t="shared" ca="1" si="11"/>
        <v>1236.9866132006327</v>
      </c>
    </row>
    <row r="140" spans="1:9">
      <c r="A140" s="65">
        <v>0</v>
      </c>
      <c r="B140" s="65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5">
        <v>0</v>
      </c>
      <c r="B141" s="65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5">
        <v>28490</v>
      </c>
      <c r="B142" s="65">
        <v>28490</v>
      </c>
      <c r="D142">
        <f t="shared" si="8"/>
        <v>0.39756631919733187</v>
      </c>
      <c r="E142">
        <f t="shared" si="8"/>
        <v>0.39756631919733187</v>
      </c>
      <c r="G142">
        <f t="shared" ca="1" si="9"/>
        <v>140</v>
      </c>
      <c r="H142">
        <f t="shared" ca="1" si="10"/>
        <v>55.65928468762646</v>
      </c>
      <c r="I142">
        <f t="shared" ca="1" si="11"/>
        <v>1262.5291499351836</v>
      </c>
    </row>
    <row r="143" spans="1:9">
      <c r="A143" s="65">
        <v>0</v>
      </c>
      <c r="B143" s="65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5">
        <v>26092</v>
      </c>
      <c r="B144" s="65">
        <v>26092</v>
      </c>
      <c r="D144">
        <f t="shared" si="8"/>
        <v>0.36410320816064529</v>
      </c>
      <c r="E144">
        <f t="shared" si="8"/>
        <v>0.36410320816064529</v>
      </c>
      <c r="G144">
        <f t="shared" ca="1" si="9"/>
        <v>142</v>
      </c>
      <c r="H144">
        <f t="shared" ca="1" si="10"/>
        <v>51.702655558811628</v>
      </c>
      <c r="I144">
        <f t="shared" ca="1" si="11"/>
        <v>1239.791649936833</v>
      </c>
    </row>
    <row r="145" spans="1:9">
      <c r="A145" s="65">
        <v>0</v>
      </c>
      <c r="B145" s="65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5">
        <v>0</v>
      </c>
      <c r="B146" s="65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5">
        <v>29660</v>
      </c>
      <c r="B147" s="65">
        <v>29660</v>
      </c>
      <c r="D147">
        <f t="shared" si="8"/>
        <v>0.41389319155468107</v>
      </c>
      <c r="E147">
        <f t="shared" si="8"/>
        <v>0.41389319155468107</v>
      </c>
      <c r="G147">
        <f t="shared" ca="1" si="9"/>
        <v>145</v>
      </c>
      <c r="H147">
        <f t="shared" ca="1" si="10"/>
        <v>60.014512775428756</v>
      </c>
      <c r="I147">
        <f t="shared" ca="1" si="11"/>
        <v>1557.9654414392701</v>
      </c>
    </row>
    <row r="148" spans="1:9">
      <c r="A148" s="65">
        <v>0</v>
      </c>
      <c r="B148" s="65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5">
        <v>29256</v>
      </c>
      <c r="B149" s="65">
        <v>29256</v>
      </c>
      <c r="D149">
        <f t="shared" si="8"/>
        <v>0.40825553648428015</v>
      </c>
      <c r="E149">
        <f t="shared" si="8"/>
        <v>0.40825553648428015</v>
      </c>
      <c r="G149">
        <f t="shared" ca="1" si="9"/>
        <v>147</v>
      </c>
      <c r="H149">
        <f t="shared" ca="1" si="10"/>
        <v>60.013563863189184</v>
      </c>
      <c r="I149">
        <f t="shared" ca="1" si="11"/>
        <v>1638.5679254537047</v>
      </c>
    </row>
    <row r="150" spans="1:9">
      <c r="A150" s="65">
        <v>0</v>
      </c>
      <c r="B150" s="65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5">
        <v>0</v>
      </c>
      <c r="B151" s="65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5">
        <v>23820</v>
      </c>
      <c r="B152" s="65">
        <v>23820</v>
      </c>
      <c r="D152">
        <f t="shared" si="8"/>
        <v>0.33239837568551933</v>
      </c>
      <c r="E152">
        <f t="shared" si="8"/>
        <v>0.33239837568551933</v>
      </c>
      <c r="G152">
        <f t="shared" ca="1" si="9"/>
        <v>150</v>
      </c>
      <c r="H152">
        <f t="shared" ca="1" si="10"/>
        <v>49.859756352827901</v>
      </c>
      <c r="I152">
        <f t="shared" ca="1" si="11"/>
        <v>1463.4507314782115</v>
      </c>
    </row>
    <row r="153" spans="1:9">
      <c r="A153" s="65">
        <v>0</v>
      </c>
      <c r="B153" s="65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5">
        <v>26604</v>
      </c>
      <c r="B154" s="65">
        <v>26604</v>
      </c>
      <c r="D154">
        <f t="shared" si="8"/>
        <v>0.37124795914095532</v>
      </c>
      <c r="E154">
        <f t="shared" si="8"/>
        <v>0.37124795914095532</v>
      </c>
      <c r="G154">
        <f t="shared" ca="1" si="9"/>
        <v>152</v>
      </c>
      <c r="H154">
        <f t="shared" ca="1" si="10"/>
        <v>56.429689789425211</v>
      </c>
      <c r="I154">
        <f t="shared" ca="1" si="11"/>
        <v>1734.5122777539605</v>
      </c>
    </row>
    <row r="155" spans="1:9">
      <c r="A155" s="65">
        <v>0</v>
      </c>
      <c r="B155" s="65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5">
        <v>0</v>
      </c>
      <c r="B156" s="65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5">
        <v>22483</v>
      </c>
      <c r="B157" s="65">
        <v>22483</v>
      </c>
      <c r="D157">
        <f t="shared" si="8"/>
        <v>0.31374108650451432</v>
      </c>
      <c r="E157">
        <f t="shared" si="8"/>
        <v>0.31374108650451432</v>
      </c>
      <c r="G157">
        <f t="shared" ca="1" si="9"/>
        <v>155</v>
      </c>
      <c r="H157">
        <f t="shared" ca="1" si="10"/>
        <v>48.629868408199719</v>
      </c>
      <c r="I157">
        <f t="shared" ca="1" si="11"/>
        <v>1597.3279534982164</v>
      </c>
    </row>
    <row r="158" spans="1:9">
      <c r="A158" s="65">
        <v>0</v>
      </c>
      <c r="B158" s="65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5">
        <v>0</v>
      </c>
      <c r="B159" s="65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5">
        <v>23535</v>
      </c>
      <c r="B160" s="65">
        <v>23535</v>
      </c>
      <c r="D160">
        <f t="shared" si="8"/>
        <v>0.32842131703437016</v>
      </c>
      <c r="E160">
        <f t="shared" si="8"/>
        <v>0.32842131703437016</v>
      </c>
      <c r="G160">
        <f t="shared" ca="1" si="9"/>
        <v>158</v>
      </c>
      <c r="H160">
        <f t="shared" ca="1" si="10"/>
        <v>51.890568091430488</v>
      </c>
      <c r="I160">
        <f t="shared" ca="1" si="11"/>
        <v>1815.6269611484795</v>
      </c>
    </row>
    <row r="161" spans="1:9">
      <c r="A161" s="65">
        <v>0</v>
      </c>
      <c r="B161" s="65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5">
        <v>22347</v>
      </c>
      <c r="B162" s="65">
        <v>22347</v>
      </c>
      <c r="D162">
        <f t="shared" si="8"/>
        <v>0.31184326202536944</v>
      </c>
      <c r="E162">
        <f t="shared" si="8"/>
        <v>0.31184326202536944</v>
      </c>
      <c r="G162">
        <f t="shared" ca="1" si="9"/>
        <v>160</v>
      </c>
      <c r="H162">
        <f t="shared" ca="1" si="10"/>
        <v>49.894921924059112</v>
      </c>
      <c r="I162">
        <f t="shared" ca="1" si="11"/>
        <v>1817.9708415445591</v>
      </c>
    </row>
    <row r="163" spans="1:9">
      <c r="A163" s="65">
        <v>0</v>
      </c>
      <c r="B163" s="65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5">
        <v>0</v>
      </c>
      <c r="B164" s="65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5">
        <v>23599</v>
      </c>
      <c r="B165" s="65">
        <v>23599</v>
      </c>
      <c r="D165">
        <f t="shared" si="8"/>
        <v>0.32931441090690894</v>
      </c>
      <c r="E165">
        <f t="shared" si="8"/>
        <v>0.32931441090690894</v>
      </c>
      <c r="G165">
        <f t="shared" ca="1" si="9"/>
        <v>163</v>
      </c>
      <c r="H165">
        <f t="shared" ca="1" si="10"/>
        <v>53.678248977826158</v>
      </c>
      <c r="I165">
        <f t="shared" ca="1" si="11"/>
        <v>2073.6518167355102</v>
      </c>
    </row>
    <row r="166" spans="1:9">
      <c r="A166" s="65">
        <v>0</v>
      </c>
      <c r="B166" s="65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5">
        <v>18172</v>
      </c>
      <c r="B167" s="65">
        <v>18172</v>
      </c>
      <c r="D167">
        <f t="shared" si="8"/>
        <v>0.25358284143397386</v>
      </c>
      <c r="E167">
        <f t="shared" si="8"/>
        <v>0.25358284143397386</v>
      </c>
      <c r="G167">
        <f t="shared" ca="1" si="9"/>
        <v>165</v>
      </c>
      <c r="H167">
        <f t="shared" ca="1" si="10"/>
        <v>41.841168836605689</v>
      </c>
      <c r="I167">
        <f t="shared" ca="1" si="11"/>
        <v>1678.2839790075657</v>
      </c>
    </row>
    <row r="168" spans="1:9">
      <c r="A168" s="65">
        <v>0</v>
      </c>
      <c r="B168" s="65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5">
        <v>0</v>
      </c>
      <c r="B169" s="65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5">
        <v>23247</v>
      </c>
      <c r="B170" s="65">
        <v>23247</v>
      </c>
      <c r="D170">
        <f t="shared" si="8"/>
        <v>0.32440239460794573</v>
      </c>
      <c r="E170">
        <f t="shared" si="8"/>
        <v>0.32440239460794573</v>
      </c>
      <c r="G170">
        <f t="shared" ca="1" si="9"/>
        <v>168</v>
      </c>
      <c r="H170">
        <f t="shared" ca="1" si="10"/>
        <v>54.499602294134881</v>
      </c>
      <c r="I170">
        <f t="shared" ca="1" si="11"/>
        <v>2308.2540799741087</v>
      </c>
    </row>
    <row r="171" spans="1:9">
      <c r="A171" s="65">
        <v>0</v>
      </c>
      <c r="B171" s="65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5">
        <v>0</v>
      </c>
      <c r="B172" s="65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5">
        <v>21319</v>
      </c>
      <c r="B173" s="65">
        <v>21319</v>
      </c>
      <c r="D173">
        <f t="shared" si="8"/>
        <v>0.29749794169771565</v>
      </c>
      <c r="E173">
        <f t="shared" si="8"/>
        <v>0.29749794169771565</v>
      </c>
      <c r="G173">
        <f t="shared" ca="1" si="9"/>
        <v>171</v>
      </c>
      <c r="H173">
        <f t="shared" ca="1" si="10"/>
        <v>50.872148030309376</v>
      </c>
      <c r="I173">
        <f t="shared" ca="1" si="11"/>
        <v>2270.0643132920795</v>
      </c>
    </row>
    <row r="174" spans="1:9">
      <c r="A174" s="65">
        <v>0</v>
      </c>
      <c r="B174" s="65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5">
        <v>22443</v>
      </c>
      <c r="B175" s="65">
        <v>22443</v>
      </c>
      <c r="D175">
        <f t="shared" si="8"/>
        <v>0.3131829028341776</v>
      </c>
      <c r="E175">
        <f t="shared" si="8"/>
        <v>0.3131829028341776</v>
      </c>
      <c r="G175">
        <f t="shared" ca="1" si="9"/>
        <v>173</v>
      </c>
      <c r="H175">
        <f t="shared" ca="1" si="10"/>
        <v>54.180642190312724</v>
      </c>
      <c r="I175">
        <f t="shared" ca="1" si="11"/>
        <v>2500.4311527226059</v>
      </c>
    </row>
    <row r="176" spans="1:9">
      <c r="A176" s="65">
        <v>0</v>
      </c>
      <c r="B176" s="65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5">
        <v>0</v>
      </c>
      <c r="B177" s="65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5">
        <v>23969</v>
      </c>
      <c r="B178" s="65">
        <v>23969</v>
      </c>
      <c r="D178">
        <f t="shared" si="8"/>
        <v>0.33447760985752362</v>
      </c>
      <c r="E178">
        <f t="shared" si="8"/>
        <v>0.33447760985752362</v>
      </c>
      <c r="G178">
        <f t="shared" ca="1" si="9"/>
        <v>176</v>
      </c>
      <c r="H178">
        <f t="shared" ca="1" si="10"/>
        <v>58.868059334924155</v>
      </c>
      <c r="I178">
        <f t="shared" ca="1" si="11"/>
        <v>2852.7761283506284</v>
      </c>
    </row>
    <row r="179" spans="1:9">
      <c r="A179" s="65">
        <v>0</v>
      </c>
      <c r="B179" s="65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5">
        <v>22706</v>
      </c>
      <c r="B180" s="65">
        <v>22706</v>
      </c>
      <c r="D180">
        <f t="shared" si="8"/>
        <v>0.31685296046664158</v>
      </c>
      <c r="E180">
        <f t="shared" si="8"/>
        <v>0.31685296046664158</v>
      </c>
      <c r="G180">
        <f t="shared" ca="1" si="9"/>
        <v>178</v>
      </c>
      <c r="H180">
        <f t="shared" ca="1" si="10"/>
        <v>56.399826963062203</v>
      </c>
      <c r="I180">
        <f t="shared" ca="1" si="11"/>
        <v>2820.7711317351682</v>
      </c>
    </row>
    <row r="181" spans="1:9">
      <c r="A181" s="65">
        <v>0</v>
      </c>
      <c r="B181" s="65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5">
        <v>0</v>
      </c>
      <c r="B182" s="65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5">
        <v>14920</v>
      </c>
      <c r="B183" s="65">
        <v>14920</v>
      </c>
      <c r="D183">
        <f t="shared" si="8"/>
        <v>0.20820250903559817</v>
      </c>
      <c r="E183">
        <f t="shared" si="8"/>
        <v>0.20820250903559817</v>
      </c>
      <c r="G183">
        <f t="shared" ca="1" si="9"/>
        <v>181</v>
      </c>
      <c r="H183">
        <f t="shared" ca="1" si="10"/>
        <v>37.684654135443267</v>
      </c>
      <c r="I183">
        <f t="shared" ca="1" si="11"/>
        <v>1973.2555503406263</v>
      </c>
    </row>
    <row r="184" spans="1:9">
      <c r="A184" s="65">
        <v>0</v>
      </c>
      <c r="B184" s="65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5">
        <v>14865</v>
      </c>
      <c r="B185" s="65">
        <v>14865</v>
      </c>
      <c r="D185">
        <f t="shared" si="8"/>
        <v>0.20743500648888516</v>
      </c>
      <c r="E185">
        <f t="shared" si="8"/>
        <v>0.20743500648888516</v>
      </c>
      <c r="G185">
        <f t="shared" ca="1" si="9"/>
        <v>183</v>
      </c>
      <c r="H185">
        <f t="shared" ca="1" si="10"/>
        <v>37.960606187465984</v>
      </c>
      <c r="I185">
        <f t="shared" ca="1" si="11"/>
        <v>2047.5887844672757</v>
      </c>
    </row>
    <row r="186" spans="1:9">
      <c r="A186" s="65">
        <v>0</v>
      </c>
      <c r="B186" s="65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5">
        <v>0</v>
      </c>
      <c r="B187" s="65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5">
        <v>12875</v>
      </c>
      <c r="B188" s="65">
        <v>12875</v>
      </c>
      <c r="D188">
        <f t="shared" si="8"/>
        <v>0.17966536888963314</v>
      </c>
      <c r="E188">
        <f t="shared" si="8"/>
        <v>0.17966536888963314</v>
      </c>
      <c r="G188">
        <f t="shared" ca="1" si="9"/>
        <v>186</v>
      </c>
      <c r="H188">
        <f t="shared" ca="1" si="10"/>
        <v>33.417758613471761</v>
      </c>
      <c r="I188">
        <f t="shared" ca="1" si="11"/>
        <v>1882.1935726274139</v>
      </c>
    </row>
    <row r="189" spans="1:9">
      <c r="A189" s="65">
        <v>0</v>
      </c>
      <c r="B189" s="65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5">
        <v>0</v>
      </c>
      <c r="B190" s="65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5">
        <v>11243</v>
      </c>
      <c r="B191" s="65">
        <v>11243</v>
      </c>
      <c r="D191">
        <f t="shared" si="8"/>
        <v>0.15689147513989479</v>
      </c>
      <c r="E191">
        <f t="shared" si="8"/>
        <v>0.15689147513989479</v>
      </c>
      <c r="G191">
        <f t="shared" ca="1" si="9"/>
        <v>189</v>
      </c>
      <c r="H191">
        <f t="shared" ca="1" si="10"/>
        <v>29.652488801440114</v>
      </c>
      <c r="I191">
        <f t="shared" ca="1" si="11"/>
        <v>1741.3735966170932</v>
      </c>
    </row>
    <row r="192" spans="1:9">
      <c r="A192" s="65">
        <v>0</v>
      </c>
      <c r="B192" s="65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5">
        <v>5584</v>
      </c>
      <c r="B193" s="65">
        <v>5584</v>
      </c>
      <c r="D193">
        <f t="shared" si="8"/>
        <v>7.792244037900671E-2</v>
      </c>
      <c r="E193">
        <f t="shared" si="8"/>
        <v>7.792244037900671E-2</v>
      </c>
      <c r="G193">
        <f t="shared" ca="1" si="9"/>
        <v>191</v>
      </c>
      <c r="H193">
        <f t="shared" ca="1" si="10"/>
        <v>14.883186112390282</v>
      </c>
      <c r="I193">
        <f t="shared" ca="1" si="11"/>
        <v>898.02770131475256</v>
      </c>
    </row>
    <row r="194" spans="1:9">
      <c r="A194" s="65">
        <v>0</v>
      </c>
      <c r="B194" s="65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5">
        <v>0</v>
      </c>
      <c r="B195" s="65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5">
        <v>2806</v>
      </c>
      <c r="B196" s="65">
        <v>2806</v>
      </c>
      <c r="D196">
        <f t="shared" si="12"/>
        <v>3.9156584474121209E-2</v>
      </c>
      <c r="E196">
        <f t="shared" si="12"/>
        <v>3.9156584474121209E-2</v>
      </c>
      <c r="G196">
        <f t="shared" ca="1" si="13"/>
        <v>194</v>
      </c>
      <c r="H196">
        <f t="shared" ca="1" si="14"/>
        <v>7.5963773879795147</v>
      </c>
      <c r="I196">
        <f t="shared" ca="1" si="15"/>
        <v>476.83918857230015</v>
      </c>
    </row>
    <row r="197" spans="1:9">
      <c r="A197" s="65">
        <v>0</v>
      </c>
      <c r="B197" s="65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5">
        <v>265</v>
      </c>
      <c r="B198" s="65">
        <v>265</v>
      </c>
      <c r="D198">
        <f t="shared" si="12"/>
        <v>3.6979668159807986E-3</v>
      </c>
      <c r="E198">
        <f t="shared" si="12"/>
        <v>3.6979668159807986E-3</v>
      </c>
      <c r="G198">
        <f t="shared" ca="1" si="13"/>
        <v>196</v>
      </c>
      <c r="H198">
        <f t="shared" ca="1" si="14"/>
        <v>0.72480149593223653</v>
      </c>
      <c r="I198">
        <f t="shared" ca="1" si="15"/>
        <v>46.680040714507577</v>
      </c>
    </row>
    <row r="199" spans="1:9">
      <c r="A199" s="65">
        <v>0</v>
      </c>
      <c r="B199" s="65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5">
        <v>0</v>
      </c>
      <c r="B200" s="65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5">
        <v>159</v>
      </c>
      <c r="B201" s="65">
        <v>159</v>
      </c>
      <c r="D201">
        <f t="shared" si="12"/>
        <v>2.2187800895884791E-3</v>
      </c>
      <c r="E201">
        <f t="shared" si="12"/>
        <v>2.2187800895884791E-3</v>
      </c>
      <c r="G201">
        <f t="shared" ca="1" si="13"/>
        <v>199</v>
      </c>
      <c r="H201">
        <f t="shared" ca="1" si="14"/>
        <v>0.44153723782810733</v>
      </c>
      <c r="I201">
        <f t="shared" ca="1" si="15"/>
        <v>29.523711100085382</v>
      </c>
    </row>
    <row r="202" spans="1:9">
      <c r="A202" s="65">
        <v>0</v>
      </c>
      <c r="B202" s="65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5">
        <v>719</v>
      </c>
      <c r="B203" s="65">
        <v>719</v>
      </c>
      <c r="D203">
        <f t="shared" si="12"/>
        <v>1.0033351474302619E-2</v>
      </c>
      <c r="E203">
        <f t="shared" si="12"/>
        <v>1.0033351474302619E-2</v>
      </c>
      <c r="G203">
        <f t="shared" ca="1" si="13"/>
        <v>201</v>
      </c>
      <c r="H203">
        <f t="shared" ca="1" si="14"/>
        <v>2.0167036463348262</v>
      </c>
      <c r="I203">
        <f t="shared" ca="1" si="15"/>
        <v>138.17622927224789</v>
      </c>
    </row>
    <row r="204" spans="1:9">
      <c r="A204" s="65">
        <v>0</v>
      </c>
      <c r="B204" s="65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5">
        <v>0</v>
      </c>
      <c r="B205" s="65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5">
        <v>323</v>
      </c>
      <c r="B206" s="65">
        <v>323</v>
      </c>
      <c r="D206">
        <f t="shared" si="12"/>
        <v>4.507333137969049E-3</v>
      </c>
      <c r="E206">
        <f t="shared" si="12"/>
        <v>4.507333137969049E-3</v>
      </c>
      <c r="G206">
        <f t="shared" ca="1" si="13"/>
        <v>204</v>
      </c>
      <c r="H206">
        <f t="shared" ca="1" si="14"/>
        <v>0.91949596014568602</v>
      </c>
      <c r="I206">
        <f t="shared" ca="1" si="15"/>
        <v>65.28786152313468</v>
      </c>
    </row>
    <row r="207" spans="1:9">
      <c r="A207" s="65">
        <v>0</v>
      </c>
      <c r="B207" s="65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5">
        <v>0</v>
      </c>
      <c r="B208" s="65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5">
        <v>405</v>
      </c>
      <c r="B209" s="65">
        <v>405</v>
      </c>
      <c r="D209">
        <f t="shared" si="12"/>
        <v>5.6516096621593336E-3</v>
      </c>
      <c r="E209">
        <f t="shared" si="12"/>
        <v>5.6516096621593336E-3</v>
      </c>
      <c r="G209">
        <f t="shared" ca="1" si="13"/>
        <v>207</v>
      </c>
      <c r="H209">
        <f t="shared" ca="1" si="14"/>
        <v>1.1698832000669821</v>
      </c>
      <c r="I209">
        <f t="shared" ca="1" si="15"/>
        <v>85.994477503263013</v>
      </c>
    </row>
    <row r="210" spans="1:9">
      <c r="A210" s="65">
        <v>0</v>
      </c>
      <c r="B210" s="65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5">
        <v>487</v>
      </c>
      <c r="B211" s="65">
        <v>487</v>
      </c>
      <c r="D211">
        <f t="shared" si="12"/>
        <v>6.7958861863496181E-3</v>
      </c>
      <c r="E211">
        <f t="shared" si="12"/>
        <v>6.7958861863496181E-3</v>
      </c>
      <c r="G211">
        <f t="shared" ca="1" si="13"/>
        <v>209</v>
      </c>
      <c r="H211">
        <f t="shared" ca="1" si="14"/>
        <v>1.4203402129470701</v>
      </c>
      <c r="I211">
        <f t="shared" ca="1" si="15"/>
        <v>106.78605641355338</v>
      </c>
    </row>
    <row r="212" spans="1:9">
      <c r="A212" s="65">
        <v>0</v>
      </c>
      <c r="B212" s="65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5">
        <v>0</v>
      </c>
      <c r="B213" s="65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5">
        <v>0</v>
      </c>
      <c r="B214" s="65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5">
        <v>0</v>
      </c>
      <c r="B215" s="65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5">
        <v>0</v>
      </c>
      <c r="B216" s="65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5">
        <v>0</v>
      </c>
      <c r="B217" s="65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5">
        <v>0</v>
      </c>
      <c r="B218" s="65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5">
        <v>0</v>
      </c>
      <c r="B219" s="65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5">
        <v>0</v>
      </c>
      <c r="B220" s="65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5">
        <v>0</v>
      </c>
      <c r="B221" s="65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5">
        <v>0</v>
      </c>
      <c r="B222" s="65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5">
        <v>0</v>
      </c>
      <c r="B223" s="65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5">
        <v>0</v>
      </c>
      <c r="B224" s="65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5">
        <v>0</v>
      </c>
      <c r="B225" s="65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5">
        <v>0</v>
      </c>
      <c r="B226" s="65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5">
        <v>0</v>
      </c>
      <c r="B227" s="65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5">
        <v>0</v>
      </c>
      <c r="B228" s="65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5">
        <v>0</v>
      </c>
      <c r="B229" s="65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5">
        <v>0</v>
      </c>
      <c r="B230" s="65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5">
        <v>0</v>
      </c>
      <c r="B231" s="65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5">
        <v>0</v>
      </c>
      <c r="B232" s="65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5">
        <v>0</v>
      </c>
      <c r="B233" s="65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5">
        <v>0</v>
      </c>
      <c r="B234" s="65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5">
        <v>0</v>
      </c>
      <c r="B235" s="65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5">
        <v>0</v>
      </c>
      <c r="B236" s="65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5">
        <v>0</v>
      </c>
      <c r="B237" s="65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5">
        <v>0</v>
      </c>
      <c r="B238" s="65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5">
        <v>0</v>
      </c>
      <c r="B239" s="65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5">
        <v>0</v>
      </c>
      <c r="B240" s="65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5">
        <v>0</v>
      </c>
      <c r="B241" s="65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5">
        <v>0</v>
      </c>
      <c r="B242" s="65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5">
        <v>0</v>
      </c>
      <c r="B243" s="65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5">
        <v>0</v>
      </c>
      <c r="B244" s="65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5">
        <v>0</v>
      </c>
      <c r="B245" s="65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5">
        <v>0</v>
      </c>
      <c r="B246" s="65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5">
        <v>0</v>
      </c>
      <c r="B247" s="65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5">
        <v>0</v>
      </c>
      <c r="B248" s="65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5">
        <v>0</v>
      </c>
      <c r="B249" s="65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5">
        <v>0</v>
      </c>
      <c r="B250" s="65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5">
        <v>0</v>
      </c>
      <c r="B251" s="65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5">
        <v>0</v>
      </c>
      <c r="B252" s="65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5">
        <v>0</v>
      </c>
      <c r="B253" s="65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5">
        <v>0</v>
      </c>
      <c r="B254" s="65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5">
        <v>0</v>
      </c>
      <c r="B255" s="65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5">
        <v>0</v>
      </c>
      <c r="B256" s="65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5">
        <v>0</v>
      </c>
      <c r="B257" s="65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L257"/>
  <sheetViews>
    <sheetView workbookViewId="0">
      <selection sqref="A1:B1048576"/>
    </sheetView>
  </sheetViews>
  <sheetFormatPr defaultRowHeight="14"/>
  <cols>
    <col min="14" max="14" width="10.26953125" bestFit="1" customWidth="1"/>
  </cols>
  <sheetData>
    <row r="1" spans="1:12">
      <c r="A1" s="89" t="s">
        <v>393</v>
      </c>
      <c r="B1" s="89" t="s">
        <v>394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0">
        <f ca="1">SUM(H2:H257)/SUM(D2:D257)</f>
        <v>57.15459351162125</v>
      </c>
    </row>
    <row r="2" spans="1:12">
      <c r="A2" s="65">
        <v>0</v>
      </c>
      <c r="B2" s="65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0">
        <f ca="1">L1*info!L2/255</f>
        <v>1.0963147578172276</v>
      </c>
    </row>
    <row r="3" spans="1:12">
      <c r="A3" s="65">
        <v>0</v>
      </c>
      <c r="B3" s="65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0">
        <f ca="1">SQRT(SUM(I2:I257)/SUM(D2:D257))*info!L2/255</f>
        <v>0.64597746192241212</v>
      </c>
    </row>
    <row r="4" spans="1:12">
      <c r="A4" s="65">
        <v>0</v>
      </c>
      <c r="B4" s="65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5">
        <v>0</v>
      </c>
      <c r="B5" s="65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5">
        <v>0</v>
      </c>
      <c r="B6" s="65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5">
        <v>0</v>
      </c>
      <c r="B7" s="65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5">
        <v>3285</v>
      </c>
      <c r="B8" s="65">
        <v>3285</v>
      </c>
      <c r="D8">
        <f t="shared" si="0"/>
        <v>8.4425597532767931</v>
      </c>
      <c r="E8">
        <f t="shared" si="1"/>
        <v>8.4425597532767931</v>
      </c>
      <c r="G8">
        <f t="shared" ca="1" si="2"/>
        <v>6</v>
      </c>
      <c r="H8">
        <f t="shared" ca="1" si="3"/>
        <v>50.655358519660759</v>
      </c>
      <c r="I8">
        <f t="shared" ca="1" si="4"/>
        <v>22092.42651415904</v>
      </c>
    </row>
    <row r="9" spans="1:12">
      <c r="A9" s="65">
        <v>0</v>
      </c>
      <c r="B9" s="65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5">
        <v>9156</v>
      </c>
      <c r="B10" s="65">
        <v>9156</v>
      </c>
      <c r="D10">
        <f t="shared" si="0"/>
        <v>23.531225905936775</v>
      </c>
      <c r="E10">
        <f t="shared" si="1"/>
        <v>23.531225905936775</v>
      </c>
      <c r="G10">
        <f t="shared" ca="1" si="2"/>
        <v>8</v>
      </c>
      <c r="H10">
        <f t="shared" ca="1" si="3"/>
        <v>188.2498072474942</v>
      </c>
      <c r="I10">
        <f t="shared" ca="1" si="4"/>
        <v>56855.537711406127</v>
      </c>
    </row>
    <row r="11" spans="1:12">
      <c r="A11" s="65">
        <v>0</v>
      </c>
      <c r="B11" s="65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5">
        <v>0</v>
      </c>
      <c r="B12" s="65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5">
        <v>11500</v>
      </c>
      <c r="B13" s="65">
        <v>11500</v>
      </c>
      <c r="D13">
        <f t="shared" si="0"/>
        <v>29.55538421999486</v>
      </c>
      <c r="E13">
        <f t="shared" si="1"/>
        <v>29.55538421999486</v>
      </c>
      <c r="G13">
        <f t="shared" ca="1" si="2"/>
        <v>11</v>
      </c>
      <c r="H13">
        <f t="shared" ca="1" si="3"/>
        <v>325.10922641994347</v>
      </c>
      <c r="I13">
        <f t="shared" ca="1" si="4"/>
        <v>62960.253856500611</v>
      </c>
    </row>
    <row r="14" spans="1:12">
      <c r="A14" s="65">
        <v>0</v>
      </c>
      <c r="B14" s="65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5">
        <v>13615</v>
      </c>
      <c r="B15" s="65">
        <v>13615</v>
      </c>
      <c r="D15">
        <f t="shared" si="0"/>
        <v>34.991004883063482</v>
      </c>
      <c r="E15">
        <f t="shared" si="1"/>
        <v>34.991004883063482</v>
      </c>
      <c r="G15">
        <f t="shared" ca="1" si="2"/>
        <v>13</v>
      </c>
      <c r="H15">
        <f t="shared" ca="1" si="3"/>
        <v>454.8830634798253</v>
      </c>
      <c r="I15">
        <f t="shared" ca="1" si="4"/>
        <v>68219.447353182026</v>
      </c>
    </row>
    <row r="16" spans="1:12">
      <c r="A16" s="65">
        <v>0</v>
      </c>
      <c r="B16" s="65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5">
        <v>0</v>
      </c>
      <c r="B17" s="65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5">
        <v>19297</v>
      </c>
      <c r="B18" s="65">
        <v>19297</v>
      </c>
      <c r="D18">
        <f t="shared" si="0"/>
        <v>49.593934721151378</v>
      </c>
      <c r="E18">
        <f t="shared" si="1"/>
        <v>49.593934721151378</v>
      </c>
      <c r="G18">
        <f t="shared" ca="1" si="2"/>
        <v>16</v>
      </c>
      <c r="H18">
        <f t="shared" ca="1" si="3"/>
        <v>793.50295553842204</v>
      </c>
      <c r="I18">
        <f t="shared" ca="1" si="4"/>
        <v>83997.275362270608</v>
      </c>
    </row>
    <row r="19" spans="1:9">
      <c r="A19" s="65">
        <v>0</v>
      </c>
      <c r="B19" s="65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5">
        <v>0</v>
      </c>
      <c r="B20" s="65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5">
        <v>25717</v>
      </c>
      <c r="B21" s="65">
        <v>25717</v>
      </c>
      <c r="D21">
        <f t="shared" si="0"/>
        <v>66.093549216139806</v>
      </c>
      <c r="E21">
        <f t="shared" si="1"/>
        <v>66.093549216139806</v>
      </c>
      <c r="G21">
        <f t="shared" ca="1" si="2"/>
        <v>19</v>
      </c>
      <c r="H21">
        <f t="shared" ca="1" si="3"/>
        <v>1255.7774351066564</v>
      </c>
      <c r="I21">
        <f t="shared" ca="1" si="4"/>
        <v>96217.204822037587</v>
      </c>
    </row>
    <row r="22" spans="1:9">
      <c r="A22" s="65">
        <v>0</v>
      </c>
      <c r="B22" s="65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5">
        <v>28771</v>
      </c>
      <c r="B23" s="65">
        <v>28771</v>
      </c>
      <c r="D23">
        <f t="shared" si="0"/>
        <v>73.942431251606266</v>
      </c>
      <c r="E23">
        <f t="shared" si="1"/>
        <v>73.942431251606266</v>
      </c>
      <c r="G23">
        <f t="shared" ca="1" si="2"/>
        <v>21</v>
      </c>
      <c r="H23">
        <f t="shared" ca="1" si="3"/>
        <v>1552.7910562837317</v>
      </c>
      <c r="I23">
        <f t="shared" ca="1" si="4"/>
        <v>96654.191511181067</v>
      </c>
    </row>
    <row r="24" spans="1:9">
      <c r="A24" s="65">
        <v>0</v>
      </c>
      <c r="B24" s="65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5">
        <v>0</v>
      </c>
      <c r="B25" s="65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5">
        <v>29918</v>
      </c>
      <c r="B26" s="65">
        <v>29918</v>
      </c>
      <c r="D26">
        <f t="shared" si="0"/>
        <v>76.89025957337445</v>
      </c>
      <c r="E26">
        <f t="shared" si="1"/>
        <v>76.89025957337445</v>
      </c>
      <c r="G26">
        <f t="shared" ca="1" si="2"/>
        <v>24</v>
      </c>
      <c r="H26">
        <f t="shared" ca="1" si="3"/>
        <v>1845.3662297609867</v>
      </c>
      <c r="I26">
        <f t="shared" ca="1" si="4"/>
        <v>84519.854813183309</v>
      </c>
    </row>
    <row r="27" spans="1:9">
      <c r="A27" s="65">
        <v>0</v>
      </c>
      <c r="B27" s="65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5">
        <v>33063</v>
      </c>
      <c r="B28" s="65">
        <v>33063</v>
      </c>
      <c r="D28">
        <f t="shared" si="0"/>
        <v>84.973014649190446</v>
      </c>
      <c r="E28">
        <f t="shared" si="1"/>
        <v>84.973014649190446</v>
      </c>
      <c r="G28">
        <f t="shared" ca="1" si="2"/>
        <v>26</v>
      </c>
      <c r="H28">
        <f t="shared" ca="1" si="3"/>
        <v>2209.2983808789518</v>
      </c>
      <c r="I28">
        <f t="shared" ca="1" si="4"/>
        <v>82475.547018136043</v>
      </c>
    </row>
    <row r="29" spans="1:9">
      <c r="A29" s="65">
        <v>0</v>
      </c>
      <c r="B29" s="65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5">
        <v>0</v>
      </c>
      <c r="B30" s="65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5">
        <v>36034</v>
      </c>
      <c r="B31" s="65">
        <v>36034</v>
      </c>
      <c r="D31">
        <f t="shared" si="0"/>
        <v>92.608583911590856</v>
      </c>
      <c r="E31">
        <f t="shared" si="1"/>
        <v>92.608583911590856</v>
      </c>
      <c r="G31">
        <f t="shared" ca="1" si="2"/>
        <v>29</v>
      </c>
      <c r="H31">
        <f t="shared" ca="1" si="3"/>
        <v>2685.6489334361349</v>
      </c>
      <c r="I31">
        <f t="shared" ca="1" si="4"/>
        <v>73409.077480297798</v>
      </c>
    </row>
    <row r="32" spans="1:9">
      <c r="A32" s="65">
        <v>0</v>
      </c>
      <c r="B32" s="65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5">
        <v>38203</v>
      </c>
      <c r="B33" s="65">
        <v>38203</v>
      </c>
      <c r="D33">
        <f t="shared" si="0"/>
        <v>98.182986378822932</v>
      </c>
      <c r="E33">
        <f t="shared" si="1"/>
        <v>98.182986378822932</v>
      </c>
      <c r="G33">
        <f t="shared" ca="1" si="2"/>
        <v>31</v>
      </c>
      <c r="H33">
        <f t="shared" ca="1" si="3"/>
        <v>3043.6725777435108</v>
      </c>
      <c r="I33">
        <f t="shared" ca="1" si="4"/>
        <v>67163.324819959496</v>
      </c>
    </row>
    <row r="34" spans="1:9">
      <c r="A34" s="65">
        <v>0</v>
      </c>
      <c r="B34" s="65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5">
        <v>0</v>
      </c>
      <c r="B35" s="65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5">
        <v>37741</v>
      </c>
      <c r="B36" s="65">
        <v>37741</v>
      </c>
      <c r="D36">
        <f t="shared" si="0"/>
        <v>96.995630943202258</v>
      </c>
      <c r="E36">
        <f t="shared" si="1"/>
        <v>96.995630943202258</v>
      </c>
      <c r="G36">
        <f t="shared" ca="1" si="2"/>
        <v>34</v>
      </c>
      <c r="H36">
        <f t="shared" ca="1" si="3"/>
        <v>3297.8514520688768</v>
      </c>
      <c r="I36">
        <f t="shared" ca="1" si="4"/>
        <v>52002.772061632983</v>
      </c>
    </row>
    <row r="37" spans="1:9">
      <c r="A37" s="65">
        <v>0</v>
      </c>
      <c r="B37" s="65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5">
        <v>0</v>
      </c>
      <c r="B38" s="65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5">
        <v>38910</v>
      </c>
      <c r="B39" s="65">
        <v>38910</v>
      </c>
      <c r="D39">
        <f t="shared" si="0"/>
        <v>100</v>
      </c>
      <c r="E39">
        <f t="shared" si="1"/>
        <v>100</v>
      </c>
      <c r="G39">
        <f t="shared" ca="1" si="2"/>
        <v>37</v>
      </c>
      <c r="H39">
        <f t="shared" ca="1" si="3"/>
        <v>3700</v>
      </c>
      <c r="I39">
        <f t="shared" ca="1" si="4"/>
        <v>40620.763961868543</v>
      </c>
    </row>
    <row r="40" spans="1:9">
      <c r="A40" s="65">
        <v>0</v>
      </c>
      <c r="B40" s="65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5">
        <v>34385</v>
      </c>
      <c r="B41" s="65">
        <v>34385</v>
      </c>
      <c r="D41">
        <f t="shared" si="0"/>
        <v>88.370598817784625</v>
      </c>
      <c r="E41">
        <f t="shared" si="1"/>
        <v>88.370598817784625</v>
      </c>
      <c r="G41">
        <f t="shared" ca="1" si="2"/>
        <v>39</v>
      </c>
      <c r="H41">
        <f t="shared" ca="1" si="3"/>
        <v>3446.4533538936003</v>
      </c>
      <c r="I41">
        <f t="shared" ca="1" si="4"/>
        <v>29126.000762529198</v>
      </c>
    </row>
    <row r="42" spans="1:9">
      <c r="A42" s="65">
        <v>0</v>
      </c>
      <c r="B42" s="65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5">
        <v>0</v>
      </c>
      <c r="B43" s="65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5">
        <v>36283</v>
      </c>
      <c r="B44" s="65">
        <v>36283</v>
      </c>
      <c r="D44">
        <f t="shared" si="0"/>
        <v>93.248522230789007</v>
      </c>
      <c r="E44">
        <f t="shared" si="1"/>
        <v>93.248522230789007</v>
      </c>
      <c r="G44">
        <f t="shared" ca="1" si="2"/>
        <v>42</v>
      </c>
      <c r="H44">
        <f t="shared" ca="1" si="3"/>
        <v>3916.4379336931383</v>
      </c>
      <c r="I44">
        <f t="shared" ca="1" si="4"/>
        <v>21415.614557859739</v>
      </c>
    </row>
    <row r="45" spans="1:9">
      <c r="A45" s="65">
        <v>0</v>
      </c>
      <c r="B45" s="65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5">
        <v>31109</v>
      </c>
      <c r="B46" s="65">
        <v>31109</v>
      </c>
      <c r="D46">
        <f t="shared" si="0"/>
        <v>79.95116936520175</v>
      </c>
      <c r="E46">
        <f t="shared" si="1"/>
        <v>79.95116936520175</v>
      </c>
      <c r="G46">
        <f t="shared" ca="1" si="2"/>
        <v>44</v>
      </c>
      <c r="H46">
        <f t="shared" ca="1" si="3"/>
        <v>3517.8514520688768</v>
      </c>
      <c r="I46">
        <f t="shared" ca="1" si="4"/>
        <v>13835.016620805263</v>
      </c>
    </row>
    <row r="47" spans="1:9">
      <c r="A47" s="65">
        <v>0</v>
      </c>
      <c r="B47" s="65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5">
        <v>0</v>
      </c>
      <c r="B48" s="65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5">
        <v>30436</v>
      </c>
      <c r="B49" s="65">
        <v>30436</v>
      </c>
      <c r="D49">
        <f t="shared" si="0"/>
        <v>78.221536879979439</v>
      </c>
      <c r="E49">
        <f t="shared" si="1"/>
        <v>78.221536879979439</v>
      </c>
      <c r="G49">
        <f t="shared" ca="1" si="2"/>
        <v>47</v>
      </c>
      <c r="H49">
        <f t="shared" ca="1" si="3"/>
        <v>3676.4122333590335</v>
      </c>
      <c r="I49">
        <f t="shared" ca="1" si="4"/>
        <v>8065.8739579548228</v>
      </c>
    </row>
    <row r="50" spans="1:9">
      <c r="A50" s="65">
        <v>0</v>
      </c>
      <c r="B50" s="65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5">
        <v>28414</v>
      </c>
      <c r="B51" s="65">
        <v>28414</v>
      </c>
      <c r="D51">
        <f t="shared" si="0"/>
        <v>73.024929324081214</v>
      </c>
      <c r="E51">
        <f t="shared" si="1"/>
        <v>73.024929324081214</v>
      </c>
      <c r="G51">
        <f t="shared" ca="1" si="2"/>
        <v>49</v>
      </c>
      <c r="H51">
        <f t="shared" ca="1" si="3"/>
        <v>3578.2215368799793</v>
      </c>
      <c r="I51">
        <f t="shared" ca="1" si="4"/>
        <v>4855.9675949225857</v>
      </c>
    </row>
    <row r="52" spans="1:9">
      <c r="A52" s="65">
        <v>0</v>
      </c>
      <c r="B52" s="65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5">
        <v>0</v>
      </c>
      <c r="B53" s="65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5">
        <v>24687</v>
      </c>
      <c r="B54" s="65">
        <v>24687</v>
      </c>
      <c r="D54">
        <f t="shared" si="0"/>
        <v>63.446414803392443</v>
      </c>
      <c r="E54">
        <f t="shared" si="1"/>
        <v>63.446414803392443</v>
      </c>
      <c r="G54">
        <f t="shared" ca="1" si="2"/>
        <v>52</v>
      </c>
      <c r="H54">
        <f t="shared" ca="1" si="3"/>
        <v>3299.213569776407</v>
      </c>
      <c r="I54">
        <f t="shared" ca="1" si="4"/>
        <v>1685.7607263548507</v>
      </c>
    </row>
    <row r="55" spans="1:9">
      <c r="A55" s="65">
        <v>0</v>
      </c>
      <c r="B55" s="65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5">
        <v>0</v>
      </c>
      <c r="B56" s="65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5">
        <v>24348</v>
      </c>
      <c r="B57" s="65">
        <v>24348</v>
      </c>
      <c r="D57">
        <f t="shared" si="0"/>
        <v>62.575173477255206</v>
      </c>
      <c r="E57">
        <f t="shared" si="1"/>
        <v>62.575173477255206</v>
      </c>
      <c r="G57">
        <f t="shared" ca="1" si="2"/>
        <v>55</v>
      </c>
      <c r="H57">
        <f t="shared" ca="1" si="3"/>
        <v>3441.6345412490364</v>
      </c>
      <c r="I57">
        <f t="shared" ca="1" si="4"/>
        <v>290.49105083886121</v>
      </c>
    </row>
    <row r="58" spans="1:9">
      <c r="A58" s="65">
        <v>0</v>
      </c>
      <c r="B58" s="65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5">
        <v>19028</v>
      </c>
      <c r="B59" s="65">
        <v>19028</v>
      </c>
      <c r="D59">
        <f t="shared" si="0"/>
        <v>48.90259573374454</v>
      </c>
      <c r="E59">
        <f t="shared" si="1"/>
        <v>48.90259573374454</v>
      </c>
      <c r="G59">
        <f t="shared" ca="1" si="2"/>
        <v>57</v>
      </c>
      <c r="H59">
        <f t="shared" ca="1" si="3"/>
        <v>2787.4479568234387</v>
      </c>
      <c r="I59">
        <f t="shared" ca="1" si="4"/>
        <v>1.1687306583906329</v>
      </c>
    </row>
    <row r="60" spans="1:9">
      <c r="A60" s="65">
        <v>0</v>
      </c>
      <c r="B60" s="65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5">
        <v>0</v>
      </c>
      <c r="B61" s="65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5">
        <v>20114</v>
      </c>
      <c r="B62" s="65">
        <v>20114</v>
      </c>
      <c r="D62">
        <f t="shared" si="0"/>
        <v>51.693652017476225</v>
      </c>
      <c r="E62">
        <f t="shared" si="1"/>
        <v>51.693652017476225</v>
      </c>
      <c r="G62">
        <f t="shared" ca="1" si="2"/>
        <v>60</v>
      </c>
      <c r="H62">
        <f t="shared" ca="1" si="3"/>
        <v>3101.6191210485736</v>
      </c>
      <c r="I62">
        <f t="shared" ca="1" si="4"/>
        <v>418.5292835357132</v>
      </c>
    </row>
    <row r="63" spans="1:9">
      <c r="A63" s="65">
        <v>0</v>
      </c>
      <c r="B63" s="65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5">
        <v>17248</v>
      </c>
      <c r="B64" s="65">
        <v>17248</v>
      </c>
      <c r="D64">
        <f t="shared" si="0"/>
        <v>44.327936263171424</v>
      </c>
      <c r="E64">
        <f t="shared" si="1"/>
        <v>44.327936263171424</v>
      </c>
      <c r="G64">
        <f t="shared" ca="1" si="2"/>
        <v>62</v>
      </c>
      <c r="H64">
        <f t="shared" ca="1" si="3"/>
        <v>2748.3320483166281</v>
      </c>
      <c r="I64">
        <f t="shared" ca="1" si="4"/>
        <v>1040.7296934487781</v>
      </c>
    </row>
    <row r="65" spans="1:9">
      <c r="A65" s="65">
        <v>0</v>
      </c>
      <c r="B65" s="65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5">
        <v>0</v>
      </c>
      <c r="B66" s="65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5">
        <v>15377</v>
      </c>
      <c r="B67" s="65">
        <v>15377</v>
      </c>
      <c r="D67">
        <f t="shared" ref="D67:D130" si="5">IFERROR( 100*A67/MAX(A$2:A$257), 0 )</f>
        <v>39.519403752248778</v>
      </c>
      <c r="E67">
        <f t="shared" ref="E67:E130" si="6">IFERROR( 100*B67/MAX(B$2:B$257), 0 )</f>
        <v>39.519403752248778</v>
      </c>
      <c r="G67">
        <f t="shared" ref="G67:G130" ca="1" si="7">CELL("row",D67)-2</f>
        <v>65</v>
      </c>
      <c r="H67">
        <f t="shared" ref="H67:H130" ca="1" si="8">D67*G67</f>
        <v>2568.7612438961705</v>
      </c>
      <c r="I67">
        <f t="shared" ref="I67:I130" ca="1" si="9">D67*((G67-$L$1)^2)</f>
        <v>2432.4352260018691</v>
      </c>
    </row>
    <row r="68" spans="1:9">
      <c r="A68" s="65">
        <v>0</v>
      </c>
      <c r="B68" s="65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5">
        <v>14401</v>
      </c>
      <c r="B69" s="65">
        <v>14401</v>
      </c>
      <c r="D69">
        <f t="shared" si="5"/>
        <v>37.011051143664865</v>
      </c>
      <c r="E69">
        <f t="shared" si="6"/>
        <v>37.011051143664865</v>
      </c>
      <c r="G69">
        <f t="shared" ca="1" si="7"/>
        <v>67</v>
      </c>
      <c r="H69">
        <f t="shared" ca="1" si="8"/>
        <v>2479.7404266255458</v>
      </c>
      <c r="I69">
        <f t="shared" ca="1" si="9"/>
        <v>3587.5562798695214</v>
      </c>
    </row>
    <row r="70" spans="1:9">
      <c r="A70" s="65">
        <v>0</v>
      </c>
      <c r="B70" s="65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5">
        <v>0</v>
      </c>
      <c r="B71" s="65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5">
        <v>13177</v>
      </c>
      <c r="B72" s="65">
        <v>13177</v>
      </c>
      <c r="D72">
        <f t="shared" si="5"/>
        <v>33.865330249293244</v>
      </c>
      <c r="E72">
        <f t="shared" si="6"/>
        <v>33.865330249293244</v>
      </c>
      <c r="G72">
        <f t="shared" ca="1" si="7"/>
        <v>70</v>
      </c>
      <c r="H72">
        <f t="shared" ca="1" si="8"/>
        <v>2370.5731174505272</v>
      </c>
      <c r="I72">
        <f t="shared" ca="1" si="9"/>
        <v>5587.9307964061309</v>
      </c>
    </row>
    <row r="73" spans="1:9">
      <c r="A73" s="65">
        <v>0</v>
      </c>
      <c r="B73" s="65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5">
        <v>0</v>
      </c>
      <c r="B74" s="65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5">
        <v>14868</v>
      </c>
      <c r="B75" s="65">
        <v>14868</v>
      </c>
      <c r="D75">
        <f t="shared" si="5"/>
        <v>38.211256746337703</v>
      </c>
      <c r="E75">
        <f t="shared" si="6"/>
        <v>38.211256746337703</v>
      </c>
      <c r="G75">
        <f t="shared" ca="1" si="7"/>
        <v>73</v>
      </c>
      <c r="H75">
        <f t="shared" ca="1" si="8"/>
        <v>2789.4217424826525</v>
      </c>
      <c r="I75">
        <f t="shared" ca="1" si="9"/>
        <v>9593.9641481215949</v>
      </c>
    </row>
    <row r="76" spans="1:9">
      <c r="A76" s="65">
        <v>0</v>
      </c>
      <c r="B76" s="65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5">
        <v>13374</v>
      </c>
      <c r="B77" s="65">
        <v>13374</v>
      </c>
      <c r="D77">
        <f t="shared" si="5"/>
        <v>34.371626831148802</v>
      </c>
      <c r="E77">
        <f t="shared" si="6"/>
        <v>34.371626831148802</v>
      </c>
      <c r="G77">
        <f t="shared" ca="1" si="7"/>
        <v>75</v>
      </c>
      <c r="H77">
        <f t="shared" ca="1" si="8"/>
        <v>2577.87201233616</v>
      </c>
      <c r="I77">
        <f t="shared" ca="1" si="9"/>
        <v>10945.937848378773</v>
      </c>
    </row>
    <row r="78" spans="1:9">
      <c r="A78" s="65">
        <v>0</v>
      </c>
      <c r="B78" s="65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5">
        <v>0</v>
      </c>
      <c r="B79" s="65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5">
        <v>12602</v>
      </c>
      <c r="B80" s="65">
        <v>12602</v>
      </c>
      <c r="D80">
        <f t="shared" si="5"/>
        <v>32.387561038293498</v>
      </c>
      <c r="E80">
        <f t="shared" si="6"/>
        <v>32.387561038293498</v>
      </c>
      <c r="G80">
        <f t="shared" ca="1" si="7"/>
        <v>78</v>
      </c>
      <c r="H80">
        <f t="shared" ca="1" si="8"/>
        <v>2526.2297609868929</v>
      </c>
      <c r="I80">
        <f t="shared" ca="1" si="9"/>
        <v>14073.39836785323</v>
      </c>
    </row>
    <row r="81" spans="1:9">
      <c r="A81" s="65">
        <v>0</v>
      </c>
      <c r="B81" s="65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5">
        <v>12508</v>
      </c>
      <c r="B82" s="65">
        <v>12508</v>
      </c>
      <c r="D82">
        <f t="shared" si="5"/>
        <v>32.145977897712669</v>
      </c>
      <c r="E82">
        <f t="shared" si="6"/>
        <v>32.145977897712669</v>
      </c>
      <c r="G82">
        <f t="shared" ca="1" si="7"/>
        <v>80</v>
      </c>
      <c r="H82">
        <f t="shared" ca="1" si="8"/>
        <v>2571.6782318170135</v>
      </c>
      <c r="I82">
        <f t="shared" ca="1" si="9"/>
        <v>16777.390827606469</v>
      </c>
    </row>
    <row r="83" spans="1:9">
      <c r="A83" s="65">
        <v>0</v>
      </c>
      <c r="B83" s="65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5">
        <v>0</v>
      </c>
      <c r="B84" s="65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5">
        <v>12721</v>
      </c>
      <c r="B85" s="65">
        <v>12721</v>
      </c>
      <c r="D85">
        <f t="shared" si="5"/>
        <v>32.693395014135184</v>
      </c>
      <c r="E85">
        <f t="shared" si="6"/>
        <v>32.693395014135184</v>
      </c>
      <c r="G85">
        <f t="shared" ca="1" si="7"/>
        <v>83</v>
      </c>
      <c r="H85">
        <f t="shared" ca="1" si="8"/>
        <v>2713.5517861732201</v>
      </c>
      <c r="I85">
        <f t="shared" ca="1" si="9"/>
        <v>21838.698663445324</v>
      </c>
    </row>
    <row r="86" spans="1:9">
      <c r="A86" s="65">
        <v>0</v>
      </c>
      <c r="B86" s="65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5">
        <v>0</v>
      </c>
      <c r="B87" s="65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5">
        <v>13315</v>
      </c>
      <c r="B88" s="65">
        <v>13315</v>
      </c>
      <c r="D88">
        <f t="shared" si="5"/>
        <v>34.21999485993318</v>
      </c>
      <c r="E88">
        <f t="shared" si="6"/>
        <v>34.21999485993318</v>
      </c>
      <c r="G88">
        <f t="shared" ca="1" si="7"/>
        <v>86</v>
      </c>
      <c r="H88">
        <f t="shared" ca="1" si="8"/>
        <v>2942.9195579542534</v>
      </c>
      <c r="I88">
        <f t="shared" ca="1" si="9"/>
        <v>28473.002534087831</v>
      </c>
    </row>
    <row r="89" spans="1:9">
      <c r="A89" s="65">
        <v>0</v>
      </c>
      <c r="B89" s="65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5">
        <v>12881</v>
      </c>
      <c r="B90" s="65">
        <v>12881</v>
      </c>
      <c r="D90">
        <f t="shared" si="5"/>
        <v>33.104600359804678</v>
      </c>
      <c r="E90">
        <f t="shared" si="6"/>
        <v>33.104600359804678</v>
      </c>
      <c r="G90">
        <f t="shared" ca="1" si="7"/>
        <v>88</v>
      </c>
      <c r="H90">
        <f t="shared" ca="1" si="8"/>
        <v>2913.2048316628116</v>
      </c>
      <c r="I90">
        <f t="shared" ca="1" si="9"/>
        <v>31497.011219641656</v>
      </c>
    </row>
    <row r="91" spans="1:9">
      <c r="A91" s="65">
        <v>0</v>
      </c>
      <c r="B91" s="65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5">
        <v>0</v>
      </c>
      <c r="B92" s="65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5">
        <v>13097</v>
      </c>
      <c r="B93" s="65">
        <v>13097</v>
      </c>
      <c r="D93">
        <f t="shared" si="5"/>
        <v>33.659727576458494</v>
      </c>
      <c r="E93">
        <f t="shared" si="6"/>
        <v>33.659727576458494</v>
      </c>
      <c r="G93">
        <f t="shared" ca="1" si="7"/>
        <v>91</v>
      </c>
      <c r="H93">
        <f t="shared" ca="1" si="8"/>
        <v>3063.0352094577229</v>
      </c>
      <c r="I93">
        <f t="shared" ca="1" si="9"/>
        <v>38557.606384327788</v>
      </c>
    </row>
    <row r="94" spans="1:9">
      <c r="A94" s="65">
        <v>0</v>
      </c>
      <c r="B94" s="65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5">
        <v>11849</v>
      </c>
      <c r="B95" s="65">
        <v>11849</v>
      </c>
      <c r="D95">
        <f t="shared" si="5"/>
        <v>30.452325880236444</v>
      </c>
      <c r="E95">
        <f t="shared" si="6"/>
        <v>30.452325880236444</v>
      </c>
      <c r="G95">
        <f t="shared" ca="1" si="7"/>
        <v>93</v>
      </c>
      <c r="H95">
        <f t="shared" ca="1" si="8"/>
        <v>2832.0663068619892</v>
      </c>
      <c r="I95">
        <f t="shared" ca="1" si="9"/>
        <v>39127.985421977341</v>
      </c>
    </row>
    <row r="96" spans="1:9">
      <c r="A96" s="65">
        <v>0</v>
      </c>
      <c r="B96" s="65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5">
        <v>0</v>
      </c>
      <c r="B97" s="65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5">
        <v>11876</v>
      </c>
      <c r="B98" s="65">
        <v>11876</v>
      </c>
      <c r="D98">
        <f t="shared" si="5"/>
        <v>30.521716782318169</v>
      </c>
      <c r="E98">
        <f t="shared" si="6"/>
        <v>30.521716782318169</v>
      </c>
      <c r="G98">
        <f t="shared" ca="1" si="7"/>
        <v>96</v>
      </c>
      <c r="H98">
        <f t="shared" ca="1" si="8"/>
        <v>2930.0848111025443</v>
      </c>
      <c r="I98">
        <f t="shared" ca="1" si="9"/>
        <v>46056.220837619789</v>
      </c>
    </row>
    <row r="99" spans="1:9">
      <c r="A99" s="65">
        <v>0</v>
      </c>
      <c r="B99" s="65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5">
        <v>11657</v>
      </c>
      <c r="B100" s="65">
        <v>11657</v>
      </c>
      <c r="D100">
        <f t="shared" si="5"/>
        <v>29.95887946543305</v>
      </c>
      <c r="E100">
        <f t="shared" si="6"/>
        <v>29.95887946543305</v>
      </c>
      <c r="G100">
        <f t="shared" ca="1" si="7"/>
        <v>98</v>
      </c>
      <c r="H100">
        <f t="shared" ca="1" si="8"/>
        <v>2935.9701876124391</v>
      </c>
      <c r="I100">
        <f t="shared" ca="1" si="9"/>
        <v>49981.813606036514</v>
      </c>
    </row>
    <row r="101" spans="1:9">
      <c r="A101" s="65">
        <v>0</v>
      </c>
      <c r="B101" s="65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5">
        <v>0</v>
      </c>
      <c r="B102" s="65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5">
        <v>11529</v>
      </c>
      <c r="B103" s="65">
        <v>11529</v>
      </c>
      <c r="D103">
        <f t="shared" si="5"/>
        <v>29.629915188897456</v>
      </c>
      <c r="E103">
        <f t="shared" si="6"/>
        <v>29.629915188897456</v>
      </c>
      <c r="G103">
        <f t="shared" ca="1" si="7"/>
        <v>101</v>
      </c>
      <c r="H103">
        <f t="shared" ca="1" si="8"/>
        <v>2992.6214340786432</v>
      </c>
      <c r="I103">
        <f t="shared" ca="1" si="9"/>
        <v>56961.13178345465</v>
      </c>
    </row>
    <row r="104" spans="1:9">
      <c r="A104" s="65">
        <v>0</v>
      </c>
      <c r="B104" s="65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5">
        <v>0</v>
      </c>
      <c r="B105" s="65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5">
        <v>10263</v>
      </c>
      <c r="B106" s="65">
        <v>10263</v>
      </c>
      <c r="D106">
        <f t="shared" si="5"/>
        <v>26.376252891287585</v>
      </c>
      <c r="E106">
        <f t="shared" si="6"/>
        <v>26.376252891287585</v>
      </c>
      <c r="G106">
        <f t="shared" ca="1" si="7"/>
        <v>104</v>
      </c>
      <c r="H106">
        <f t="shared" ca="1" si="8"/>
        <v>2743.1303006939088</v>
      </c>
      <c r="I106">
        <f t="shared" ca="1" si="9"/>
        <v>57882.478836539543</v>
      </c>
    </row>
    <row r="107" spans="1:9">
      <c r="A107" s="65">
        <v>0</v>
      </c>
      <c r="B107" s="65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5">
        <v>9699</v>
      </c>
      <c r="B108" s="65">
        <v>9699</v>
      </c>
      <c r="D108">
        <f t="shared" si="5"/>
        <v>24.926754047802621</v>
      </c>
      <c r="E108">
        <f t="shared" si="6"/>
        <v>24.926754047802621</v>
      </c>
      <c r="G108">
        <f t="shared" ca="1" si="7"/>
        <v>106</v>
      </c>
      <c r="H108">
        <f t="shared" ca="1" si="8"/>
        <v>2642.2359290670779</v>
      </c>
      <c r="I108">
        <f t="shared" ca="1" si="9"/>
        <v>59472.087781829927</v>
      </c>
    </row>
    <row r="109" spans="1:9">
      <c r="A109" s="65">
        <v>0</v>
      </c>
      <c r="B109" s="65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5">
        <v>0</v>
      </c>
      <c r="B110" s="65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5">
        <v>9466</v>
      </c>
      <c r="B111" s="65">
        <v>9466</v>
      </c>
      <c r="D111">
        <f t="shared" si="5"/>
        <v>24.32793626317142</v>
      </c>
      <c r="E111">
        <f t="shared" si="6"/>
        <v>24.32793626317142</v>
      </c>
      <c r="G111">
        <f t="shared" ca="1" si="7"/>
        <v>109</v>
      </c>
      <c r="H111">
        <f t="shared" ca="1" si="8"/>
        <v>2651.7450526856846</v>
      </c>
      <c r="I111">
        <f t="shared" ca="1" si="9"/>
        <v>65392.183198574923</v>
      </c>
    </row>
    <row r="112" spans="1:9">
      <c r="A112" s="65">
        <v>0</v>
      </c>
      <c r="B112" s="65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5">
        <v>8861</v>
      </c>
      <c r="B113" s="65">
        <v>8861</v>
      </c>
      <c r="D113">
        <f t="shared" si="5"/>
        <v>22.773066049858649</v>
      </c>
      <c r="E113">
        <f t="shared" si="6"/>
        <v>22.773066049858649</v>
      </c>
      <c r="G113">
        <f t="shared" ca="1" si="7"/>
        <v>111</v>
      </c>
      <c r="H113">
        <f t="shared" ca="1" si="8"/>
        <v>2527.8103315343101</v>
      </c>
      <c r="I113">
        <f t="shared" ca="1" si="9"/>
        <v>66026.583487285374</v>
      </c>
    </row>
    <row r="114" spans="1:9">
      <c r="A114" s="65">
        <v>0</v>
      </c>
      <c r="B114" s="65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5">
        <v>0</v>
      </c>
      <c r="B115" s="65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5">
        <v>8468</v>
      </c>
      <c r="B116" s="65">
        <v>8468</v>
      </c>
      <c r="D116">
        <f t="shared" si="5"/>
        <v>21.763042919557954</v>
      </c>
      <c r="E116">
        <f t="shared" si="6"/>
        <v>21.763042919557954</v>
      </c>
      <c r="G116">
        <f t="shared" ca="1" si="7"/>
        <v>114</v>
      </c>
      <c r="H116">
        <f t="shared" ca="1" si="8"/>
        <v>2480.9868928296069</v>
      </c>
      <c r="I116">
        <f t="shared" ca="1" si="9"/>
        <v>70325.10208790563</v>
      </c>
    </row>
    <row r="117" spans="1:9">
      <c r="A117" s="65">
        <v>0</v>
      </c>
      <c r="B117" s="65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5">
        <v>7479</v>
      </c>
      <c r="B118" s="65">
        <v>7479</v>
      </c>
      <c r="D118">
        <f t="shared" si="5"/>
        <v>19.221279876638395</v>
      </c>
      <c r="E118">
        <f t="shared" si="6"/>
        <v>19.221279876638395</v>
      </c>
      <c r="G118">
        <f t="shared" ca="1" si="7"/>
        <v>116</v>
      </c>
      <c r="H118">
        <f t="shared" ca="1" si="8"/>
        <v>2229.6684656900538</v>
      </c>
      <c r="I118">
        <f t="shared" ca="1" si="9"/>
        <v>66559.099374732774</v>
      </c>
    </row>
    <row r="119" spans="1:9">
      <c r="A119" s="65">
        <v>0</v>
      </c>
      <c r="B119" s="65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5">
        <v>0</v>
      </c>
      <c r="B120" s="65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5">
        <v>8101</v>
      </c>
      <c r="B121" s="65">
        <v>8101</v>
      </c>
      <c r="D121">
        <f t="shared" si="5"/>
        <v>20.819840657928552</v>
      </c>
      <c r="E121">
        <f t="shared" si="6"/>
        <v>20.819840657928552</v>
      </c>
      <c r="G121">
        <f t="shared" ca="1" si="7"/>
        <v>119</v>
      </c>
      <c r="H121">
        <f t="shared" ca="1" si="8"/>
        <v>2477.5610382934979</v>
      </c>
      <c r="I121">
        <f t="shared" ca="1" si="9"/>
        <v>79632.857143092755</v>
      </c>
    </row>
    <row r="122" spans="1:9">
      <c r="A122" s="65">
        <v>0</v>
      </c>
      <c r="B122" s="65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5">
        <v>0</v>
      </c>
      <c r="B123" s="65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5">
        <v>6449</v>
      </c>
      <c r="B124" s="65">
        <v>6449</v>
      </c>
      <c r="D124">
        <f t="shared" si="5"/>
        <v>16.574145463891032</v>
      </c>
      <c r="E124">
        <f t="shared" si="6"/>
        <v>16.574145463891032</v>
      </c>
      <c r="G124">
        <f t="shared" ca="1" si="7"/>
        <v>122</v>
      </c>
      <c r="H124">
        <f t="shared" ca="1" si="8"/>
        <v>2022.0457465947059</v>
      </c>
      <c r="I124">
        <f t="shared" ca="1" si="9"/>
        <v>69693.067497571785</v>
      </c>
    </row>
    <row r="125" spans="1:9">
      <c r="A125" s="65">
        <v>0</v>
      </c>
      <c r="B125" s="65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5">
        <v>7083</v>
      </c>
      <c r="B126" s="65">
        <v>7083</v>
      </c>
      <c r="D126">
        <f t="shared" si="5"/>
        <v>18.2035466461064</v>
      </c>
      <c r="E126">
        <f t="shared" si="6"/>
        <v>18.2035466461064</v>
      </c>
      <c r="G126">
        <f t="shared" ca="1" si="7"/>
        <v>124</v>
      </c>
      <c r="H126">
        <f t="shared" ca="1" si="8"/>
        <v>2257.2397841171937</v>
      </c>
      <c r="I126">
        <f t="shared" ca="1" si="9"/>
        <v>81339.05981693558</v>
      </c>
    </row>
    <row r="127" spans="1:9">
      <c r="A127" s="65">
        <v>0</v>
      </c>
      <c r="B127" s="65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5">
        <v>0</v>
      </c>
      <c r="B128" s="65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5">
        <v>5375</v>
      </c>
      <c r="B129" s="65">
        <v>5375</v>
      </c>
      <c r="D129">
        <f t="shared" si="5"/>
        <v>13.813929581084555</v>
      </c>
      <c r="E129">
        <f t="shared" si="6"/>
        <v>13.813929581084555</v>
      </c>
      <c r="G129">
        <f t="shared" ca="1" si="7"/>
        <v>127</v>
      </c>
      <c r="H129">
        <f t="shared" ca="1" si="8"/>
        <v>1754.3690567977385</v>
      </c>
      <c r="I129">
        <f t="shared" ca="1" si="9"/>
        <v>67389.608944890468</v>
      </c>
    </row>
    <row r="130" spans="1:9">
      <c r="A130" s="65">
        <v>0</v>
      </c>
      <c r="B130" s="65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5">
        <v>6915</v>
      </c>
      <c r="B131" s="65">
        <v>6915</v>
      </c>
      <c r="D131">
        <f t="shared" ref="D131:D194" si="10">IFERROR( 100*A131/MAX(A$2:A$257), 0 )</f>
        <v>17.771781033153431</v>
      </c>
      <c r="E131">
        <f t="shared" ref="E131:E194" si="11">IFERROR( 100*B131/MAX(B$2:B$257), 0 )</f>
        <v>17.771781033153431</v>
      </c>
      <c r="G131">
        <f t="shared" ref="G131:G194" ca="1" si="12">CELL("row",D131)-2</f>
        <v>129</v>
      </c>
      <c r="H131">
        <f t="shared" ref="H131:H194" ca="1" si="13">D131*G131</f>
        <v>2292.5597532767924</v>
      </c>
      <c r="I131">
        <f t="shared" ref="I131:I194" ca="1" si="14">D131*((G131-$L$1)^2)</f>
        <v>91733.711712970457</v>
      </c>
    </row>
    <row r="132" spans="1:9">
      <c r="A132" s="65">
        <v>0</v>
      </c>
      <c r="B132" s="65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5">
        <v>0</v>
      </c>
      <c r="B133" s="65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5">
        <v>5117</v>
      </c>
      <c r="B134" s="65">
        <v>5117</v>
      </c>
      <c r="D134">
        <f t="shared" si="10"/>
        <v>13.150860961192496</v>
      </c>
      <c r="E134">
        <f t="shared" si="11"/>
        <v>13.150860961192496</v>
      </c>
      <c r="G134">
        <f t="shared" ca="1" si="12"/>
        <v>132</v>
      </c>
      <c r="H134">
        <f t="shared" ca="1" si="13"/>
        <v>1735.9136468774095</v>
      </c>
      <c r="I134">
        <f t="shared" ca="1" si="14"/>
        <v>73668.951534631953</v>
      </c>
    </row>
    <row r="135" spans="1:9">
      <c r="A135" s="65">
        <v>0</v>
      </c>
      <c r="B135" s="65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5">
        <v>5021</v>
      </c>
      <c r="B136" s="65">
        <v>5021</v>
      </c>
      <c r="D136">
        <f t="shared" si="10"/>
        <v>12.904137753790799</v>
      </c>
      <c r="E136">
        <f t="shared" si="11"/>
        <v>12.904137753790799</v>
      </c>
      <c r="G136">
        <f t="shared" ca="1" si="12"/>
        <v>134</v>
      </c>
      <c r="H136">
        <f t="shared" ca="1" si="13"/>
        <v>1729.154459007967</v>
      </c>
      <c r="I136">
        <f t="shared" ca="1" si="14"/>
        <v>76201.727160849317</v>
      </c>
    </row>
    <row r="137" spans="1:9">
      <c r="A137" s="65">
        <v>0</v>
      </c>
      <c r="B137" s="65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5">
        <v>0</v>
      </c>
      <c r="B138" s="65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5">
        <v>5379</v>
      </c>
      <c r="B139" s="65">
        <v>5379</v>
      </c>
      <c r="D139">
        <f t="shared" si="10"/>
        <v>13.824209714726292</v>
      </c>
      <c r="E139">
        <f t="shared" si="11"/>
        <v>13.824209714726292</v>
      </c>
      <c r="G139">
        <f t="shared" ca="1" si="12"/>
        <v>137</v>
      </c>
      <c r="H139">
        <f t="shared" ca="1" si="13"/>
        <v>1893.916730917502</v>
      </c>
      <c r="I139">
        <f t="shared" ca="1" si="14"/>
        <v>88133.3312611328</v>
      </c>
    </row>
    <row r="140" spans="1:9">
      <c r="A140" s="65">
        <v>0</v>
      </c>
      <c r="B140" s="65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5">
        <v>0</v>
      </c>
      <c r="B141" s="65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5">
        <v>4128</v>
      </c>
      <c r="B142" s="65">
        <v>4128</v>
      </c>
      <c r="D142">
        <f t="shared" si="10"/>
        <v>10.609097918272937</v>
      </c>
      <c r="E142">
        <f t="shared" si="11"/>
        <v>10.609097918272937</v>
      </c>
      <c r="G142">
        <f t="shared" ca="1" si="12"/>
        <v>140</v>
      </c>
      <c r="H142">
        <f t="shared" ca="1" si="13"/>
        <v>1485.2737085582112</v>
      </c>
      <c r="I142">
        <f t="shared" ca="1" si="14"/>
        <v>72814.072888860435</v>
      </c>
    </row>
    <row r="143" spans="1:9">
      <c r="A143" s="65">
        <v>0</v>
      </c>
      <c r="B143" s="65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5">
        <v>3141</v>
      </c>
      <c r="B144" s="65">
        <v>3141</v>
      </c>
      <c r="D144">
        <f t="shared" si="10"/>
        <v>8.0724749421742477</v>
      </c>
      <c r="E144">
        <f t="shared" si="11"/>
        <v>8.0724749421742477</v>
      </c>
      <c r="G144">
        <f t="shared" ca="1" si="12"/>
        <v>142</v>
      </c>
      <c r="H144">
        <f t="shared" ca="1" si="13"/>
        <v>1146.2914417887432</v>
      </c>
      <c r="I144">
        <f t="shared" ca="1" si="14"/>
        <v>58111.672500235931</v>
      </c>
    </row>
    <row r="145" spans="1:9">
      <c r="A145" s="65">
        <v>0</v>
      </c>
      <c r="B145" s="65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5">
        <v>0</v>
      </c>
      <c r="B146" s="65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5">
        <v>2614</v>
      </c>
      <c r="B147" s="65">
        <v>2614</v>
      </c>
      <c r="D147">
        <f t="shared" si="10"/>
        <v>6.7180673348753537</v>
      </c>
      <c r="E147">
        <f t="shared" si="11"/>
        <v>6.7180673348753537</v>
      </c>
      <c r="G147">
        <f t="shared" ca="1" si="12"/>
        <v>145</v>
      </c>
      <c r="H147">
        <f t="shared" ca="1" si="13"/>
        <v>974.11976355692627</v>
      </c>
      <c r="I147">
        <f t="shared" ca="1" si="14"/>
        <v>51842.085744172735</v>
      </c>
    </row>
    <row r="148" spans="1:9">
      <c r="A148" s="65">
        <v>0</v>
      </c>
      <c r="B148" s="65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5">
        <v>1988</v>
      </c>
      <c r="B149" s="65">
        <v>1988</v>
      </c>
      <c r="D149">
        <f t="shared" si="10"/>
        <v>5.1092264199434592</v>
      </c>
      <c r="E149">
        <f t="shared" si="11"/>
        <v>5.1092264199434592</v>
      </c>
      <c r="G149">
        <f t="shared" ca="1" si="12"/>
        <v>147</v>
      </c>
      <c r="H149">
        <f t="shared" ca="1" si="13"/>
        <v>751.0562837316885</v>
      </c>
      <c r="I149">
        <f t="shared" ca="1" si="14"/>
        <v>41242.68252202333</v>
      </c>
    </row>
    <row r="150" spans="1:9">
      <c r="A150" s="65">
        <v>0</v>
      </c>
      <c r="B150" s="65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5">
        <v>0</v>
      </c>
      <c r="B151" s="65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5">
        <v>900</v>
      </c>
      <c r="B152" s="65">
        <v>900</v>
      </c>
      <c r="D152">
        <f t="shared" si="10"/>
        <v>2.3130300693909023</v>
      </c>
      <c r="E152">
        <f t="shared" si="11"/>
        <v>2.3130300693909023</v>
      </c>
      <c r="G152">
        <f t="shared" ca="1" si="12"/>
        <v>150</v>
      </c>
      <c r="H152">
        <f t="shared" ca="1" si="13"/>
        <v>346.95451040863531</v>
      </c>
      <c r="I152">
        <f t="shared" ca="1" si="14"/>
        <v>19938.942573613611</v>
      </c>
    </row>
    <row r="153" spans="1:9">
      <c r="A153" s="65">
        <v>0</v>
      </c>
      <c r="B153" s="65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5">
        <v>999</v>
      </c>
      <c r="B154" s="65">
        <v>999</v>
      </c>
      <c r="D154">
        <f t="shared" si="10"/>
        <v>2.5674633770239015</v>
      </c>
      <c r="E154">
        <f t="shared" si="11"/>
        <v>2.5674633770239015</v>
      </c>
      <c r="G154">
        <f t="shared" ca="1" si="12"/>
        <v>152</v>
      </c>
      <c r="H154">
        <f t="shared" ca="1" si="13"/>
        <v>390.25443330763301</v>
      </c>
      <c r="I154">
        <f t="shared" ca="1" si="14"/>
        <v>23096.004833754443</v>
      </c>
    </row>
    <row r="155" spans="1:9">
      <c r="A155" s="65">
        <v>0</v>
      </c>
      <c r="B155" s="65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5">
        <v>0</v>
      </c>
      <c r="B156" s="65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5">
        <v>194</v>
      </c>
      <c r="B157" s="65">
        <v>194</v>
      </c>
      <c r="D157">
        <f t="shared" si="10"/>
        <v>0.49858648162426111</v>
      </c>
      <c r="E157">
        <f t="shared" si="11"/>
        <v>0.49858648162426111</v>
      </c>
      <c r="G157">
        <f t="shared" ca="1" si="12"/>
        <v>155</v>
      </c>
      <c r="H157">
        <f t="shared" ca="1" si="13"/>
        <v>77.280904651760466</v>
      </c>
      <c r="I157">
        <f t="shared" ca="1" si="14"/>
        <v>4773.3291512463575</v>
      </c>
    </row>
    <row r="158" spans="1:9">
      <c r="A158" s="65">
        <v>0</v>
      </c>
      <c r="B158" s="65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5">
        <v>0</v>
      </c>
      <c r="B159" s="65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5">
        <v>194</v>
      </c>
      <c r="B160" s="65">
        <v>194</v>
      </c>
      <c r="D160">
        <f t="shared" si="10"/>
        <v>0.49858648162426111</v>
      </c>
      <c r="E160">
        <f t="shared" si="11"/>
        <v>0.49858648162426111</v>
      </c>
      <c r="G160">
        <f t="shared" ca="1" si="12"/>
        <v>158</v>
      </c>
      <c r="H160">
        <f t="shared" ca="1" si="13"/>
        <v>78.776664096633255</v>
      </c>
      <c r="I160">
        <f t="shared" ca="1" si="14"/>
        <v>5070.522811365795</v>
      </c>
    </row>
    <row r="161" spans="1:9">
      <c r="A161" s="65">
        <v>0</v>
      </c>
      <c r="B161" s="65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5">
        <v>89</v>
      </c>
      <c r="B162" s="65">
        <v>89</v>
      </c>
      <c r="D162">
        <f t="shared" si="10"/>
        <v>0.22873297352865588</v>
      </c>
      <c r="E162">
        <f t="shared" si="11"/>
        <v>0.22873297352865588</v>
      </c>
      <c r="G162">
        <f t="shared" ca="1" si="12"/>
        <v>160</v>
      </c>
      <c r="H162">
        <f t="shared" ca="1" si="13"/>
        <v>36.597275764584943</v>
      </c>
      <c r="I162">
        <f t="shared" ca="1" si="14"/>
        <v>2419.3492921681509</v>
      </c>
    </row>
    <row r="163" spans="1:9">
      <c r="A163" s="65">
        <v>0</v>
      </c>
      <c r="B163" s="65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5">
        <v>0</v>
      </c>
      <c r="B164" s="65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5">
        <v>0</v>
      </c>
      <c r="B165" s="65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5">
        <v>0</v>
      </c>
      <c r="B166" s="65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5">
        <v>0</v>
      </c>
      <c r="B167" s="65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5">
        <v>0</v>
      </c>
      <c r="B168" s="65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5">
        <v>0</v>
      </c>
      <c r="B169" s="65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5">
        <v>0</v>
      </c>
      <c r="B170" s="65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5">
        <v>0</v>
      </c>
      <c r="B171" s="65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5">
        <v>0</v>
      </c>
      <c r="B172" s="65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5">
        <v>0</v>
      </c>
      <c r="B173" s="65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5">
        <v>0</v>
      </c>
      <c r="B174" s="65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5">
        <v>0</v>
      </c>
      <c r="B175" s="65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5">
        <v>0</v>
      </c>
      <c r="B176" s="65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5">
        <v>0</v>
      </c>
      <c r="B177" s="65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5">
        <v>0</v>
      </c>
      <c r="B178" s="65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5">
        <v>0</v>
      </c>
      <c r="B179" s="65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5">
        <v>0</v>
      </c>
      <c r="B180" s="65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5">
        <v>0</v>
      </c>
      <c r="B181" s="65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5">
        <v>0</v>
      </c>
      <c r="B182" s="65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5">
        <v>0</v>
      </c>
      <c r="B183" s="65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5">
        <v>0</v>
      </c>
      <c r="B184" s="65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5">
        <v>0</v>
      </c>
      <c r="B185" s="65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5">
        <v>0</v>
      </c>
      <c r="B186" s="65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5">
        <v>0</v>
      </c>
      <c r="B187" s="65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5">
        <v>0</v>
      </c>
      <c r="B188" s="65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5">
        <v>0</v>
      </c>
      <c r="B189" s="65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5">
        <v>0</v>
      </c>
      <c r="B190" s="65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5">
        <v>0</v>
      </c>
      <c r="B191" s="65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5">
        <v>0</v>
      </c>
      <c r="B192" s="65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5">
        <v>0</v>
      </c>
      <c r="B193" s="65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5">
        <v>0</v>
      </c>
      <c r="B194" s="65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5">
        <v>0</v>
      </c>
      <c r="B195" s="65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5">
        <v>0</v>
      </c>
      <c r="B196" s="65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5">
        <v>0</v>
      </c>
      <c r="B197" s="65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5">
        <v>0</v>
      </c>
      <c r="B198" s="65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5">
        <v>0</v>
      </c>
      <c r="B199" s="65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5">
        <v>0</v>
      </c>
      <c r="B200" s="65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5">
        <v>0</v>
      </c>
      <c r="B201" s="65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5">
        <v>0</v>
      </c>
      <c r="B202" s="65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5">
        <v>0</v>
      </c>
      <c r="B203" s="65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5">
        <v>0</v>
      </c>
      <c r="B204" s="65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5">
        <v>0</v>
      </c>
      <c r="B205" s="65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5">
        <v>0</v>
      </c>
      <c r="B206" s="65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5">
        <v>0</v>
      </c>
      <c r="B207" s="65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5">
        <v>0</v>
      </c>
      <c r="B208" s="65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5">
        <v>0</v>
      </c>
      <c r="B209" s="65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5">
        <v>0</v>
      </c>
      <c r="B210" s="65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5">
        <v>0</v>
      </c>
      <c r="B211" s="65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5">
        <v>0</v>
      </c>
      <c r="B212" s="65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5">
        <v>0</v>
      </c>
      <c r="B213" s="65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5">
        <v>0</v>
      </c>
      <c r="B214" s="65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5">
        <v>0</v>
      </c>
      <c r="B215" s="65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5">
        <v>0</v>
      </c>
      <c r="B216" s="65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5">
        <v>0</v>
      </c>
      <c r="B217" s="65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5">
        <v>0</v>
      </c>
      <c r="B218" s="65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5">
        <v>0</v>
      </c>
      <c r="B219" s="65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5">
        <v>0</v>
      </c>
      <c r="B220" s="65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5">
        <v>0</v>
      </c>
      <c r="B221" s="65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5">
        <v>0</v>
      </c>
      <c r="B222" s="65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5">
        <v>0</v>
      </c>
      <c r="B223" s="65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5">
        <v>0</v>
      </c>
      <c r="B224" s="65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5">
        <v>0</v>
      </c>
      <c r="B225" s="65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5">
        <v>0</v>
      </c>
      <c r="B226" s="65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5">
        <v>0</v>
      </c>
      <c r="B227" s="65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5">
        <v>0</v>
      </c>
      <c r="B228" s="65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5">
        <v>0</v>
      </c>
      <c r="B229" s="65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5">
        <v>0</v>
      </c>
      <c r="B230" s="65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5">
        <v>0</v>
      </c>
      <c r="B231" s="65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5">
        <v>0</v>
      </c>
      <c r="B232" s="65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5">
        <v>0</v>
      </c>
      <c r="B233" s="65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5">
        <v>0</v>
      </c>
      <c r="B234" s="65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5">
        <v>0</v>
      </c>
      <c r="B235" s="65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5">
        <v>0</v>
      </c>
      <c r="B236" s="65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5">
        <v>0</v>
      </c>
      <c r="B237" s="65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5">
        <v>0</v>
      </c>
      <c r="B238" s="65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5">
        <v>0</v>
      </c>
      <c r="B239" s="65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5">
        <v>0</v>
      </c>
      <c r="B240" s="65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5">
        <v>0</v>
      </c>
      <c r="B241" s="65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5">
        <v>0</v>
      </c>
      <c r="B242" s="65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5">
        <v>0</v>
      </c>
      <c r="B243" s="65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5">
        <v>0</v>
      </c>
      <c r="B244" s="65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5">
        <v>0</v>
      </c>
      <c r="B245" s="65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5">
        <v>0</v>
      </c>
      <c r="B246" s="65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5">
        <v>0</v>
      </c>
      <c r="B247" s="65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5">
        <v>0</v>
      </c>
      <c r="B248" s="65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5">
        <v>0</v>
      </c>
      <c r="B249" s="65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5">
        <v>0</v>
      </c>
      <c r="B250" s="65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5">
        <v>0</v>
      </c>
      <c r="B251" s="65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5">
        <v>0</v>
      </c>
      <c r="B252" s="65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5">
        <v>0</v>
      </c>
      <c r="B253" s="65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5">
        <v>0</v>
      </c>
      <c r="B254" s="65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5">
        <v>0</v>
      </c>
      <c r="B255" s="65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5">
        <v>0</v>
      </c>
      <c r="B256" s="65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5">
        <v>0</v>
      </c>
      <c r="B257" s="65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257"/>
  <sheetViews>
    <sheetView workbookViewId="0">
      <selection sqref="A1:B1048576"/>
    </sheetView>
  </sheetViews>
  <sheetFormatPr defaultRowHeight="14"/>
  <cols>
    <col min="14" max="14" width="10.26953125" bestFit="1" customWidth="1"/>
  </cols>
  <sheetData>
    <row r="1" spans="1:12">
      <c r="A1" s="89" t="s">
        <v>393</v>
      </c>
      <c r="B1" s="89" t="s">
        <v>394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0">
        <f ca="1">SUM(H2:H257)/SUM(D2:D257)</f>
        <v>98.15356372523199</v>
      </c>
    </row>
    <row r="2" spans="1:12">
      <c r="A2" s="65">
        <v>0</v>
      </c>
      <c r="B2" s="65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0">
        <f ca="1">L1*info!L2/255</f>
        <v>1.8827393186244206</v>
      </c>
    </row>
    <row r="3" spans="1:12">
      <c r="A3" s="65">
        <v>0</v>
      </c>
      <c r="B3" s="65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0">
        <f ca="1">SQRT(SUM(I2:I257)/SUM(D2:D257))*info!L2/255</f>
        <v>0.92515194643668053</v>
      </c>
    </row>
    <row r="4" spans="1:12">
      <c r="A4" s="65">
        <v>0</v>
      </c>
      <c r="B4" s="65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5">
        <v>0</v>
      </c>
      <c r="B5" s="65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5">
        <v>0</v>
      </c>
      <c r="B6" s="65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5">
        <v>0</v>
      </c>
      <c r="B7" s="65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5">
        <v>1055</v>
      </c>
      <c r="B8" s="65">
        <v>1055</v>
      </c>
      <c r="D8">
        <f t="shared" si="0"/>
        <v>1.9629367766903583</v>
      </c>
      <c r="E8">
        <f t="shared" si="1"/>
        <v>1.9629367766903583</v>
      </c>
      <c r="G8">
        <f t="shared" ca="1" si="2"/>
        <v>6</v>
      </c>
      <c r="H8">
        <f t="shared" ca="1" si="3"/>
        <v>11.77762066014215</v>
      </c>
      <c r="I8">
        <f t="shared" ca="1" si="4"/>
        <v>16669.807370147944</v>
      </c>
    </row>
    <row r="9" spans="1:12">
      <c r="A9" s="65">
        <v>0</v>
      </c>
      <c r="B9" s="65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5">
        <v>1366</v>
      </c>
      <c r="B10" s="65">
        <v>1366</v>
      </c>
      <c r="D10">
        <f t="shared" si="0"/>
        <v>2.5415844900085589</v>
      </c>
      <c r="E10">
        <f t="shared" si="1"/>
        <v>2.5415844900085589</v>
      </c>
      <c r="G10">
        <f t="shared" ca="1" si="2"/>
        <v>8</v>
      </c>
      <c r="H10">
        <f t="shared" ca="1" si="3"/>
        <v>20.332675920068471</v>
      </c>
      <c r="I10">
        <f t="shared" ca="1" si="4"/>
        <v>20657.14743706142</v>
      </c>
    </row>
    <row r="11" spans="1:12">
      <c r="A11" s="65">
        <v>0</v>
      </c>
      <c r="B11" s="65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5">
        <v>0</v>
      </c>
      <c r="B12" s="65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5">
        <v>4092</v>
      </c>
      <c r="B13" s="65">
        <v>4092</v>
      </c>
      <c r="D13">
        <f t="shared" si="0"/>
        <v>7.6135898485468685</v>
      </c>
      <c r="E13">
        <f t="shared" si="1"/>
        <v>7.6135898485468685</v>
      </c>
      <c r="G13">
        <f t="shared" ca="1" si="2"/>
        <v>11</v>
      </c>
      <c r="H13">
        <f t="shared" ca="1" si="3"/>
        <v>83.749488334015552</v>
      </c>
      <c r="I13">
        <f t="shared" ca="1" si="4"/>
        <v>57830.876898137605</v>
      </c>
    </row>
    <row r="14" spans="1:12">
      <c r="A14" s="65">
        <v>0</v>
      </c>
      <c r="B14" s="65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5">
        <v>4503</v>
      </c>
      <c r="B15" s="65">
        <v>4503</v>
      </c>
      <c r="D15">
        <f t="shared" si="0"/>
        <v>8.3782979198451972</v>
      </c>
      <c r="E15">
        <f t="shared" si="1"/>
        <v>8.3782979198451972</v>
      </c>
      <c r="G15">
        <f t="shared" ca="1" si="2"/>
        <v>13</v>
      </c>
      <c r="H15">
        <f t="shared" ca="1" si="3"/>
        <v>108.91787295798757</v>
      </c>
      <c r="I15">
        <f t="shared" ca="1" si="4"/>
        <v>60752.122495120515</v>
      </c>
    </row>
    <row r="16" spans="1:12">
      <c r="A16" s="65">
        <v>0</v>
      </c>
      <c r="B16" s="65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5">
        <v>0</v>
      </c>
      <c r="B17" s="65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5">
        <v>5306</v>
      </c>
      <c r="B18" s="65">
        <v>5306</v>
      </c>
      <c r="D18">
        <f t="shared" si="0"/>
        <v>9.8723625944256312</v>
      </c>
      <c r="E18">
        <f t="shared" si="1"/>
        <v>9.8723625944256312</v>
      </c>
      <c r="G18">
        <f t="shared" ca="1" si="2"/>
        <v>16</v>
      </c>
      <c r="H18">
        <f t="shared" ca="1" si="3"/>
        <v>157.9578015108101</v>
      </c>
      <c r="I18">
        <f t="shared" ca="1" si="4"/>
        <v>66630.628924574892</v>
      </c>
    </row>
    <row r="19" spans="1:9">
      <c r="A19" s="65">
        <v>0</v>
      </c>
      <c r="B19" s="65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5">
        <v>0</v>
      </c>
      <c r="B20" s="65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5">
        <v>7196</v>
      </c>
      <c r="B21" s="65">
        <v>7196</v>
      </c>
      <c r="D21">
        <f t="shared" si="0"/>
        <v>13.388903360250065</v>
      </c>
      <c r="E21">
        <f t="shared" si="1"/>
        <v>13.388903360250065</v>
      </c>
      <c r="G21">
        <f t="shared" ca="1" si="2"/>
        <v>19</v>
      </c>
      <c r="H21">
        <f t="shared" ca="1" si="3"/>
        <v>254.38916384475124</v>
      </c>
      <c r="I21">
        <f t="shared" ca="1" si="4"/>
        <v>83885.317486528831</v>
      </c>
    </row>
    <row r="22" spans="1:9">
      <c r="A22" s="65">
        <v>0</v>
      </c>
      <c r="B22" s="65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5">
        <v>8043</v>
      </c>
      <c r="B23" s="65">
        <v>8043</v>
      </c>
      <c r="D23">
        <f t="shared" si="0"/>
        <v>14.964834592341756</v>
      </c>
      <c r="E23">
        <f t="shared" si="1"/>
        <v>14.964834592341756</v>
      </c>
      <c r="G23">
        <f t="shared" ca="1" si="2"/>
        <v>21</v>
      </c>
      <c r="H23">
        <f t="shared" ca="1" si="3"/>
        <v>314.26152643917686</v>
      </c>
      <c r="I23">
        <f t="shared" ca="1" si="4"/>
        <v>89080.757781107648</v>
      </c>
    </row>
    <row r="24" spans="1:9">
      <c r="A24" s="65">
        <v>0</v>
      </c>
      <c r="B24" s="65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5">
        <v>0</v>
      </c>
      <c r="B25" s="65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5">
        <v>6693</v>
      </c>
      <c r="B26" s="65">
        <v>6693</v>
      </c>
      <c r="D26">
        <f t="shared" si="0"/>
        <v>12.453019759610017</v>
      </c>
      <c r="E26">
        <f t="shared" si="1"/>
        <v>12.453019759610017</v>
      </c>
      <c r="G26">
        <f t="shared" ca="1" si="2"/>
        <v>24</v>
      </c>
      <c r="H26">
        <f t="shared" ca="1" si="3"/>
        <v>298.87247423064042</v>
      </c>
      <c r="I26">
        <f t="shared" ca="1" si="4"/>
        <v>68476.055019957974</v>
      </c>
    </row>
    <row r="27" spans="1:9">
      <c r="A27" s="65">
        <v>0</v>
      </c>
      <c r="B27" s="65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5">
        <v>13133</v>
      </c>
      <c r="B28" s="65">
        <v>13133</v>
      </c>
      <c r="D28">
        <f t="shared" si="0"/>
        <v>24.43530681353031</v>
      </c>
      <c r="E28">
        <f t="shared" si="1"/>
        <v>24.43530681353031</v>
      </c>
      <c r="G28">
        <f t="shared" ca="1" si="2"/>
        <v>26</v>
      </c>
      <c r="H28">
        <f t="shared" ca="1" si="3"/>
        <v>635.31797715178811</v>
      </c>
      <c r="I28">
        <f t="shared" ca="1" si="4"/>
        <v>127213.54900106405</v>
      </c>
    </row>
    <row r="29" spans="1:9">
      <c r="A29" s="65">
        <v>0</v>
      </c>
      <c r="B29" s="65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5">
        <v>0</v>
      </c>
      <c r="B30" s="65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5">
        <v>18289</v>
      </c>
      <c r="B31" s="65">
        <v>18289</v>
      </c>
      <c r="D31">
        <f t="shared" si="0"/>
        <v>34.028578870985747</v>
      </c>
      <c r="E31">
        <f t="shared" si="1"/>
        <v>34.028578870985747</v>
      </c>
      <c r="G31">
        <f t="shared" ca="1" si="2"/>
        <v>29</v>
      </c>
      <c r="H31">
        <f t="shared" ca="1" si="3"/>
        <v>986.82878725858666</v>
      </c>
      <c r="I31">
        <f t="shared" ca="1" si="4"/>
        <v>162731.99309684444</v>
      </c>
    </row>
    <row r="32" spans="1:9">
      <c r="A32" s="65">
        <v>0</v>
      </c>
      <c r="B32" s="65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5">
        <v>15918</v>
      </c>
      <c r="B33" s="65">
        <v>15918</v>
      </c>
      <c r="D33">
        <f t="shared" si="0"/>
        <v>29.617087783276894</v>
      </c>
      <c r="E33">
        <f t="shared" si="1"/>
        <v>29.617087783276894</v>
      </c>
      <c r="G33">
        <f t="shared" ca="1" si="2"/>
        <v>31</v>
      </c>
      <c r="H33">
        <f t="shared" ca="1" si="3"/>
        <v>918.12972128158367</v>
      </c>
      <c r="I33">
        <f t="shared" ca="1" si="4"/>
        <v>133561.25226818517</v>
      </c>
    </row>
    <row r="34" spans="1:9">
      <c r="A34" s="65">
        <v>0</v>
      </c>
      <c r="B34" s="65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5">
        <v>0</v>
      </c>
      <c r="B35" s="65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5">
        <v>20152</v>
      </c>
      <c r="B36" s="65">
        <v>20152</v>
      </c>
      <c r="D36">
        <f t="shared" si="0"/>
        <v>37.494883340155546</v>
      </c>
      <c r="E36">
        <f t="shared" si="1"/>
        <v>37.494883340155546</v>
      </c>
      <c r="G36">
        <f t="shared" ca="1" si="2"/>
        <v>34</v>
      </c>
      <c r="H36">
        <f t="shared" ca="1" si="3"/>
        <v>1274.8260335652885</v>
      </c>
      <c r="I36">
        <f t="shared" ca="1" si="4"/>
        <v>154316.93166602621</v>
      </c>
    </row>
    <row r="37" spans="1:9">
      <c r="A37" s="65">
        <v>0</v>
      </c>
      <c r="B37" s="65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5">
        <v>0</v>
      </c>
      <c r="B38" s="65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5">
        <v>21930</v>
      </c>
      <c r="B39" s="65">
        <v>21930</v>
      </c>
      <c r="D39">
        <f t="shared" si="0"/>
        <v>40.803036505042236</v>
      </c>
      <c r="E39">
        <f t="shared" si="1"/>
        <v>40.803036505042236</v>
      </c>
      <c r="G39">
        <f t="shared" ca="1" si="2"/>
        <v>37</v>
      </c>
      <c r="H39">
        <f t="shared" ca="1" si="3"/>
        <v>1509.7123506865628</v>
      </c>
      <c r="I39">
        <f t="shared" ca="1" si="4"/>
        <v>152593.49673198283</v>
      </c>
    </row>
    <row r="40" spans="1:9">
      <c r="A40" s="65">
        <v>0</v>
      </c>
      <c r="B40" s="65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5">
        <v>28814</v>
      </c>
      <c r="B41" s="65">
        <v>28814</v>
      </c>
      <c r="D41">
        <f t="shared" si="0"/>
        <v>53.6114315483943</v>
      </c>
      <c r="E41">
        <f t="shared" si="1"/>
        <v>53.6114315483943</v>
      </c>
      <c r="G41">
        <f t="shared" ca="1" si="2"/>
        <v>39</v>
      </c>
      <c r="H41">
        <f t="shared" ca="1" si="3"/>
        <v>2090.8458303873776</v>
      </c>
      <c r="I41">
        <f t="shared" ca="1" si="4"/>
        <v>187594.12446991014</v>
      </c>
    </row>
    <row r="42" spans="1:9">
      <c r="A42" s="65">
        <v>0</v>
      </c>
      <c r="B42" s="65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5">
        <v>0</v>
      </c>
      <c r="B43" s="65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5">
        <v>27713</v>
      </c>
      <c r="B44" s="65">
        <v>27713</v>
      </c>
      <c r="D44">
        <f t="shared" si="0"/>
        <v>51.562907007033083</v>
      </c>
      <c r="E44">
        <f t="shared" si="1"/>
        <v>51.562907007033083</v>
      </c>
      <c r="G44">
        <f t="shared" ca="1" si="2"/>
        <v>42</v>
      </c>
      <c r="H44">
        <f t="shared" ca="1" si="3"/>
        <v>2165.6420942953896</v>
      </c>
      <c r="I44">
        <f t="shared" ca="1" si="4"/>
        <v>162589.3298345138</v>
      </c>
    </row>
    <row r="45" spans="1:9">
      <c r="A45" s="65">
        <v>0</v>
      </c>
      <c r="B45" s="65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5">
        <v>32165</v>
      </c>
      <c r="B46" s="65">
        <v>32165</v>
      </c>
      <c r="D46">
        <f t="shared" si="0"/>
        <v>59.846314144308415</v>
      </c>
      <c r="E46">
        <f t="shared" si="1"/>
        <v>59.846314144308415</v>
      </c>
      <c r="G46">
        <f t="shared" ca="1" si="2"/>
        <v>44</v>
      </c>
      <c r="H46">
        <f t="shared" ca="1" si="3"/>
        <v>2633.2378223495703</v>
      </c>
      <c r="I46">
        <f t="shared" ca="1" si="4"/>
        <v>175505.80740734556</v>
      </c>
    </row>
    <row r="47" spans="1:9">
      <c r="A47" s="65">
        <v>0</v>
      </c>
      <c r="B47" s="65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5">
        <v>0</v>
      </c>
      <c r="B48" s="65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5">
        <v>38278</v>
      </c>
      <c r="B49" s="65">
        <v>38278</v>
      </c>
      <c r="D49">
        <f t="shared" si="0"/>
        <v>71.22018382763369</v>
      </c>
      <c r="E49">
        <f t="shared" si="1"/>
        <v>71.22018382763369</v>
      </c>
      <c r="G49">
        <f t="shared" ca="1" si="2"/>
        <v>47</v>
      </c>
      <c r="H49">
        <f t="shared" ca="1" si="3"/>
        <v>3347.3486398987834</v>
      </c>
      <c r="I49">
        <f t="shared" ca="1" si="4"/>
        <v>186360.93498457572</v>
      </c>
    </row>
    <row r="50" spans="1:9">
      <c r="A50" s="65">
        <v>0</v>
      </c>
      <c r="B50" s="65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5">
        <v>37454</v>
      </c>
      <c r="B51" s="65">
        <v>37454</v>
      </c>
      <c r="D51">
        <f t="shared" si="0"/>
        <v>69.687046477877416</v>
      </c>
      <c r="E51">
        <f t="shared" si="1"/>
        <v>69.687046477877416</v>
      </c>
      <c r="G51">
        <f t="shared" ca="1" si="2"/>
        <v>49</v>
      </c>
      <c r="H51">
        <f t="shared" ca="1" si="3"/>
        <v>3414.6652774159934</v>
      </c>
      <c r="I51">
        <f t="shared" ca="1" si="4"/>
        <v>168368.97938145092</v>
      </c>
    </row>
    <row r="52" spans="1:9">
      <c r="A52" s="65">
        <v>0</v>
      </c>
      <c r="B52" s="65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5">
        <v>0</v>
      </c>
      <c r="B53" s="65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5">
        <v>48034</v>
      </c>
      <c r="B54" s="65">
        <v>48034</v>
      </c>
      <c r="D54">
        <f t="shared" si="0"/>
        <v>89.372232352175047</v>
      </c>
      <c r="E54">
        <f t="shared" si="1"/>
        <v>89.372232352175047</v>
      </c>
      <c r="G54">
        <f t="shared" ca="1" si="2"/>
        <v>52</v>
      </c>
      <c r="H54">
        <f t="shared" ca="1" si="3"/>
        <v>4647.3560823131029</v>
      </c>
      <c r="I54">
        <f t="shared" ca="1" si="4"/>
        <v>190376.38984666532</v>
      </c>
    </row>
    <row r="55" spans="1:9">
      <c r="A55" s="65">
        <v>0</v>
      </c>
      <c r="B55" s="65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5">
        <v>0</v>
      </c>
      <c r="B56" s="65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5">
        <v>47289</v>
      </c>
      <c r="B57" s="65">
        <v>47289</v>
      </c>
      <c r="D57">
        <f t="shared" si="0"/>
        <v>87.986082685223082</v>
      </c>
      <c r="E57">
        <f t="shared" si="1"/>
        <v>87.986082685223082</v>
      </c>
      <c r="G57">
        <f t="shared" ca="1" si="2"/>
        <v>55</v>
      </c>
      <c r="H57">
        <f t="shared" ca="1" si="3"/>
        <v>4839.2345476872697</v>
      </c>
      <c r="I57">
        <f t="shared" ca="1" si="4"/>
        <v>163850.32823055141</v>
      </c>
    </row>
    <row r="58" spans="1:9">
      <c r="A58" s="65">
        <v>0</v>
      </c>
      <c r="B58" s="65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5">
        <v>49156</v>
      </c>
      <c r="B59" s="65">
        <v>49156</v>
      </c>
      <c r="D59">
        <f t="shared" si="0"/>
        <v>91.459829568712095</v>
      </c>
      <c r="E59">
        <f t="shared" si="1"/>
        <v>91.459829568712095</v>
      </c>
      <c r="G59">
        <f t="shared" ca="1" si="2"/>
        <v>57</v>
      </c>
      <c r="H59">
        <f t="shared" ca="1" si="3"/>
        <v>5213.2102854165896</v>
      </c>
      <c r="I59">
        <f t="shared" ca="1" si="4"/>
        <v>154897.81308932111</v>
      </c>
    </row>
    <row r="60" spans="1:9">
      <c r="A60" s="65">
        <v>0</v>
      </c>
      <c r="B60" s="65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5">
        <v>0</v>
      </c>
      <c r="B61" s="65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5">
        <v>52425</v>
      </c>
      <c r="B62" s="65">
        <v>52425</v>
      </c>
      <c r="D62">
        <f t="shared" si="0"/>
        <v>97.542142671082502</v>
      </c>
      <c r="E62">
        <f t="shared" si="1"/>
        <v>97.542142671082502</v>
      </c>
      <c r="G62">
        <f t="shared" ca="1" si="2"/>
        <v>60</v>
      </c>
      <c r="H62">
        <f t="shared" ca="1" si="3"/>
        <v>5852.5285602649501</v>
      </c>
      <c r="I62">
        <f t="shared" ca="1" si="4"/>
        <v>141991.55328254218</v>
      </c>
    </row>
    <row r="63" spans="1:9">
      <c r="A63" s="65">
        <v>0</v>
      </c>
      <c r="B63" s="65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5">
        <v>53746</v>
      </c>
      <c r="B64" s="65">
        <v>53746</v>
      </c>
      <c r="D64">
        <f t="shared" si="0"/>
        <v>100</v>
      </c>
      <c r="E64">
        <f t="shared" si="1"/>
        <v>100</v>
      </c>
      <c r="G64">
        <f t="shared" ca="1" si="2"/>
        <v>62</v>
      </c>
      <c r="H64">
        <f t="shared" ca="1" si="3"/>
        <v>6200</v>
      </c>
      <c r="I64">
        <f t="shared" ca="1" si="4"/>
        <v>130708.01700344104</v>
      </c>
    </row>
    <row r="65" spans="1:9">
      <c r="A65" s="65">
        <v>0</v>
      </c>
      <c r="B65" s="65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5">
        <v>0</v>
      </c>
      <c r="B66" s="65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5">
        <v>44461</v>
      </c>
      <c r="B67" s="65">
        <v>44461</v>
      </c>
      <c r="D67">
        <f t="shared" ref="D67:D130" si="5">IFERROR(100*A67/MAX(A$2:A$257), 0 )</f>
        <v>82.724295761545051</v>
      </c>
      <c r="E67">
        <f t="shared" ref="E67:E130" si="6">IFERROR(100*B67/MAX(B$2:B$257), 0 )</f>
        <v>82.724295761545051</v>
      </c>
      <c r="G67">
        <f t="shared" ref="G67:G130" ca="1" si="7">CELL("row",D67)-2</f>
        <v>65</v>
      </c>
      <c r="H67">
        <f t="shared" ref="H67:H130" ca="1" si="8">D67*G67</f>
        <v>5377.0792245004286</v>
      </c>
      <c r="I67">
        <f t="shared" ref="I67:I130" ca="1" si="9">D67*((G67-$L$1)^2)</f>
        <v>90927.136641191333</v>
      </c>
    </row>
    <row r="68" spans="1:9">
      <c r="A68" s="65">
        <v>0</v>
      </c>
      <c r="B68" s="65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5">
        <v>41649</v>
      </c>
      <c r="B69" s="65">
        <v>41649</v>
      </c>
      <c r="D69">
        <f t="shared" si="5"/>
        <v>77.492278495143822</v>
      </c>
      <c r="E69">
        <f t="shared" si="6"/>
        <v>77.492278495143822</v>
      </c>
      <c r="G69">
        <f t="shared" ca="1" si="7"/>
        <v>67</v>
      </c>
      <c r="H69">
        <f t="shared" ca="1" si="8"/>
        <v>5191.982659174636</v>
      </c>
      <c r="I69">
        <f t="shared" ca="1" si="9"/>
        <v>75209.707226289</v>
      </c>
    </row>
    <row r="70" spans="1:9">
      <c r="A70" s="65">
        <v>0</v>
      </c>
      <c r="B70" s="65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5">
        <v>0</v>
      </c>
      <c r="B71" s="65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5">
        <v>36517</v>
      </c>
      <c r="B72" s="65">
        <v>36517</v>
      </c>
      <c r="D72">
        <f t="shared" si="5"/>
        <v>67.943660923603616</v>
      </c>
      <c r="E72">
        <f t="shared" si="6"/>
        <v>67.943660923603616</v>
      </c>
      <c r="G72">
        <f t="shared" ca="1" si="7"/>
        <v>70</v>
      </c>
      <c r="H72">
        <f t="shared" ca="1" si="8"/>
        <v>4756.056264652253</v>
      </c>
      <c r="I72">
        <f t="shared" ca="1" si="9"/>
        <v>53853.718573061851</v>
      </c>
    </row>
    <row r="73" spans="1:9">
      <c r="A73" s="65">
        <v>0</v>
      </c>
      <c r="B73" s="65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5">
        <v>0</v>
      </c>
      <c r="B74" s="65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5">
        <v>35211</v>
      </c>
      <c r="B75" s="65">
        <v>35211</v>
      </c>
      <c r="D75">
        <f t="shared" si="5"/>
        <v>65.513712648383134</v>
      </c>
      <c r="E75">
        <f t="shared" si="6"/>
        <v>65.513712648383134</v>
      </c>
      <c r="G75">
        <f t="shared" ca="1" si="7"/>
        <v>73</v>
      </c>
      <c r="H75">
        <f t="shared" ca="1" si="8"/>
        <v>4782.501023331969</v>
      </c>
      <c r="I75">
        <f t="shared" ca="1" si="9"/>
        <v>41450.641826071638</v>
      </c>
    </row>
    <row r="76" spans="1:9">
      <c r="A76" s="65">
        <v>0</v>
      </c>
      <c r="B76" s="65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5">
        <v>31964</v>
      </c>
      <c r="B77" s="65">
        <v>31964</v>
      </c>
      <c r="D77">
        <f t="shared" si="5"/>
        <v>59.472332824768358</v>
      </c>
      <c r="E77">
        <f t="shared" si="6"/>
        <v>59.472332824768358</v>
      </c>
      <c r="G77">
        <f t="shared" ca="1" si="7"/>
        <v>75</v>
      </c>
      <c r="H77">
        <f t="shared" ca="1" si="8"/>
        <v>4460.4249618576268</v>
      </c>
      <c r="I77">
        <f t="shared" ca="1" si="9"/>
        <v>31882.375006946932</v>
      </c>
    </row>
    <row r="78" spans="1:9">
      <c r="A78" s="65">
        <v>0</v>
      </c>
      <c r="B78" s="65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5">
        <v>0</v>
      </c>
      <c r="B79" s="65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5">
        <v>26539</v>
      </c>
      <c r="B80" s="65">
        <v>26539</v>
      </c>
      <c r="D80">
        <f t="shared" si="5"/>
        <v>49.378558404346371</v>
      </c>
      <c r="E80">
        <f t="shared" si="6"/>
        <v>49.378558404346371</v>
      </c>
      <c r="G80">
        <f t="shared" ca="1" si="7"/>
        <v>78</v>
      </c>
      <c r="H80">
        <f t="shared" ca="1" si="8"/>
        <v>3851.5275555390172</v>
      </c>
      <c r="I80">
        <f t="shared" ca="1" si="9"/>
        <v>20055.898012907754</v>
      </c>
    </row>
    <row r="81" spans="1:9">
      <c r="A81" s="65">
        <v>0</v>
      </c>
      <c r="B81" s="65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5">
        <v>23697</v>
      </c>
      <c r="B82" s="65">
        <v>23697</v>
      </c>
      <c r="D82">
        <f t="shared" si="5"/>
        <v>44.090723030551111</v>
      </c>
      <c r="E82">
        <f t="shared" si="6"/>
        <v>44.090723030551111</v>
      </c>
      <c r="G82">
        <f t="shared" ca="1" si="7"/>
        <v>80</v>
      </c>
      <c r="H82">
        <f t="shared" ca="1" si="8"/>
        <v>3527.257842444089</v>
      </c>
      <c r="I82">
        <f t="shared" ca="1" si="9"/>
        <v>14530.1804856544</v>
      </c>
    </row>
    <row r="83" spans="1:9">
      <c r="A83" s="65">
        <v>0</v>
      </c>
      <c r="B83" s="65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5">
        <v>0</v>
      </c>
      <c r="B84" s="65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5">
        <v>21889</v>
      </c>
      <c r="B85" s="65">
        <v>21889</v>
      </c>
      <c r="D85">
        <f t="shared" si="5"/>
        <v>40.726751758270382</v>
      </c>
      <c r="E85">
        <f t="shared" si="6"/>
        <v>40.726751758270382</v>
      </c>
      <c r="G85">
        <f t="shared" ca="1" si="7"/>
        <v>83</v>
      </c>
      <c r="H85">
        <f t="shared" ca="1" si="8"/>
        <v>3380.3203959364419</v>
      </c>
      <c r="I85">
        <f t="shared" ca="1" si="9"/>
        <v>9352.1041079445586</v>
      </c>
    </row>
    <row r="86" spans="1:9">
      <c r="A86" s="65">
        <v>0</v>
      </c>
      <c r="B86" s="65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5">
        <v>0</v>
      </c>
      <c r="B87" s="65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5">
        <v>20227</v>
      </c>
      <c r="B88" s="65">
        <v>20227</v>
      </c>
      <c r="D88">
        <f t="shared" si="5"/>
        <v>37.63442860864064</v>
      </c>
      <c r="E88">
        <f t="shared" si="6"/>
        <v>37.63442860864064</v>
      </c>
      <c r="G88">
        <f t="shared" ca="1" si="7"/>
        <v>86</v>
      </c>
      <c r="H88">
        <f t="shared" ca="1" si="8"/>
        <v>3236.5608603430951</v>
      </c>
      <c r="I88">
        <f t="shared" ca="1" si="9"/>
        <v>5558.9480011780988</v>
      </c>
    </row>
    <row r="89" spans="1:9">
      <c r="A89" s="65">
        <v>0</v>
      </c>
      <c r="B89" s="65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5">
        <v>17518</v>
      </c>
      <c r="B90" s="65">
        <v>17518</v>
      </c>
      <c r="D90">
        <f t="shared" si="5"/>
        <v>32.594053510958958</v>
      </c>
      <c r="E90">
        <f t="shared" si="6"/>
        <v>32.594053510958958</v>
      </c>
      <c r="G90">
        <f t="shared" ca="1" si="7"/>
        <v>88</v>
      </c>
      <c r="H90">
        <f t="shared" ca="1" si="8"/>
        <v>2868.2767089643885</v>
      </c>
      <c r="I90">
        <f t="shared" ca="1" si="9"/>
        <v>3360.279263675201</v>
      </c>
    </row>
    <row r="91" spans="1:9">
      <c r="A91" s="65">
        <v>0</v>
      </c>
      <c r="B91" s="65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5">
        <v>0</v>
      </c>
      <c r="B92" s="65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5">
        <v>15120</v>
      </c>
      <c r="B93" s="65">
        <v>15120</v>
      </c>
      <c r="D93">
        <f t="shared" si="5"/>
        <v>28.132326126595469</v>
      </c>
      <c r="E93">
        <f t="shared" si="6"/>
        <v>28.132326126595469</v>
      </c>
      <c r="G93">
        <f t="shared" ca="1" si="7"/>
        <v>91</v>
      </c>
      <c r="H93">
        <f t="shared" ca="1" si="8"/>
        <v>2560.0416775201875</v>
      </c>
      <c r="I93">
        <f t="shared" ca="1" si="9"/>
        <v>1439.6288587817501</v>
      </c>
    </row>
    <row r="94" spans="1:9">
      <c r="A94" s="65">
        <v>0</v>
      </c>
      <c r="B94" s="65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5">
        <v>17063</v>
      </c>
      <c r="B95" s="65">
        <v>17063</v>
      </c>
      <c r="D95">
        <f t="shared" si="5"/>
        <v>31.74747888214937</v>
      </c>
      <c r="E95">
        <f t="shared" si="6"/>
        <v>31.74747888214937</v>
      </c>
      <c r="G95">
        <f t="shared" ca="1" si="7"/>
        <v>93</v>
      </c>
      <c r="H95">
        <f t="shared" ca="1" si="8"/>
        <v>2952.5155360398912</v>
      </c>
      <c r="I95">
        <f t="shared" ca="1" si="9"/>
        <v>843.18824655206186</v>
      </c>
    </row>
    <row r="96" spans="1:9">
      <c r="A96" s="65">
        <v>0</v>
      </c>
      <c r="B96" s="65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5">
        <v>0</v>
      </c>
      <c r="B97" s="65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5">
        <v>16744</v>
      </c>
      <c r="B98" s="65">
        <v>16744</v>
      </c>
      <c r="D98">
        <f t="shared" si="5"/>
        <v>31.153946340192757</v>
      </c>
      <c r="E98">
        <f t="shared" si="6"/>
        <v>31.153946340192757</v>
      </c>
      <c r="G98">
        <f t="shared" ca="1" si="7"/>
        <v>96</v>
      </c>
      <c r="H98">
        <f t="shared" ca="1" si="8"/>
        <v>2990.7788486585046</v>
      </c>
      <c r="I98">
        <f t="shared" ca="1" si="9"/>
        <v>144.48691626693315</v>
      </c>
    </row>
    <row r="99" spans="1:9">
      <c r="A99" s="65">
        <v>0</v>
      </c>
      <c r="B99" s="65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5">
        <v>16759</v>
      </c>
      <c r="B100" s="65">
        <v>16759</v>
      </c>
      <c r="D100">
        <f t="shared" si="5"/>
        <v>31.181855393889776</v>
      </c>
      <c r="E100">
        <f t="shared" si="6"/>
        <v>31.181855393889776</v>
      </c>
      <c r="G100">
        <f t="shared" ca="1" si="7"/>
        <v>98</v>
      </c>
      <c r="H100">
        <f t="shared" ca="1" si="8"/>
        <v>3055.8218286011979</v>
      </c>
      <c r="I100">
        <f t="shared" ca="1" si="9"/>
        <v>0.7353248296686774</v>
      </c>
    </row>
    <row r="101" spans="1:9">
      <c r="A101" s="65">
        <v>0</v>
      </c>
      <c r="B101" s="65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5">
        <v>0</v>
      </c>
      <c r="B102" s="65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5">
        <v>14341</v>
      </c>
      <c r="B103" s="65">
        <v>14341</v>
      </c>
      <c r="D103">
        <f t="shared" si="5"/>
        <v>26.682915937930265</v>
      </c>
      <c r="E103">
        <f t="shared" si="6"/>
        <v>26.682915937930265</v>
      </c>
      <c r="G103">
        <f t="shared" ca="1" si="7"/>
        <v>101</v>
      </c>
      <c r="H103">
        <f t="shared" ca="1" si="8"/>
        <v>2694.9745097309569</v>
      </c>
      <c r="I103">
        <f t="shared" ca="1" si="9"/>
        <v>216.19030727203156</v>
      </c>
    </row>
    <row r="104" spans="1:9">
      <c r="A104" s="65">
        <v>0</v>
      </c>
      <c r="B104" s="65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5">
        <v>0</v>
      </c>
      <c r="B105" s="65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5">
        <v>14930</v>
      </c>
      <c r="B106" s="65">
        <v>14930</v>
      </c>
      <c r="D106">
        <f t="shared" si="5"/>
        <v>27.778811446433224</v>
      </c>
      <c r="E106">
        <f t="shared" si="6"/>
        <v>27.778811446433224</v>
      </c>
      <c r="G106">
        <f t="shared" ca="1" si="7"/>
        <v>104</v>
      </c>
      <c r="H106">
        <f t="shared" ca="1" si="8"/>
        <v>2888.9963904290553</v>
      </c>
      <c r="I106">
        <f t="shared" ca="1" si="9"/>
        <v>949.50247372047045</v>
      </c>
    </row>
    <row r="107" spans="1:9">
      <c r="A107" s="65">
        <v>0</v>
      </c>
      <c r="B107" s="65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5">
        <v>13135</v>
      </c>
      <c r="B108" s="65">
        <v>13135</v>
      </c>
      <c r="D108">
        <f t="shared" si="5"/>
        <v>24.439028020689911</v>
      </c>
      <c r="E108">
        <f t="shared" si="6"/>
        <v>24.439028020689911</v>
      </c>
      <c r="G108">
        <f t="shared" ca="1" si="7"/>
        <v>106</v>
      </c>
      <c r="H108">
        <f t="shared" ca="1" si="8"/>
        <v>2590.5369701931304</v>
      </c>
      <c r="I108">
        <f t="shared" ca="1" si="9"/>
        <v>1504.6269390853795</v>
      </c>
    </row>
    <row r="109" spans="1:9">
      <c r="A109" s="65">
        <v>0</v>
      </c>
      <c r="B109" s="65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5">
        <v>0</v>
      </c>
      <c r="B110" s="65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5">
        <v>15497</v>
      </c>
      <c r="B111" s="65">
        <v>15497</v>
      </c>
      <c r="D111">
        <f t="shared" si="5"/>
        <v>28.833773676180552</v>
      </c>
      <c r="E111">
        <f t="shared" si="6"/>
        <v>28.833773676180552</v>
      </c>
      <c r="G111">
        <f t="shared" ca="1" si="7"/>
        <v>109</v>
      </c>
      <c r="H111">
        <f t="shared" ca="1" si="8"/>
        <v>3142.8813307036803</v>
      </c>
      <c r="I111">
        <f t="shared" ca="1" si="9"/>
        <v>3392.1544902518585</v>
      </c>
    </row>
    <row r="112" spans="1:9">
      <c r="A112" s="65">
        <v>0</v>
      </c>
      <c r="B112" s="65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5">
        <v>16581</v>
      </c>
      <c r="B113" s="65">
        <v>16581</v>
      </c>
      <c r="D113">
        <f t="shared" si="5"/>
        <v>30.85066795668515</v>
      </c>
      <c r="E113">
        <f t="shared" si="6"/>
        <v>30.85066795668515</v>
      </c>
      <c r="G113">
        <f t="shared" ca="1" si="7"/>
        <v>111</v>
      </c>
      <c r="H113">
        <f t="shared" ca="1" si="8"/>
        <v>3424.4241431920518</v>
      </c>
      <c r="I113">
        <f t="shared" ca="1" si="9"/>
        <v>5091.3142685772709</v>
      </c>
    </row>
    <row r="114" spans="1:9">
      <c r="A114" s="65">
        <v>0</v>
      </c>
      <c r="B114" s="65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5">
        <v>0</v>
      </c>
      <c r="B115" s="65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5">
        <v>17060</v>
      </c>
      <c r="B116" s="65">
        <v>17060</v>
      </c>
      <c r="D116">
        <f t="shared" si="5"/>
        <v>31.741897071409966</v>
      </c>
      <c r="E116">
        <f t="shared" si="6"/>
        <v>31.741897071409966</v>
      </c>
      <c r="G116">
        <f t="shared" ca="1" si="7"/>
        <v>114</v>
      </c>
      <c r="H116">
        <f t="shared" ca="1" si="8"/>
        <v>3618.5762661407362</v>
      </c>
      <c r="I116">
        <f t="shared" ca="1" si="9"/>
        <v>7970.693255184452</v>
      </c>
    </row>
    <row r="117" spans="1:9">
      <c r="A117" s="65">
        <v>0</v>
      </c>
      <c r="B117" s="65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5">
        <v>18091</v>
      </c>
      <c r="B118" s="65">
        <v>18091</v>
      </c>
      <c r="D118">
        <f t="shared" si="5"/>
        <v>33.66017936218509</v>
      </c>
      <c r="E118">
        <f t="shared" si="6"/>
        <v>33.66017936218509</v>
      </c>
      <c r="G118">
        <f t="shared" ca="1" si="7"/>
        <v>116</v>
      </c>
      <c r="H118">
        <f t="shared" ca="1" si="8"/>
        <v>3904.5808060134705</v>
      </c>
      <c r="I118">
        <f t="shared" ca="1" si="9"/>
        <v>10720.608510307649</v>
      </c>
    </row>
    <row r="119" spans="1:9">
      <c r="A119" s="65">
        <v>0</v>
      </c>
      <c r="B119" s="65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5">
        <v>0</v>
      </c>
      <c r="B120" s="65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5">
        <v>22513</v>
      </c>
      <c r="B121" s="65">
        <v>22513</v>
      </c>
      <c r="D121">
        <f t="shared" si="5"/>
        <v>41.887768392066384</v>
      </c>
      <c r="E121">
        <f t="shared" si="6"/>
        <v>41.887768392066384</v>
      </c>
      <c r="G121">
        <f t="shared" ca="1" si="7"/>
        <v>119</v>
      </c>
      <c r="H121">
        <f t="shared" ca="1" si="8"/>
        <v>4984.6444386558996</v>
      </c>
      <c r="I121">
        <f t="shared" ca="1" si="9"/>
        <v>18203.331096870155</v>
      </c>
    </row>
    <row r="122" spans="1:9">
      <c r="A122" s="65">
        <v>0</v>
      </c>
      <c r="B122" s="65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5">
        <v>0</v>
      </c>
      <c r="B123" s="65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5">
        <v>24424</v>
      </c>
      <c r="B124" s="65">
        <v>24424</v>
      </c>
      <c r="D124">
        <f t="shared" si="5"/>
        <v>45.443381833066645</v>
      </c>
      <c r="E124">
        <f t="shared" si="6"/>
        <v>45.443381833066645</v>
      </c>
      <c r="G124">
        <f t="shared" ca="1" si="7"/>
        <v>122</v>
      </c>
      <c r="H124">
        <f t="shared" ca="1" si="8"/>
        <v>5544.0925836341312</v>
      </c>
      <c r="I124">
        <f t="shared" ca="1" si="9"/>
        <v>25841.493733324351</v>
      </c>
    </row>
    <row r="125" spans="1:9">
      <c r="A125" s="65">
        <v>0</v>
      </c>
      <c r="B125" s="65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5">
        <v>21428</v>
      </c>
      <c r="B126" s="65">
        <v>21428</v>
      </c>
      <c r="D126">
        <f t="shared" si="5"/>
        <v>39.86901350798199</v>
      </c>
      <c r="E126">
        <f t="shared" si="6"/>
        <v>39.86901350798199</v>
      </c>
      <c r="G126">
        <f t="shared" ca="1" si="7"/>
        <v>124</v>
      </c>
      <c r="H126">
        <f t="shared" ca="1" si="8"/>
        <v>4943.7576749897671</v>
      </c>
      <c r="I126">
        <f t="shared" ca="1" si="9"/>
        <v>26634.0267349528</v>
      </c>
    </row>
    <row r="127" spans="1:9">
      <c r="A127" s="65">
        <v>0</v>
      </c>
      <c r="B127" s="65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5">
        <v>0</v>
      </c>
      <c r="B128" s="65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5">
        <v>21018</v>
      </c>
      <c r="B129" s="65">
        <v>21018</v>
      </c>
      <c r="D129">
        <f t="shared" si="5"/>
        <v>39.10616604026346</v>
      </c>
      <c r="E129">
        <f t="shared" si="6"/>
        <v>39.10616604026346</v>
      </c>
      <c r="G129">
        <f t="shared" ca="1" si="7"/>
        <v>127</v>
      </c>
      <c r="H129">
        <f t="shared" ca="1" si="8"/>
        <v>4966.4830871134591</v>
      </c>
      <c r="I129">
        <f t="shared" ca="1" si="9"/>
        <v>32540.901099212708</v>
      </c>
    </row>
    <row r="130" spans="1:9">
      <c r="A130" s="65">
        <v>0</v>
      </c>
      <c r="B130" s="65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5">
        <v>22680</v>
      </c>
      <c r="B131" s="65">
        <v>22680</v>
      </c>
      <c r="D131">
        <f t="shared" ref="D131:D194" si="10">IFERROR(100*A131/MAX(A$2:A$257), 0 )</f>
        <v>42.198489189893202</v>
      </c>
      <c r="E131">
        <f t="shared" ref="E131:E194" si="11">IFERROR(100*B131/MAX(B$2:B$257), 0 )</f>
        <v>42.198489189893202</v>
      </c>
      <c r="G131">
        <f t="shared" ref="G131:G194" ca="1" si="12">CELL("row",D131)-2</f>
        <v>129</v>
      </c>
      <c r="H131">
        <f t="shared" ref="H131:H194" ca="1" si="13">D131*G131</f>
        <v>5443.6051054962227</v>
      </c>
      <c r="I131">
        <f t="shared" ref="I131:I194" ca="1" si="14">D131*((G131-$L$1)^2)</f>
        <v>40151.97348221892</v>
      </c>
    </row>
    <row r="132" spans="1:9">
      <c r="A132" s="65">
        <v>0</v>
      </c>
      <c r="B132" s="65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5">
        <v>0</v>
      </c>
      <c r="B133" s="65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5">
        <v>25618</v>
      </c>
      <c r="B134" s="65">
        <v>25618</v>
      </c>
      <c r="D134">
        <f t="shared" si="10"/>
        <v>47.664942507349387</v>
      </c>
      <c r="E134">
        <f t="shared" si="11"/>
        <v>47.664942507349387</v>
      </c>
      <c r="G134">
        <f t="shared" ca="1" si="12"/>
        <v>132</v>
      </c>
      <c r="H134">
        <f t="shared" ca="1" si="13"/>
        <v>6291.7724109701194</v>
      </c>
      <c r="I134">
        <f t="shared" ca="1" si="14"/>
        <v>54604.064347342115</v>
      </c>
    </row>
    <row r="135" spans="1:9">
      <c r="A135" s="65">
        <v>0</v>
      </c>
      <c r="B135" s="65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5">
        <v>27832</v>
      </c>
      <c r="B136" s="65">
        <v>27832</v>
      </c>
      <c r="D136">
        <f t="shared" si="10"/>
        <v>51.784318833029438</v>
      </c>
      <c r="E136">
        <f t="shared" si="11"/>
        <v>51.784318833029438</v>
      </c>
      <c r="G136">
        <f t="shared" ca="1" si="12"/>
        <v>134</v>
      </c>
      <c r="H136">
        <f t="shared" ca="1" si="13"/>
        <v>6939.0987236259443</v>
      </c>
      <c r="I136">
        <f t="shared" ca="1" si="14"/>
        <v>66541.14048655369</v>
      </c>
    </row>
    <row r="137" spans="1:9">
      <c r="A137" s="65">
        <v>0</v>
      </c>
      <c r="B137" s="65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5">
        <v>0</v>
      </c>
      <c r="B138" s="65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5">
        <v>26293</v>
      </c>
      <c r="B139" s="65">
        <v>26293</v>
      </c>
      <c r="D139">
        <f t="shared" si="10"/>
        <v>48.920849923715252</v>
      </c>
      <c r="E139">
        <f t="shared" si="11"/>
        <v>48.920849923715252</v>
      </c>
      <c r="G139">
        <f t="shared" ca="1" si="12"/>
        <v>137</v>
      </c>
      <c r="H139">
        <f t="shared" ca="1" si="13"/>
        <v>6702.1564395489895</v>
      </c>
      <c r="I139">
        <f t="shared" ca="1" si="14"/>
        <v>73823.793875983421</v>
      </c>
    </row>
    <row r="140" spans="1:9">
      <c r="A140" s="65">
        <v>0</v>
      </c>
      <c r="B140" s="65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5">
        <v>0</v>
      </c>
      <c r="B141" s="65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5">
        <v>25334</v>
      </c>
      <c r="B142" s="65">
        <v>25334</v>
      </c>
      <c r="D142">
        <f t="shared" si="10"/>
        <v>47.136531090685821</v>
      </c>
      <c r="E142">
        <f t="shared" si="11"/>
        <v>47.136531090685821</v>
      </c>
      <c r="G142">
        <f t="shared" ca="1" si="12"/>
        <v>140</v>
      </c>
      <c r="H142">
        <f t="shared" ca="1" si="13"/>
        <v>6599.114352696015</v>
      </c>
      <c r="I142">
        <f t="shared" ca="1" si="14"/>
        <v>82541.921659114189</v>
      </c>
    </row>
    <row r="143" spans="1:9">
      <c r="A143" s="65">
        <v>0</v>
      </c>
      <c r="B143" s="65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5">
        <v>23310</v>
      </c>
      <c r="B144" s="65">
        <v>23310</v>
      </c>
      <c r="D144">
        <f t="shared" si="10"/>
        <v>43.370669445168012</v>
      </c>
      <c r="E144">
        <f t="shared" si="11"/>
        <v>43.370669445168012</v>
      </c>
      <c r="G144">
        <f t="shared" ca="1" si="12"/>
        <v>142</v>
      </c>
      <c r="H144">
        <f t="shared" ca="1" si="13"/>
        <v>6158.6350612138576</v>
      </c>
      <c r="I144">
        <f t="shared" ca="1" si="14"/>
        <v>83380.544587275101</v>
      </c>
    </row>
    <row r="145" spans="1:9">
      <c r="A145" s="65">
        <v>0</v>
      </c>
      <c r="B145" s="65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5">
        <v>0</v>
      </c>
      <c r="B146" s="65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5">
        <v>27661</v>
      </c>
      <c r="B147" s="65">
        <v>27661</v>
      </c>
      <c r="D147">
        <f t="shared" si="10"/>
        <v>51.466155620883413</v>
      </c>
      <c r="E147">
        <f t="shared" si="11"/>
        <v>51.466155620883413</v>
      </c>
      <c r="G147">
        <f t="shared" ca="1" si="12"/>
        <v>145</v>
      </c>
      <c r="H147">
        <f t="shared" ca="1" si="13"/>
        <v>7462.5925650280951</v>
      </c>
      <c r="I147">
        <f t="shared" ca="1" si="14"/>
        <v>112947.03798146326</v>
      </c>
    </row>
    <row r="148" spans="1:9">
      <c r="A148" s="65">
        <v>0</v>
      </c>
      <c r="B148" s="65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5">
        <v>28093</v>
      </c>
      <c r="B149" s="65">
        <v>28093</v>
      </c>
      <c r="D149">
        <f t="shared" si="10"/>
        <v>52.269936367357573</v>
      </c>
      <c r="E149">
        <f t="shared" si="11"/>
        <v>52.269936367357573</v>
      </c>
      <c r="G149">
        <f t="shared" ca="1" si="12"/>
        <v>147</v>
      </c>
      <c r="H149">
        <f t="shared" ca="1" si="13"/>
        <v>7683.6806460015632</v>
      </c>
      <c r="I149">
        <f t="shared" ca="1" si="14"/>
        <v>124714.72675580787</v>
      </c>
    </row>
    <row r="150" spans="1:9">
      <c r="A150" s="65">
        <v>0</v>
      </c>
      <c r="B150" s="65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5">
        <v>0</v>
      </c>
      <c r="B151" s="65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5">
        <v>23431</v>
      </c>
      <c r="B152" s="65">
        <v>23431</v>
      </c>
      <c r="D152">
        <f t="shared" si="10"/>
        <v>43.595802478323968</v>
      </c>
      <c r="E152">
        <f t="shared" si="11"/>
        <v>43.595802478323968</v>
      </c>
      <c r="G152">
        <f t="shared" ca="1" si="12"/>
        <v>150</v>
      </c>
      <c r="H152">
        <f t="shared" ca="1" si="13"/>
        <v>6539.3703717485951</v>
      </c>
      <c r="I152">
        <f t="shared" ca="1" si="14"/>
        <v>117187.8256510177</v>
      </c>
    </row>
    <row r="153" spans="1:9">
      <c r="A153" s="65">
        <v>0</v>
      </c>
      <c r="B153" s="65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5">
        <v>26119</v>
      </c>
      <c r="B154" s="65">
        <v>26119</v>
      </c>
      <c r="D154">
        <f t="shared" si="10"/>
        <v>48.597104900829827</v>
      </c>
      <c r="E154">
        <f t="shared" si="11"/>
        <v>48.597104900829827</v>
      </c>
      <c r="G154">
        <f t="shared" ca="1" si="12"/>
        <v>152</v>
      </c>
      <c r="H154">
        <f t="shared" ca="1" si="13"/>
        <v>7386.7599449261334</v>
      </c>
      <c r="I154">
        <f t="shared" ca="1" si="14"/>
        <v>140904.32663277004</v>
      </c>
    </row>
    <row r="155" spans="1:9">
      <c r="A155" s="65">
        <v>0</v>
      </c>
      <c r="B155" s="65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5">
        <v>0</v>
      </c>
      <c r="B156" s="65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5">
        <v>22396</v>
      </c>
      <c r="B157" s="65">
        <v>22396</v>
      </c>
      <c r="D157">
        <f t="shared" si="10"/>
        <v>41.670077773229636</v>
      </c>
      <c r="E157">
        <f t="shared" si="11"/>
        <v>41.670077773229636</v>
      </c>
      <c r="G157">
        <f t="shared" ca="1" si="12"/>
        <v>155</v>
      </c>
      <c r="H157">
        <f t="shared" ca="1" si="13"/>
        <v>6458.8620548505933</v>
      </c>
      <c r="I157">
        <f t="shared" ca="1" si="14"/>
        <v>134657.5779308147</v>
      </c>
    </row>
    <row r="158" spans="1:9">
      <c r="A158" s="65">
        <v>0</v>
      </c>
      <c r="B158" s="65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5">
        <v>0</v>
      </c>
      <c r="B159" s="65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5">
        <v>23535</v>
      </c>
      <c r="B160" s="65">
        <v>23535</v>
      </c>
      <c r="D160">
        <f t="shared" si="10"/>
        <v>43.7893052506233</v>
      </c>
      <c r="E160">
        <f t="shared" si="11"/>
        <v>43.7893052506233</v>
      </c>
      <c r="G160">
        <f t="shared" ca="1" si="12"/>
        <v>158</v>
      </c>
      <c r="H160">
        <f t="shared" ca="1" si="13"/>
        <v>6918.7102295984814</v>
      </c>
      <c r="I160">
        <f t="shared" ca="1" si="14"/>
        <v>156835.59767290505</v>
      </c>
    </row>
    <row r="161" spans="1:9">
      <c r="A161" s="65">
        <v>0</v>
      </c>
      <c r="B161" s="65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5">
        <v>22347</v>
      </c>
      <c r="B162" s="65">
        <v>22347</v>
      </c>
      <c r="D162">
        <f t="shared" si="10"/>
        <v>41.578908197819374</v>
      </c>
      <c r="E162">
        <f t="shared" si="11"/>
        <v>41.578908197819374</v>
      </c>
      <c r="G162">
        <f t="shared" ca="1" si="12"/>
        <v>160</v>
      </c>
      <c r="H162">
        <f t="shared" ca="1" si="13"/>
        <v>6652.6253116510998</v>
      </c>
      <c r="I162">
        <f t="shared" ca="1" si="14"/>
        <v>159038.5621264432</v>
      </c>
    </row>
    <row r="163" spans="1:9">
      <c r="A163" s="65">
        <v>0</v>
      </c>
      <c r="B163" s="65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5">
        <v>0</v>
      </c>
      <c r="B164" s="65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5">
        <v>23599</v>
      </c>
      <c r="B165" s="65">
        <v>23599</v>
      </c>
      <c r="D165">
        <f t="shared" si="10"/>
        <v>43.908383879730586</v>
      </c>
      <c r="E165">
        <f t="shared" si="11"/>
        <v>43.908383879730586</v>
      </c>
      <c r="G165">
        <f t="shared" ca="1" si="12"/>
        <v>163</v>
      </c>
      <c r="H165">
        <f t="shared" ca="1" si="13"/>
        <v>7157.0665723960856</v>
      </c>
      <c r="I165">
        <f t="shared" ca="1" si="14"/>
        <v>184637.40178169281</v>
      </c>
    </row>
    <row r="166" spans="1:9">
      <c r="A166" s="65">
        <v>0</v>
      </c>
      <c r="B166" s="65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5">
        <v>18172</v>
      </c>
      <c r="B167" s="65">
        <v>18172</v>
      </c>
      <c r="D167">
        <f t="shared" si="10"/>
        <v>33.810888252148999</v>
      </c>
      <c r="E167">
        <f t="shared" si="11"/>
        <v>33.810888252148999</v>
      </c>
      <c r="G167">
        <f t="shared" ca="1" si="12"/>
        <v>165</v>
      </c>
      <c r="H167">
        <f t="shared" ca="1" si="13"/>
        <v>5578.7965616045849</v>
      </c>
      <c r="I167">
        <f t="shared" ca="1" si="14"/>
        <v>151082.12980834418</v>
      </c>
    </row>
    <row r="168" spans="1:9">
      <c r="A168" s="65">
        <v>0</v>
      </c>
      <c r="B168" s="65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5">
        <v>0</v>
      </c>
      <c r="B169" s="65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5">
        <v>23247</v>
      </c>
      <c r="B170" s="65">
        <v>23247</v>
      </c>
      <c r="D170">
        <f t="shared" si="10"/>
        <v>43.253451419640534</v>
      </c>
      <c r="E170">
        <f t="shared" si="11"/>
        <v>43.253451419640534</v>
      </c>
      <c r="G170">
        <f t="shared" ca="1" si="12"/>
        <v>168</v>
      </c>
      <c r="H170">
        <f t="shared" ca="1" si="13"/>
        <v>7266.5798384996097</v>
      </c>
      <c r="I170">
        <f t="shared" ca="1" si="14"/>
        <v>211013.02939316546</v>
      </c>
    </row>
    <row r="171" spans="1:9">
      <c r="A171" s="65">
        <v>0</v>
      </c>
      <c r="B171" s="65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5">
        <v>0</v>
      </c>
      <c r="B172" s="65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5">
        <v>21319</v>
      </c>
      <c r="B173" s="65">
        <v>21319</v>
      </c>
      <c r="D173">
        <f t="shared" si="10"/>
        <v>39.666207717783649</v>
      </c>
      <c r="E173">
        <f t="shared" si="11"/>
        <v>39.666207717783649</v>
      </c>
      <c r="G173">
        <f t="shared" ca="1" si="12"/>
        <v>171</v>
      </c>
      <c r="H173">
        <f t="shared" ca="1" si="13"/>
        <v>6782.921519741004</v>
      </c>
      <c r="I173">
        <f t="shared" ca="1" si="14"/>
        <v>210492.82789839516</v>
      </c>
    </row>
    <row r="174" spans="1:9">
      <c r="A174" s="65">
        <v>0</v>
      </c>
      <c r="B174" s="65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5">
        <v>22443</v>
      </c>
      <c r="B175" s="65">
        <v>22443</v>
      </c>
      <c r="D175">
        <f t="shared" si="10"/>
        <v>41.757526141480298</v>
      </c>
      <c r="E175">
        <f t="shared" si="11"/>
        <v>41.757526141480298</v>
      </c>
      <c r="G175">
        <f t="shared" ca="1" si="12"/>
        <v>173</v>
      </c>
      <c r="H175">
        <f t="shared" ca="1" si="13"/>
        <v>7224.0520224760912</v>
      </c>
      <c r="I175">
        <f t="shared" ca="1" si="14"/>
        <v>233925.20307358235</v>
      </c>
    </row>
    <row r="176" spans="1:9">
      <c r="A176" s="65">
        <v>0</v>
      </c>
      <c r="B176" s="65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5">
        <v>0</v>
      </c>
      <c r="B177" s="65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5">
        <v>23969</v>
      </c>
      <c r="B178" s="65">
        <v>23969</v>
      </c>
      <c r="D178">
        <f t="shared" si="10"/>
        <v>44.596807204257061</v>
      </c>
      <c r="E178">
        <f t="shared" si="11"/>
        <v>44.596807204257061</v>
      </c>
      <c r="G178">
        <f t="shared" ca="1" si="12"/>
        <v>176</v>
      </c>
      <c r="H178">
        <f t="shared" ca="1" si="13"/>
        <v>7849.0380679492428</v>
      </c>
      <c r="I178">
        <f t="shared" ca="1" si="14"/>
        <v>270259.66821623052</v>
      </c>
    </row>
    <row r="179" spans="1:9">
      <c r="A179" s="65">
        <v>0</v>
      </c>
      <c r="B179" s="65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5">
        <v>22706</v>
      </c>
      <c r="B180" s="65">
        <v>22706</v>
      </c>
      <c r="D180">
        <f t="shared" si="10"/>
        <v>42.246864882968033</v>
      </c>
      <c r="E180">
        <f t="shared" si="11"/>
        <v>42.246864882968033</v>
      </c>
      <c r="G180">
        <f t="shared" ca="1" si="12"/>
        <v>178</v>
      </c>
      <c r="H180">
        <f t="shared" ca="1" si="13"/>
        <v>7519.9419491683102</v>
      </c>
      <c r="I180">
        <f t="shared" ca="1" si="14"/>
        <v>269342.9177567336</v>
      </c>
    </row>
    <row r="181" spans="1:9">
      <c r="A181" s="65">
        <v>0</v>
      </c>
      <c r="B181" s="65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5">
        <v>0</v>
      </c>
      <c r="B182" s="65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5">
        <v>14920</v>
      </c>
      <c r="B183" s="65">
        <v>14920</v>
      </c>
      <c r="D183">
        <f t="shared" si="10"/>
        <v>27.760205410635209</v>
      </c>
      <c r="E183">
        <f t="shared" si="11"/>
        <v>27.760205410635209</v>
      </c>
      <c r="G183">
        <f t="shared" ca="1" si="12"/>
        <v>181</v>
      </c>
      <c r="H183">
        <f t="shared" ca="1" si="13"/>
        <v>5024.5971793249728</v>
      </c>
      <c r="I183">
        <f t="shared" ca="1" si="14"/>
        <v>190533.0582576631</v>
      </c>
    </row>
    <row r="184" spans="1:9">
      <c r="A184" s="65">
        <v>0</v>
      </c>
      <c r="B184" s="65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5">
        <v>14865</v>
      </c>
      <c r="B185" s="65">
        <v>14865</v>
      </c>
      <c r="D185">
        <f t="shared" si="10"/>
        <v>27.657872213746138</v>
      </c>
      <c r="E185">
        <f t="shared" si="11"/>
        <v>27.657872213746138</v>
      </c>
      <c r="G185">
        <f t="shared" ca="1" si="12"/>
        <v>183</v>
      </c>
      <c r="H185">
        <f t="shared" ca="1" si="13"/>
        <v>5061.3906151155434</v>
      </c>
      <c r="I185">
        <f t="shared" ca="1" si="14"/>
        <v>199106.74716606393</v>
      </c>
    </row>
    <row r="186" spans="1:9">
      <c r="A186" s="65">
        <v>0</v>
      </c>
      <c r="B186" s="65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5">
        <v>0</v>
      </c>
      <c r="B187" s="65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5">
        <v>12875</v>
      </c>
      <c r="B188" s="65">
        <v>12875</v>
      </c>
      <c r="D188">
        <f t="shared" si="10"/>
        <v>23.955271089941576</v>
      </c>
      <c r="E188">
        <f t="shared" si="11"/>
        <v>23.955271089941576</v>
      </c>
      <c r="G188">
        <f t="shared" ca="1" si="12"/>
        <v>186</v>
      </c>
      <c r="H188">
        <f t="shared" ca="1" si="13"/>
        <v>4455.6804227291332</v>
      </c>
      <c r="I188">
        <f t="shared" ca="1" si="14"/>
        <v>184862.73995186115</v>
      </c>
    </row>
    <row r="189" spans="1:9">
      <c r="A189" s="65">
        <v>0</v>
      </c>
      <c r="B189" s="65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5">
        <v>0</v>
      </c>
      <c r="B190" s="65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5">
        <v>11243</v>
      </c>
      <c r="B191" s="65">
        <v>11243</v>
      </c>
      <c r="D191">
        <f t="shared" si="10"/>
        <v>20.918766047705876</v>
      </c>
      <c r="E191">
        <f t="shared" si="11"/>
        <v>20.918766047705876</v>
      </c>
      <c r="G191">
        <f t="shared" ca="1" si="12"/>
        <v>189</v>
      </c>
      <c r="H191">
        <f t="shared" ca="1" si="13"/>
        <v>3953.6467830164106</v>
      </c>
      <c r="I191">
        <f t="shared" ca="1" si="14"/>
        <v>172644.14476081927</v>
      </c>
    </row>
    <row r="192" spans="1:9">
      <c r="A192" s="65">
        <v>0</v>
      </c>
      <c r="B192" s="65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5">
        <v>5584</v>
      </c>
      <c r="B193" s="65">
        <v>5584</v>
      </c>
      <c r="D193">
        <f t="shared" si="10"/>
        <v>10.38961038961039</v>
      </c>
      <c r="E193">
        <f t="shared" si="11"/>
        <v>10.38961038961039</v>
      </c>
      <c r="G193">
        <f t="shared" ca="1" si="12"/>
        <v>191</v>
      </c>
      <c r="H193">
        <f t="shared" ca="1" si="13"/>
        <v>1984.4155844155844</v>
      </c>
      <c r="I193">
        <f t="shared" ca="1" si="14"/>
        <v>89563.228352462931</v>
      </c>
    </row>
    <row r="194" spans="1:9">
      <c r="A194" s="65">
        <v>0</v>
      </c>
      <c r="B194" s="65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5">
        <v>0</v>
      </c>
      <c r="B195" s="65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5">
        <v>2806</v>
      </c>
      <c r="B196" s="65">
        <v>2806</v>
      </c>
      <c r="D196">
        <f t="shared" si="15"/>
        <v>5.2208536449224132</v>
      </c>
      <c r="E196">
        <f t="shared" si="16"/>
        <v>5.2208536449224132</v>
      </c>
      <c r="G196">
        <f t="shared" ca="1" si="17"/>
        <v>194</v>
      </c>
      <c r="H196">
        <f t="shared" ca="1" si="18"/>
        <v>1012.8456071149482</v>
      </c>
      <c r="I196">
        <f t="shared" ca="1" si="19"/>
        <v>47961.577431779675</v>
      </c>
    </row>
    <row r="197" spans="1:9">
      <c r="A197" s="65">
        <v>0</v>
      </c>
      <c r="B197" s="65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5">
        <v>265</v>
      </c>
      <c r="B198" s="65">
        <v>265</v>
      </c>
      <c r="D198">
        <f t="shared" si="15"/>
        <v>0.49305994864734121</v>
      </c>
      <c r="E198">
        <f t="shared" si="16"/>
        <v>0.49305994864734121</v>
      </c>
      <c r="G198">
        <f t="shared" ca="1" si="17"/>
        <v>196</v>
      </c>
      <c r="H198">
        <f t="shared" ca="1" si="18"/>
        <v>96.639749934878878</v>
      </c>
      <c r="I198">
        <f t="shared" ca="1" si="19"/>
        <v>4720.519014053405</v>
      </c>
    </row>
    <row r="199" spans="1:9">
      <c r="A199" s="65">
        <v>0</v>
      </c>
      <c r="B199" s="65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5">
        <v>0</v>
      </c>
      <c r="B200" s="65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5">
        <v>159</v>
      </c>
      <c r="B201" s="65">
        <v>159</v>
      </c>
      <c r="D201">
        <f t="shared" si="15"/>
        <v>0.29583596918840471</v>
      </c>
      <c r="E201">
        <f t="shared" si="16"/>
        <v>0.29583596918840471</v>
      </c>
      <c r="G201">
        <f t="shared" ca="1" si="17"/>
        <v>199</v>
      </c>
      <c r="H201">
        <f t="shared" ca="1" si="18"/>
        <v>58.871357868492538</v>
      </c>
      <c r="I201">
        <f t="shared" ca="1" si="19"/>
        <v>3008.6529039966031</v>
      </c>
    </row>
    <row r="202" spans="1:9">
      <c r="A202" s="65">
        <v>0</v>
      </c>
      <c r="B202" s="65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5">
        <v>719</v>
      </c>
      <c r="B203" s="65">
        <v>719</v>
      </c>
      <c r="D203">
        <f t="shared" si="15"/>
        <v>1.3377739738771257</v>
      </c>
      <c r="E203">
        <f t="shared" si="16"/>
        <v>1.3377739738771257</v>
      </c>
      <c r="G203">
        <f t="shared" ca="1" si="17"/>
        <v>201</v>
      </c>
      <c r="H203">
        <f t="shared" ca="1" si="18"/>
        <v>268.89256874930226</v>
      </c>
      <c r="I203">
        <f t="shared" ca="1" si="19"/>
        <v>14150.156323685336</v>
      </c>
    </row>
    <row r="204" spans="1:9">
      <c r="A204" s="65">
        <v>0</v>
      </c>
      <c r="B204" s="65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5">
        <v>0</v>
      </c>
      <c r="B205" s="65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5">
        <v>323</v>
      </c>
      <c r="B206" s="65">
        <v>323</v>
      </c>
      <c r="D206">
        <f t="shared" si="15"/>
        <v>0.60097495627581587</v>
      </c>
      <c r="E206">
        <f t="shared" si="16"/>
        <v>0.60097495627581587</v>
      </c>
      <c r="G206">
        <f t="shared" ca="1" si="17"/>
        <v>204</v>
      </c>
      <c r="H206">
        <f t="shared" ca="1" si="18"/>
        <v>122.59889108026644</v>
      </c>
      <c r="I206">
        <f t="shared" ca="1" si="19"/>
        <v>6733.0037347488806</v>
      </c>
    </row>
    <row r="207" spans="1:9">
      <c r="A207" s="65">
        <v>0</v>
      </c>
      <c r="B207" s="65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5">
        <v>0</v>
      </c>
      <c r="B208" s="65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5">
        <v>405</v>
      </c>
      <c r="B209" s="65">
        <v>405</v>
      </c>
      <c r="D209">
        <f t="shared" si="15"/>
        <v>0.7535444498195214</v>
      </c>
      <c r="E209">
        <f t="shared" si="16"/>
        <v>0.7535444498195214</v>
      </c>
      <c r="G209">
        <f t="shared" ca="1" si="17"/>
        <v>207</v>
      </c>
      <c r="H209">
        <f t="shared" ca="1" si="18"/>
        <v>155.98370111264094</v>
      </c>
      <c r="I209">
        <f t="shared" ca="1" si="19"/>
        <v>8927.6530520139895</v>
      </c>
    </row>
    <row r="210" spans="1:9">
      <c r="A210" s="65">
        <v>0</v>
      </c>
      <c r="B210" s="65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5">
        <v>487</v>
      </c>
      <c r="B211" s="65">
        <v>487</v>
      </c>
      <c r="D211">
        <f t="shared" si="15"/>
        <v>0.90611394336322704</v>
      </c>
      <c r="E211">
        <f t="shared" si="16"/>
        <v>0.90611394336322704</v>
      </c>
      <c r="G211">
        <f t="shared" ca="1" si="17"/>
        <v>209</v>
      </c>
      <c r="H211">
        <f t="shared" ca="1" si="18"/>
        <v>189.37781416291446</v>
      </c>
      <c r="I211">
        <f t="shared" ca="1" si="19"/>
        <v>11133.360800348848</v>
      </c>
    </row>
    <row r="212" spans="1:9">
      <c r="A212" s="65">
        <v>0</v>
      </c>
      <c r="B212" s="65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5">
        <v>0</v>
      </c>
      <c r="B213" s="65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5">
        <v>0</v>
      </c>
      <c r="B214" s="65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5">
        <v>0</v>
      </c>
      <c r="B215" s="65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5">
        <v>0</v>
      </c>
      <c r="B216" s="65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5">
        <v>0</v>
      </c>
      <c r="B217" s="65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5">
        <v>0</v>
      </c>
      <c r="B218" s="65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5">
        <v>0</v>
      </c>
      <c r="B219" s="65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5">
        <v>0</v>
      </c>
      <c r="B220" s="65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5">
        <v>0</v>
      </c>
      <c r="B221" s="65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5">
        <v>0</v>
      </c>
      <c r="B222" s="65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5">
        <v>0</v>
      </c>
      <c r="B223" s="65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5">
        <v>0</v>
      </c>
      <c r="B224" s="65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5">
        <v>0</v>
      </c>
      <c r="B225" s="65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5">
        <v>0</v>
      </c>
      <c r="B226" s="65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5">
        <v>0</v>
      </c>
      <c r="B227" s="65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5">
        <v>0</v>
      </c>
      <c r="B228" s="65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5">
        <v>0</v>
      </c>
      <c r="B229" s="65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5">
        <v>0</v>
      </c>
      <c r="B230" s="65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5">
        <v>0</v>
      </c>
      <c r="B231" s="65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5">
        <v>0</v>
      </c>
      <c r="B232" s="65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5">
        <v>0</v>
      </c>
      <c r="B233" s="65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5">
        <v>0</v>
      </c>
      <c r="B234" s="65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5">
        <v>0</v>
      </c>
      <c r="B235" s="65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5">
        <v>0</v>
      </c>
      <c r="B236" s="65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5">
        <v>0</v>
      </c>
      <c r="B237" s="65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5">
        <v>0</v>
      </c>
      <c r="B238" s="65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5">
        <v>0</v>
      </c>
      <c r="B239" s="65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5">
        <v>0</v>
      </c>
      <c r="B240" s="65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5">
        <v>0</v>
      </c>
      <c r="B241" s="65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5">
        <v>0</v>
      </c>
      <c r="B242" s="65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5">
        <v>0</v>
      </c>
      <c r="B243" s="65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5">
        <v>0</v>
      </c>
      <c r="B244" s="65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5">
        <v>0</v>
      </c>
      <c r="B245" s="65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5">
        <v>0</v>
      </c>
      <c r="B246" s="65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5">
        <v>0</v>
      </c>
      <c r="B247" s="65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5">
        <v>0</v>
      </c>
      <c r="B248" s="65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5">
        <v>0</v>
      </c>
      <c r="B249" s="65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5">
        <v>0</v>
      </c>
      <c r="B250" s="65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5">
        <v>0</v>
      </c>
      <c r="B251" s="65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5">
        <v>0</v>
      </c>
      <c r="B252" s="65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5">
        <v>0</v>
      </c>
      <c r="B253" s="65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5">
        <v>0</v>
      </c>
      <c r="B254" s="65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5">
        <v>0</v>
      </c>
      <c r="B255" s="65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5">
        <v>0</v>
      </c>
      <c r="B256" s="65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5">
        <v>0</v>
      </c>
      <c r="B257" s="65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E1122"/>
  <sheetViews>
    <sheetView workbookViewId="0"/>
  </sheetViews>
  <sheetFormatPr defaultColWidth="9.08984375" defaultRowHeight="14"/>
  <cols>
    <col min="1" max="4" width="9.08984375" style="19"/>
    <col min="5" max="5" width="20.90625" style="19" customWidth="1"/>
    <col min="6" max="16384" width="9.08984375" style="19"/>
  </cols>
  <sheetData>
    <row r="1" spans="1:5">
      <c r="A1" s="91" t="s">
        <v>395</v>
      </c>
      <c r="B1" s="91" t="s">
        <v>396</v>
      </c>
      <c r="C1" s="32" t="s">
        <v>397</v>
      </c>
      <c r="D1" s="32" t="s">
        <v>398</v>
      </c>
      <c r="E1" s="32" t="s">
        <v>399</v>
      </c>
    </row>
    <row r="2" spans="1:5">
      <c r="A2" s="67">
        <v>0.16844700000000001</v>
      </c>
      <c r="B2" s="67">
        <v>0.538775</v>
      </c>
      <c r="C2" s="67">
        <v>0</v>
      </c>
      <c r="D2" s="67">
        <v>1</v>
      </c>
      <c r="E2" s="91" t="s">
        <v>400</v>
      </c>
    </row>
    <row r="3" spans="1:5">
      <c r="A3" s="67">
        <v>0.17549699999999999</v>
      </c>
      <c r="B3" s="67">
        <v>0.52080300000000002</v>
      </c>
      <c r="C3" s="67">
        <v>0.35581200000000002</v>
      </c>
      <c r="D3" s="88">
        <v>1</v>
      </c>
      <c r="E3" s="91" t="s">
        <v>401</v>
      </c>
    </row>
    <row r="4" spans="1:5">
      <c r="A4" s="67">
        <v>0.18242</v>
      </c>
      <c r="B4" s="67">
        <v>0.50359399999999999</v>
      </c>
      <c r="C4" s="67">
        <v>0.761957</v>
      </c>
      <c r="D4" s="88">
        <v>1</v>
      </c>
      <c r="E4" s="91" t="s">
        <v>402</v>
      </c>
    </row>
    <row r="5" spans="1:5">
      <c r="A5" s="88">
        <v>0.18928800000000001</v>
      </c>
      <c r="B5" s="88">
        <v>0.486763</v>
      </c>
      <c r="C5" s="88">
        <v>1.1670499999999999</v>
      </c>
      <c r="D5" s="88">
        <v>1</v>
      </c>
      <c r="E5" s="91" t="s">
        <v>403</v>
      </c>
    </row>
    <row r="6" spans="1:5">
      <c r="A6" s="67">
        <v>0.19629099999999999</v>
      </c>
      <c r="B6" s="67">
        <v>0.46950599999999998</v>
      </c>
      <c r="C6" s="67">
        <v>1.5783</v>
      </c>
      <c r="D6" s="67">
        <v>1</v>
      </c>
      <c r="E6" s="91" t="s">
        <v>404</v>
      </c>
    </row>
    <row r="7" spans="1:5">
      <c r="A7" s="67">
        <v>0.203127</v>
      </c>
      <c r="B7" s="67">
        <v>0.45294400000000001</v>
      </c>
      <c r="C7" s="67">
        <v>1.98244</v>
      </c>
      <c r="D7" s="67">
        <v>1</v>
      </c>
      <c r="E7" s="91" t="s">
        <v>405</v>
      </c>
    </row>
    <row r="8" spans="1:5">
      <c r="A8" s="67">
        <v>0.20988100000000001</v>
      </c>
      <c r="B8" s="67">
        <v>0.43640400000000001</v>
      </c>
      <c r="C8" s="67">
        <v>2.3859699999999999</v>
      </c>
      <c r="D8" s="67">
        <v>1</v>
      </c>
      <c r="E8" s="91" t="s">
        <v>406</v>
      </c>
    </row>
    <row r="9" spans="1:5">
      <c r="A9" s="67">
        <v>0.21649299999999999</v>
      </c>
      <c r="B9" s="67">
        <v>0.42172300000000001</v>
      </c>
      <c r="C9" s="67">
        <v>2.7939500000000002</v>
      </c>
      <c r="D9" s="67">
        <v>1</v>
      </c>
      <c r="E9" s="91" t="s">
        <v>407</v>
      </c>
    </row>
    <row r="10" spans="1:5">
      <c r="A10" s="67">
        <v>0.22317999999999999</v>
      </c>
      <c r="B10" s="67">
        <v>0.407358</v>
      </c>
      <c r="C10" s="67">
        <v>3.19604</v>
      </c>
      <c r="D10" s="67">
        <v>1</v>
      </c>
      <c r="E10" s="91" t="s">
        <v>408</v>
      </c>
    </row>
    <row r="11" spans="1:5">
      <c r="A11" s="67">
        <v>0.22972200000000001</v>
      </c>
      <c r="B11" s="67">
        <v>0.39423599999999998</v>
      </c>
      <c r="C11" s="67">
        <v>3.61008</v>
      </c>
      <c r="D11" s="67">
        <v>1</v>
      </c>
      <c r="E11" s="91" t="s">
        <v>409</v>
      </c>
    </row>
    <row r="12" spans="1:5">
      <c r="A12" s="67">
        <v>0.23630899999999999</v>
      </c>
      <c r="B12" s="67">
        <v>0.38142999999999999</v>
      </c>
      <c r="C12" s="67">
        <v>4.0089399999999999</v>
      </c>
      <c r="D12" s="67">
        <v>1</v>
      </c>
      <c r="E12" s="91" t="s">
        <v>410</v>
      </c>
    </row>
    <row r="13" spans="1:5">
      <c r="A13" s="67">
        <v>0.24290800000000001</v>
      </c>
      <c r="B13" s="67">
        <v>0.36822500000000002</v>
      </c>
      <c r="C13" s="67">
        <v>4.4198899999999997</v>
      </c>
      <c r="D13" s="67">
        <v>1</v>
      </c>
      <c r="E13" s="91" t="s">
        <v>411</v>
      </c>
    </row>
    <row r="14" spans="1:5">
      <c r="A14" s="67">
        <v>0.24940999999999999</v>
      </c>
      <c r="B14" s="67">
        <v>0.35520400000000002</v>
      </c>
      <c r="C14" s="67">
        <v>4.8249899999999997</v>
      </c>
      <c r="D14" s="67">
        <v>1</v>
      </c>
      <c r="E14" s="91" t="s">
        <v>412</v>
      </c>
    </row>
    <row r="15" spans="1:5">
      <c r="A15" s="67">
        <v>0.256162</v>
      </c>
      <c r="B15" s="67">
        <v>0.34137699999999999</v>
      </c>
      <c r="C15" s="67">
        <v>5.22478</v>
      </c>
      <c r="D15" s="67">
        <v>1</v>
      </c>
      <c r="E15" s="91" t="s">
        <v>413</v>
      </c>
    </row>
    <row r="16" spans="1:5">
      <c r="A16" s="67">
        <v>0.26104899999999998</v>
      </c>
      <c r="B16" s="67">
        <v>0.33303500000000003</v>
      </c>
      <c r="C16" s="67">
        <v>5.6302099999999999</v>
      </c>
      <c r="D16" s="67">
        <v>1</v>
      </c>
      <c r="E16" s="91" t="s">
        <v>414</v>
      </c>
    </row>
    <row r="17" spans="1:5">
      <c r="A17" s="67">
        <v>0.26796700000000001</v>
      </c>
      <c r="B17" s="67">
        <v>0.317633</v>
      </c>
      <c r="C17" s="67">
        <v>6.0345599999999999</v>
      </c>
      <c r="D17" s="67">
        <v>1</v>
      </c>
      <c r="E17" s="91" t="s">
        <v>415</v>
      </c>
    </row>
    <row r="18" spans="1:5">
      <c r="A18" s="67">
        <v>0.27730700000000003</v>
      </c>
      <c r="B18" s="67">
        <v>0.29498799999999997</v>
      </c>
      <c r="C18" s="67">
        <v>6.4391100000000003</v>
      </c>
      <c r="D18" s="67">
        <v>1</v>
      </c>
      <c r="E18" s="91" t="s">
        <v>416</v>
      </c>
    </row>
    <row r="19" spans="1:5">
      <c r="A19" s="67">
        <v>0.28469699999999998</v>
      </c>
      <c r="B19" s="67">
        <v>0.27792800000000001</v>
      </c>
      <c r="C19" s="67">
        <v>6.8571999999999997</v>
      </c>
      <c r="D19" s="67">
        <v>1</v>
      </c>
      <c r="E19" s="91" t="s">
        <v>417</v>
      </c>
    </row>
    <row r="20" spans="1:5">
      <c r="A20" s="67">
        <v>0.29205999999999999</v>
      </c>
      <c r="B20" s="67">
        <v>0.26122899999999999</v>
      </c>
      <c r="C20" s="67">
        <v>7.2532300000000003</v>
      </c>
      <c r="D20" s="67">
        <v>1</v>
      </c>
      <c r="E20" s="91" t="s">
        <v>418</v>
      </c>
    </row>
    <row r="21" spans="1:5">
      <c r="A21" s="67">
        <v>0.29925299999999999</v>
      </c>
      <c r="B21" s="67">
        <v>0.244727</v>
      </c>
      <c r="C21" s="67">
        <v>7.6580000000000004</v>
      </c>
      <c r="D21" s="67">
        <v>1</v>
      </c>
      <c r="E21" s="91" t="s">
        <v>419</v>
      </c>
    </row>
    <row r="22" spans="1:5">
      <c r="A22" s="67">
        <v>0.306089</v>
      </c>
      <c r="B22" s="67">
        <v>0.22958999999999999</v>
      </c>
      <c r="C22" s="67">
        <v>8.0632800000000007</v>
      </c>
      <c r="D22" s="67">
        <v>1</v>
      </c>
      <c r="E22" s="91" t="s">
        <v>420</v>
      </c>
    </row>
    <row r="23" spans="1:5">
      <c r="A23" s="67">
        <v>0.31234699999999999</v>
      </c>
      <c r="B23" s="67">
        <v>0.21676599999999999</v>
      </c>
      <c r="C23" s="67">
        <v>8.4770800000000008</v>
      </c>
      <c r="D23" s="67">
        <v>1</v>
      </c>
      <c r="E23" s="91" t="s">
        <v>421</v>
      </c>
    </row>
    <row r="24" spans="1:5">
      <c r="A24" s="67">
        <v>0.31818000000000002</v>
      </c>
      <c r="B24" s="67">
        <v>0.20533100000000001</v>
      </c>
      <c r="C24" s="67">
        <v>8.8771100000000001</v>
      </c>
      <c r="D24" s="67">
        <v>1</v>
      </c>
      <c r="E24" s="91" t="s">
        <v>422</v>
      </c>
    </row>
    <row r="25" spans="1:5">
      <c r="A25" s="67">
        <v>0.32400200000000001</v>
      </c>
      <c r="B25" s="67">
        <v>0.194131</v>
      </c>
      <c r="C25" s="67">
        <v>9.2822200000000006</v>
      </c>
      <c r="D25" s="67">
        <v>1</v>
      </c>
      <c r="E25" s="91" t="s">
        <v>423</v>
      </c>
    </row>
    <row r="26" spans="1:5">
      <c r="A26" s="67">
        <v>0.32957399999999998</v>
      </c>
      <c r="B26" s="67">
        <v>0.18290400000000001</v>
      </c>
      <c r="C26" s="67">
        <v>9.6890499999999999</v>
      </c>
      <c r="D26" s="67">
        <v>1</v>
      </c>
      <c r="E26" s="91" t="s">
        <v>424</v>
      </c>
    </row>
    <row r="27" spans="1:5">
      <c r="A27" s="67">
        <v>0.33506000000000002</v>
      </c>
      <c r="B27" s="67">
        <v>0.17122299999999999</v>
      </c>
      <c r="C27" s="67">
        <v>10.0901</v>
      </c>
      <c r="D27" s="67">
        <v>1</v>
      </c>
      <c r="E27" s="91" t="s">
        <v>425</v>
      </c>
    </row>
    <row r="28" spans="1:5">
      <c r="A28" s="67">
        <v>0.34047500000000003</v>
      </c>
      <c r="B28" s="67">
        <v>0.15954299999999999</v>
      </c>
      <c r="C28" s="67">
        <v>10.4998</v>
      </c>
      <c r="D28" s="67">
        <v>1</v>
      </c>
      <c r="E28" s="91" t="s">
        <v>426</v>
      </c>
    </row>
    <row r="29" spans="1:5">
      <c r="A29" s="67">
        <v>0.34556599999999998</v>
      </c>
      <c r="B29" s="67">
        <v>0.149702</v>
      </c>
      <c r="C29" s="67">
        <v>10.9003</v>
      </c>
      <c r="D29" s="67">
        <v>1</v>
      </c>
      <c r="E29" s="91" t="s">
        <v>427</v>
      </c>
    </row>
    <row r="30" spans="1:5">
      <c r="A30" s="67">
        <v>0.35043999999999997</v>
      </c>
      <c r="B30" s="67">
        <v>0.14052999999999999</v>
      </c>
      <c r="C30" s="67">
        <v>11.317299999999999</v>
      </c>
      <c r="D30" s="67">
        <v>1</v>
      </c>
      <c r="E30" s="91" t="s">
        <v>428</v>
      </c>
    </row>
    <row r="31" spans="1:5">
      <c r="A31" s="67">
        <v>0.354991</v>
      </c>
      <c r="B31" s="67">
        <v>0.131714</v>
      </c>
      <c r="C31" s="67">
        <v>11.713900000000001</v>
      </c>
      <c r="D31" s="67">
        <v>1</v>
      </c>
      <c r="E31" s="91" t="s">
        <v>429</v>
      </c>
    </row>
    <row r="32" spans="1:5">
      <c r="A32" s="67">
        <v>0.35925800000000002</v>
      </c>
      <c r="B32" s="67">
        <v>0.124207</v>
      </c>
      <c r="C32" s="67">
        <v>12.122199999999999</v>
      </c>
      <c r="D32" s="67">
        <v>1</v>
      </c>
      <c r="E32" s="91" t="s">
        <v>430</v>
      </c>
    </row>
    <row r="33" spans="1:5">
      <c r="A33" s="67">
        <v>0.36302200000000001</v>
      </c>
      <c r="B33" s="67">
        <v>0.118148</v>
      </c>
      <c r="C33" s="67">
        <v>12.525499999999999</v>
      </c>
      <c r="D33" s="67">
        <v>1</v>
      </c>
      <c r="E33" s="91" t="s">
        <v>431</v>
      </c>
    </row>
    <row r="34" spans="1:5">
      <c r="A34" s="67">
        <v>0.366811</v>
      </c>
      <c r="B34" s="67">
        <v>0.111711</v>
      </c>
      <c r="C34" s="67">
        <v>12.942500000000001</v>
      </c>
      <c r="D34" s="67">
        <v>1</v>
      </c>
      <c r="E34" s="91" t="s">
        <v>432</v>
      </c>
    </row>
    <row r="35" spans="1:5">
      <c r="A35" s="67">
        <v>0.370701</v>
      </c>
      <c r="B35" s="67">
        <v>0.104351</v>
      </c>
      <c r="C35" s="67">
        <v>13.3383</v>
      </c>
      <c r="D35" s="67">
        <v>1</v>
      </c>
      <c r="E35" s="91" t="s">
        <v>433</v>
      </c>
    </row>
    <row r="36" spans="1:5">
      <c r="A36" s="67">
        <v>0.37424600000000002</v>
      </c>
      <c r="B36" s="67">
        <v>9.7742899999999994E-2</v>
      </c>
      <c r="C36" s="67">
        <v>13.744</v>
      </c>
      <c r="D36" s="67">
        <v>1</v>
      </c>
      <c r="E36" s="91" t="s">
        <v>434</v>
      </c>
    </row>
    <row r="37" spans="1:5">
      <c r="A37" s="67">
        <v>0.37737700000000002</v>
      </c>
      <c r="B37" s="67">
        <v>9.2088400000000001E-2</v>
      </c>
      <c r="C37" s="67">
        <v>14.1508</v>
      </c>
      <c r="D37" s="67">
        <v>1</v>
      </c>
      <c r="E37" s="91" t="s">
        <v>435</v>
      </c>
    </row>
    <row r="38" spans="1:5">
      <c r="A38" s="67">
        <v>0.380187</v>
      </c>
      <c r="B38" s="67">
        <v>8.6441799999999999E-2</v>
      </c>
      <c r="C38" s="67">
        <v>14.554399999999999</v>
      </c>
      <c r="D38" s="67">
        <v>1</v>
      </c>
      <c r="E38" s="91" t="s">
        <v>436</v>
      </c>
    </row>
    <row r="39" spans="1:5">
      <c r="A39" s="67">
        <v>0.38290200000000002</v>
      </c>
      <c r="B39" s="67">
        <v>8.0837900000000004E-2</v>
      </c>
      <c r="C39" s="67">
        <v>14.958299999999999</v>
      </c>
      <c r="D39" s="67">
        <v>1</v>
      </c>
      <c r="E39" s="91" t="s">
        <v>437</v>
      </c>
    </row>
    <row r="40" spans="1:5">
      <c r="A40" s="67">
        <v>0.38504300000000002</v>
      </c>
      <c r="B40" s="67">
        <v>7.5571600000000003E-2</v>
      </c>
      <c r="C40" s="67">
        <v>15.443300000000001</v>
      </c>
      <c r="D40" s="67">
        <v>2</v>
      </c>
      <c r="E40" s="91" t="s">
        <v>438</v>
      </c>
    </row>
    <row r="41" spans="1:5">
      <c r="A41" s="67">
        <v>0.38693100000000002</v>
      </c>
      <c r="B41" s="67">
        <v>7.0543999999999996E-2</v>
      </c>
      <c r="C41" s="67">
        <v>15.8354</v>
      </c>
      <c r="D41" s="67">
        <v>2</v>
      </c>
      <c r="E41" s="91" t="s">
        <v>439</v>
      </c>
    </row>
    <row r="42" spans="1:5">
      <c r="A42" s="67">
        <v>0.38855200000000001</v>
      </c>
      <c r="B42" s="67">
        <v>6.5027299999999996E-2</v>
      </c>
      <c r="C42" s="67">
        <v>16.222300000000001</v>
      </c>
      <c r="D42" s="67">
        <v>2</v>
      </c>
      <c r="E42" s="91" t="s">
        <v>440</v>
      </c>
    </row>
    <row r="43" spans="1:5">
      <c r="A43" s="67">
        <v>0.38978499999999999</v>
      </c>
      <c r="B43" s="67">
        <v>5.9632999999999999E-2</v>
      </c>
      <c r="C43" s="67">
        <v>16.625599999999999</v>
      </c>
      <c r="D43" s="67">
        <v>2</v>
      </c>
      <c r="E43" s="91" t="s">
        <v>441</v>
      </c>
    </row>
    <row r="44" spans="1:5">
      <c r="A44" s="67">
        <v>0.39066699999999999</v>
      </c>
      <c r="B44" s="67">
        <v>5.4173100000000002E-2</v>
      </c>
      <c r="C44" s="67">
        <v>17.032399999999999</v>
      </c>
      <c r="D44" s="67">
        <v>2</v>
      </c>
      <c r="E44" s="91" t="s">
        <v>442</v>
      </c>
    </row>
    <row r="45" spans="1:5">
      <c r="A45" s="67">
        <v>0.39122499999999999</v>
      </c>
      <c r="B45" s="67">
        <v>4.9029900000000001E-2</v>
      </c>
      <c r="C45" s="67">
        <v>17.4405</v>
      </c>
      <c r="D45" s="67">
        <v>2</v>
      </c>
      <c r="E45" s="91" t="s">
        <v>443</v>
      </c>
    </row>
    <row r="46" spans="1:5">
      <c r="A46" s="67">
        <v>0.39161200000000002</v>
      </c>
      <c r="B46" s="67">
        <v>4.4160499999999998E-2</v>
      </c>
      <c r="C46" s="67">
        <v>17.844200000000001</v>
      </c>
      <c r="D46" s="67">
        <v>2</v>
      </c>
      <c r="E46" s="91" t="s">
        <v>444</v>
      </c>
    </row>
    <row r="47" spans="1:5">
      <c r="A47" s="67">
        <v>0.39195999999999998</v>
      </c>
      <c r="B47" s="67">
        <v>3.97758E-2</v>
      </c>
      <c r="C47" s="67">
        <v>18.2559</v>
      </c>
      <c r="D47" s="67">
        <v>2</v>
      </c>
      <c r="E47" s="91" t="s">
        <v>445</v>
      </c>
    </row>
    <row r="48" spans="1:5">
      <c r="A48" s="67">
        <v>0.39225500000000002</v>
      </c>
      <c r="B48" s="67">
        <v>3.6091499999999999E-2</v>
      </c>
      <c r="C48" s="67">
        <v>18.665299999999998</v>
      </c>
      <c r="D48" s="67">
        <v>2</v>
      </c>
      <c r="E48" s="91" t="s">
        <v>446</v>
      </c>
    </row>
    <row r="49" spans="1:5">
      <c r="A49" s="67">
        <v>0.39269700000000002</v>
      </c>
      <c r="B49" s="67">
        <v>3.2012199999999998E-2</v>
      </c>
      <c r="C49" s="67">
        <v>19.058700000000002</v>
      </c>
      <c r="D49" s="67">
        <v>2</v>
      </c>
      <c r="E49" s="91" t="s">
        <v>447</v>
      </c>
    </row>
    <row r="50" spans="1:5">
      <c r="A50" s="67">
        <v>0.39288200000000001</v>
      </c>
      <c r="B50" s="67">
        <v>2.8512900000000001E-2</v>
      </c>
      <c r="C50" s="67">
        <v>19.470199999999998</v>
      </c>
      <c r="D50" s="67">
        <v>2</v>
      </c>
      <c r="E50" s="91" t="s">
        <v>448</v>
      </c>
    </row>
    <row r="51" spans="1:5">
      <c r="A51" s="67">
        <v>0.39313500000000001</v>
      </c>
      <c r="B51" s="67">
        <v>2.5026799999999998E-2</v>
      </c>
      <c r="C51" s="67">
        <v>19.886399999999998</v>
      </c>
      <c r="D51" s="67">
        <v>2</v>
      </c>
      <c r="E51" s="91" t="s">
        <v>449</v>
      </c>
    </row>
    <row r="52" spans="1:5">
      <c r="A52" s="67">
        <v>0.39323399999999997</v>
      </c>
      <c r="B52" s="67">
        <v>2.29987E-2</v>
      </c>
      <c r="C52" s="67">
        <v>20.280799999999999</v>
      </c>
      <c r="D52" s="67">
        <v>2</v>
      </c>
      <c r="E52" s="91" t="s">
        <v>450</v>
      </c>
    </row>
    <row r="53" spans="1:5">
      <c r="A53" s="67">
        <v>0.393179</v>
      </c>
      <c r="B53" s="67">
        <v>2.17754E-2</v>
      </c>
      <c r="C53" s="67">
        <v>20.682700000000001</v>
      </c>
      <c r="D53" s="67">
        <v>2</v>
      </c>
      <c r="E53" s="91" t="s">
        <v>451</v>
      </c>
    </row>
    <row r="54" spans="1:5">
      <c r="A54" s="67">
        <v>0.39310400000000001</v>
      </c>
      <c r="B54" s="67">
        <v>2.0075699999999998E-2</v>
      </c>
      <c r="C54" s="67">
        <v>21.088999999999999</v>
      </c>
      <c r="D54" s="67">
        <v>2</v>
      </c>
      <c r="E54" s="91" t="s">
        <v>452</v>
      </c>
    </row>
    <row r="55" spans="1:5">
      <c r="A55" s="67">
        <v>0.39293</v>
      </c>
      <c r="B55" s="67">
        <v>1.8469099999999999E-2</v>
      </c>
      <c r="C55" s="67">
        <v>21.498000000000001</v>
      </c>
      <c r="D55" s="67">
        <v>2</v>
      </c>
      <c r="E55" s="91" t="s">
        <v>453</v>
      </c>
    </row>
    <row r="56" spans="1:5">
      <c r="A56" s="67">
        <v>0.39267400000000002</v>
      </c>
      <c r="B56" s="67">
        <v>1.70242E-2</v>
      </c>
      <c r="C56" s="67">
        <v>21.903300000000002</v>
      </c>
      <c r="D56" s="67">
        <v>2</v>
      </c>
      <c r="E56" s="91" t="s">
        <v>454</v>
      </c>
    </row>
    <row r="57" spans="1:5">
      <c r="A57" s="67">
        <v>0.39240999999999998</v>
      </c>
      <c r="B57" s="67">
        <v>1.51369E-2</v>
      </c>
      <c r="C57" s="67">
        <v>22.3096</v>
      </c>
      <c r="D57" s="67">
        <v>2</v>
      </c>
      <c r="E57" s="91" t="s">
        <v>455</v>
      </c>
    </row>
    <row r="58" spans="1:5">
      <c r="A58" s="67">
        <v>0.39236399999999999</v>
      </c>
      <c r="B58" s="67">
        <v>1.25244E-2</v>
      </c>
      <c r="C58" s="67">
        <v>22.717099999999999</v>
      </c>
      <c r="D58" s="67">
        <v>2</v>
      </c>
      <c r="E58" s="91" t="s">
        <v>456</v>
      </c>
    </row>
    <row r="59" spans="1:5">
      <c r="A59" s="67">
        <v>0.392038</v>
      </c>
      <c r="B59" s="67">
        <v>1.0398900000000001E-2</v>
      </c>
      <c r="C59" s="67">
        <v>23.116800000000001</v>
      </c>
      <c r="D59" s="67">
        <v>2</v>
      </c>
      <c r="E59" s="91" t="s">
        <v>457</v>
      </c>
    </row>
    <row r="60" spans="1:5">
      <c r="A60" s="67">
        <v>0.39119100000000001</v>
      </c>
      <c r="B60" s="67">
        <v>9.4662500000000007E-3</v>
      </c>
      <c r="C60" s="67">
        <v>23.526599999999998</v>
      </c>
      <c r="D60" s="67">
        <v>2</v>
      </c>
      <c r="E60" s="91" t="s">
        <v>458</v>
      </c>
    </row>
    <row r="61" spans="1:5">
      <c r="A61" s="67">
        <v>0.39044800000000002</v>
      </c>
      <c r="B61" s="67">
        <v>8.3165900000000004E-3</v>
      </c>
      <c r="C61" s="67">
        <v>23.931799999999999</v>
      </c>
      <c r="D61" s="67">
        <v>2</v>
      </c>
      <c r="E61" s="91" t="s">
        <v>459</v>
      </c>
    </row>
    <row r="62" spans="1:5">
      <c r="A62" s="67">
        <v>0.38985300000000001</v>
      </c>
      <c r="B62" s="67">
        <v>6.1427299999999999E-3</v>
      </c>
      <c r="C62" s="67">
        <v>24.337700000000002</v>
      </c>
      <c r="D62" s="67">
        <v>2</v>
      </c>
      <c r="E62" s="91" t="s">
        <v>460</v>
      </c>
    </row>
    <row r="63" spans="1:5">
      <c r="A63" s="67">
        <v>0.38927800000000001</v>
      </c>
      <c r="B63" s="67">
        <v>4.2222500000000003E-3</v>
      </c>
      <c r="C63" s="67">
        <v>24.741199999999999</v>
      </c>
      <c r="D63" s="67">
        <v>2</v>
      </c>
      <c r="E63" s="91" t="s">
        <v>461</v>
      </c>
    </row>
    <row r="64" spans="1:5">
      <c r="A64" s="67">
        <v>0.388542</v>
      </c>
      <c r="B64" s="67">
        <v>2.8712799999999999E-3</v>
      </c>
      <c r="C64" s="67">
        <v>25.154</v>
      </c>
      <c r="D64" s="67">
        <v>2</v>
      </c>
      <c r="E64" s="91" t="s">
        <v>462</v>
      </c>
    </row>
    <row r="65" spans="1:5">
      <c r="A65" s="67">
        <v>0.38813300000000001</v>
      </c>
      <c r="B65" s="67">
        <v>9.2349200000000004E-4</v>
      </c>
      <c r="C65" s="67">
        <v>25.558199999999999</v>
      </c>
      <c r="D65" s="67">
        <v>2</v>
      </c>
      <c r="E65" s="91" t="s">
        <v>463</v>
      </c>
    </row>
    <row r="66" spans="1:5">
      <c r="A66" s="67">
        <v>0.38771800000000001</v>
      </c>
      <c r="B66" s="67">
        <v>0</v>
      </c>
      <c r="C66" s="67">
        <v>25.9724</v>
      </c>
      <c r="D66" s="67">
        <v>2</v>
      </c>
      <c r="E66" s="91" t="s">
        <v>464</v>
      </c>
    </row>
    <row r="67" spans="1:5">
      <c r="A67" s="67">
        <v>0.38730199999999998</v>
      </c>
      <c r="B67" s="67">
        <v>0</v>
      </c>
      <c r="C67" s="67">
        <v>26.3748</v>
      </c>
      <c r="D67" s="67">
        <v>2</v>
      </c>
      <c r="E67" s="91" t="s">
        <v>465</v>
      </c>
    </row>
    <row r="68" spans="1:5">
      <c r="A68" s="67">
        <v>0.38690099999999999</v>
      </c>
      <c r="B68" s="67">
        <v>0</v>
      </c>
      <c r="C68" s="67">
        <v>26.773900000000001</v>
      </c>
      <c r="D68" s="67">
        <v>2</v>
      </c>
      <c r="E68" s="91" t="s">
        <v>466</v>
      </c>
    </row>
    <row r="69" spans="1:5">
      <c r="A69" s="67">
        <v>0.38642300000000002</v>
      </c>
      <c r="B69" s="67">
        <v>0</v>
      </c>
      <c r="C69" s="67">
        <v>27.187100000000001</v>
      </c>
      <c r="D69" s="67">
        <v>2</v>
      </c>
      <c r="E69" s="91" t="s">
        <v>467</v>
      </c>
    </row>
    <row r="70" spans="1:5">
      <c r="A70" s="67">
        <v>0.38610899999999998</v>
      </c>
      <c r="B70" s="67">
        <v>0</v>
      </c>
      <c r="C70" s="67">
        <v>27.5839</v>
      </c>
      <c r="D70" s="67">
        <v>2</v>
      </c>
      <c r="E70" s="91" t="s">
        <v>468</v>
      </c>
    </row>
    <row r="71" spans="1:5">
      <c r="A71" s="67">
        <v>0.38557200000000003</v>
      </c>
      <c r="B71" s="67">
        <v>7.1847700000000003E-4</v>
      </c>
      <c r="C71" s="67">
        <v>27.989000000000001</v>
      </c>
      <c r="D71" s="67">
        <v>2</v>
      </c>
      <c r="E71" s="91" t="s">
        <v>469</v>
      </c>
    </row>
    <row r="72" spans="1:5">
      <c r="A72" s="67">
        <v>0.38517099999999999</v>
      </c>
      <c r="B72" s="67">
        <v>2.5383599999999999E-3</v>
      </c>
      <c r="C72" s="67">
        <v>28.390999999999998</v>
      </c>
      <c r="D72" s="67">
        <v>2</v>
      </c>
      <c r="E72" s="91" t="s">
        <v>470</v>
      </c>
    </row>
    <row r="73" spans="1:5">
      <c r="A73" s="67">
        <v>0.38583000000000001</v>
      </c>
      <c r="B73" s="67">
        <v>1.71674E-4</v>
      </c>
      <c r="C73" s="67">
        <v>28.7971</v>
      </c>
      <c r="D73" s="67">
        <v>2</v>
      </c>
      <c r="E73" s="91" t="s">
        <v>471</v>
      </c>
    </row>
    <row r="74" spans="1:5">
      <c r="A74" s="67">
        <v>0.386187</v>
      </c>
      <c r="B74" s="67">
        <v>1.2997900000000001E-3</v>
      </c>
      <c r="C74" s="67">
        <v>29.207799999999999</v>
      </c>
      <c r="D74" s="67">
        <v>2</v>
      </c>
      <c r="E74" s="91" t="s">
        <v>472</v>
      </c>
    </row>
    <row r="75" spans="1:5">
      <c r="A75" s="67">
        <v>0.388042</v>
      </c>
      <c r="B75" s="67">
        <v>0</v>
      </c>
      <c r="C75" s="67">
        <v>29.623100000000001</v>
      </c>
      <c r="D75" s="67">
        <v>2</v>
      </c>
      <c r="E75" s="91" t="s">
        <v>473</v>
      </c>
    </row>
    <row r="76" spans="1:5">
      <c r="A76" s="67">
        <v>0.38696700000000001</v>
      </c>
      <c r="B76" s="67">
        <v>3.9615700000000002E-3</v>
      </c>
      <c r="C76" s="67">
        <v>30.021999999999998</v>
      </c>
      <c r="D76" s="67">
        <v>2</v>
      </c>
      <c r="E76" s="91" t="s">
        <v>474</v>
      </c>
    </row>
    <row r="77" spans="1:5">
      <c r="A77" s="67"/>
      <c r="B77" s="67"/>
      <c r="C77" s="67"/>
      <c r="D77" s="67"/>
      <c r="E77" s="67"/>
    </row>
    <row r="78" spans="1:5">
      <c r="A78" s="67"/>
      <c r="B78" s="67"/>
      <c r="C78" s="67"/>
      <c r="D78" s="67"/>
      <c r="E78" s="67"/>
    </row>
    <row r="79" spans="1:5">
      <c r="A79" s="67"/>
      <c r="B79" s="67"/>
      <c r="C79" s="67"/>
      <c r="D79" s="67"/>
      <c r="E79" s="67"/>
    </row>
    <row r="80" spans="1:5">
      <c r="A80" s="67"/>
      <c r="B80" s="67"/>
      <c r="C80" s="67"/>
      <c r="D80" s="67"/>
      <c r="E80" s="67"/>
    </row>
    <row r="81" spans="1:5">
      <c r="A81" s="67"/>
      <c r="B81" s="67"/>
      <c r="C81" s="67"/>
      <c r="D81" s="67"/>
      <c r="E81" s="67"/>
    </row>
    <row r="82" spans="1:5">
      <c r="A82" s="67"/>
      <c r="B82" s="67"/>
      <c r="C82" s="67"/>
      <c r="D82" s="67"/>
      <c r="E82" s="67"/>
    </row>
    <row r="83" spans="1:5">
      <c r="A83" s="67"/>
      <c r="B83" s="67"/>
      <c r="C83" s="67"/>
      <c r="D83" s="67"/>
      <c r="E83" s="67"/>
    </row>
    <row r="84" spans="1:5">
      <c r="A84" s="67"/>
      <c r="B84" s="67"/>
      <c r="C84" s="67"/>
      <c r="D84" s="67"/>
      <c r="E84" s="67"/>
    </row>
    <row r="85" spans="1:5">
      <c r="A85" s="67"/>
      <c r="B85" s="67"/>
      <c r="C85" s="67"/>
      <c r="D85" s="67"/>
      <c r="E85" s="67"/>
    </row>
    <row r="86" spans="1:5">
      <c r="A86" s="67"/>
      <c r="B86" s="67"/>
      <c r="C86" s="67"/>
      <c r="D86" s="67"/>
      <c r="E86" s="67"/>
    </row>
    <row r="87" spans="1:5">
      <c r="A87" s="67"/>
      <c r="B87" s="67"/>
      <c r="C87" s="67"/>
      <c r="D87" s="67"/>
      <c r="E87" s="67"/>
    </row>
    <row r="88" spans="1:5">
      <c r="A88" s="67"/>
      <c r="B88" s="67"/>
      <c r="C88" s="67"/>
      <c r="D88" s="67"/>
      <c r="E88" s="67"/>
    </row>
    <row r="89" spans="1:5">
      <c r="A89" s="67"/>
      <c r="B89" s="67"/>
      <c r="C89" s="67"/>
      <c r="D89" s="67"/>
      <c r="E89" s="67"/>
    </row>
    <row r="90" spans="1:5">
      <c r="A90" s="67"/>
      <c r="B90" s="67"/>
      <c r="C90" s="67"/>
      <c r="D90" s="67"/>
      <c r="E90" s="67"/>
    </row>
    <row r="91" spans="1:5">
      <c r="A91" s="67"/>
      <c r="B91" s="67"/>
      <c r="C91" s="67"/>
      <c r="D91" s="67"/>
      <c r="E91" s="67"/>
    </row>
    <row r="92" spans="1:5">
      <c r="A92" s="67"/>
      <c r="B92" s="67"/>
      <c r="C92" s="67"/>
      <c r="D92" s="67"/>
      <c r="E92" s="67"/>
    </row>
    <row r="93" spans="1:5">
      <c r="A93" s="67"/>
      <c r="B93" s="67"/>
      <c r="C93" s="67"/>
      <c r="D93" s="67"/>
      <c r="E93" s="67"/>
    </row>
    <row r="94" spans="1:5">
      <c r="A94" s="67"/>
      <c r="B94" s="67"/>
      <c r="C94" s="67"/>
      <c r="D94" s="67"/>
      <c r="E94" s="67"/>
    </row>
    <row r="95" spans="1:5">
      <c r="A95" s="67"/>
      <c r="B95" s="67"/>
      <c r="C95" s="67"/>
      <c r="D95" s="67"/>
      <c r="E95" s="67"/>
    </row>
    <row r="96" spans="1:5">
      <c r="A96" s="67"/>
      <c r="B96" s="67"/>
      <c r="C96" s="67"/>
      <c r="D96" s="67"/>
      <c r="E96" s="67"/>
    </row>
    <row r="97" spans="1:5">
      <c r="A97" s="67"/>
      <c r="B97" s="67"/>
      <c r="C97" s="67"/>
      <c r="D97" s="67"/>
      <c r="E97" s="67"/>
    </row>
    <row r="98" spans="1:5">
      <c r="A98" s="67"/>
      <c r="B98" s="67"/>
      <c r="C98" s="67"/>
      <c r="D98" s="67"/>
      <c r="E98" s="67"/>
    </row>
    <row r="99" spans="1:5">
      <c r="A99" s="67"/>
      <c r="B99" s="67"/>
      <c r="C99" s="67"/>
      <c r="D99" s="67"/>
      <c r="E99" s="67"/>
    </row>
    <row r="100" spans="1:5">
      <c r="A100" s="67"/>
      <c r="B100" s="67"/>
      <c r="C100" s="67"/>
      <c r="D100" s="67"/>
      <c r="E100" s="67"/>
    </row>
    <row r="101" spans="1:5">
      <c r="A101" s="67"/>
      <c r="B101" s="67"/>
      <c r="C101" s="67"/>
      <c r="D101" s="67"/>
      <c r="E101" s="67"/>
    </row>
    <row r="102" spans="1:5">
      <c r="A102" s="67"/>
      <c r="B102" s="67"/>
      <c r="C102" s="67"/>
      <c r="D102" s="67"/>
      <c r="E102" s="67"/>
    </row>
    <row r="103" spans="1:5">
      <c r="A103" s="67"/>
      <c r="B103" s="67"/>
      <c r="C103" s="67"/>
      <c r="D103" s="67"/>
      <c r="E103" s="67"/>
    </row>
    <row r="104" spans="1:5">
      <c r="A104" s="67"/>
      <c r="B104" s="67"/>
      <c r="C104" s="67"/>
      <c r="D104" s="67"/>
      <c r="E104" s="67"/>
    </row>
    <row r="105" spans="1:5">
      <c r="A105" s="67"/>
      <c r="B105" s="67"/>
      <c r="C105" s="67"/>
      <c r="D105" s="67"/>
      <c r="E105" s="67"/>
    </row>
    <row r="106" spans="1:5">
      <c r="A106" s="67"/>
      <c r="B106" s="67"/>
      <c r="C106" s="67"/>
      <c r="D106" s="67"/>
      <c r="E106" s="67"/>
    </row>
    <row r="107" spans="1:5">
      <c r="A107" s="67"/>
      <c r="B107" s="67"/>
      <c r="C107" s="67"/>
      <c r="D107" s="67"/>
      <c r="E107" s="67"/>
    </row>
    <row r="108" spans="1:5">
      <c r="A108" s="67"/>
      <c r="B108" s="67"/>
      <c r="C108" s="67"/>
      <c r="D108" s="67"/>
      <c r="E108" s="67"/>
    </row>
    <row r="109" spans="1:5">
      <c r="A109" s="67"/>
      <c r="B109" s="67"/>
      <c r="C109" s="67"/>
      <c r="D109" s="67"/>
      <c r="E109" s="67"/>
    </row>
    <row r="110" spans="1:5">
      <c r="A110" s="67"/>
      <c r="B110" s="67"/>
      <c r="C110" s="67"/>
      <c r="D110" s="67"/>
      <c r="E110" s="67"/>
    </row>
    <row r="111" spans="1:5">
      <c r="A111" s="67"/>
      <c r="B111" s="67"/>
      <c r="C111" s="67"/>
      <c r="D111" s="67"/>
      <c r="E111" s="67"/>
    </row>
    <row r="112" spans="1:5">
      <c r="A112" s="67"/>
      <c r="B112" s="67"/>
      <c r="C112" s="67"/>
      <c r="D112" s="67"/>
      <c r="E112" s="67"/>
    </row>
    <row r="113" spans="1:5">
      <c r="A113" s="67"/>
      <c r="B113" s="67"/>
      <c r="C113" s="67"/>
      <c r="D113" s="67"/>
      <c r="E113" s="67"/>
    </row>
    <row r="114" spans="1:5">
      <c r="A114" s="67"/>
      <c r="B114" s="67"/>
      <c r="C114" s="67"/>
      <c r="D114" s="67"/>
      <c r="E114" s="67"/>
    </row>
    <row r="115" spans="1:5">
      <c r="A115" s="67"/>
      <c r="B115" s="67"/>
      <c r="C115" s="67"/>
      <c r="D115" s="67"/>
      <c r="E115" s="67"/>
    </row>
    <row r="116" spans="1:5">
      <c r="A116" s="67"/>
      <c r="B116" s="67"/>
      <c r="C116" s="67"/>
      <c r="D116" s="67"/>
      <c r="E116" s="67"/>
    </row>
    <row r="117" spans="1:5">
      <c r="A117" s="67"/>
      <c r="B117" s="67"/>
      <c r="C117" s="67"/>
      <c r="D117" s="67"/>
      <c r="E117" s="67"/>
    </row>
    <row r="118" spans="1:5">
      <c r="A118" s="67"/>
      <c r="B118" s="67"/>
      <c r="C118" s="67"/>
      <c r="D118" s="67"/>
      <c r="E118" s="67"/>
    </row>
    <row r="119" spans="1:5">
      <c r="A119" s="67"/>
      <c r="B119" s="67"/>
      <c r="C119" s="67"/>
      <c r="D119" s="67"/>
      <c r="E119" s="67"/>
    </row>
    <row r="120" spans="1:5">
      <c r="A120" s="67"/>
      <c r="B120" s="67"/>
      <c r="C120" s="67"/>
      <c r="D120" s="67"/>
      <c r="E120" s="67"/>
    </row>
    <row r="121" spans="1:5">
      <c r="A121" s="67"/>
      <c r="B121" s="67"/>
      <c r="C121" s="67"/>
      <c r="D121" s="67"/>
      <c r="E121" s="67"/>
    </row>
    <row r="122" spans="1:5">
      <c r="A122" s="67"/>
      <c r="B122" s="67"/>
      <c r="C122" s="67"/>
      <c r="D122" s="67"/>
      <c r="E122" s="67"/>
    </row>
    <row r="123" spans="1:5">
      <c r="A123" s="67"/>
      <c r="B123" s="67"/>
      <c r="C123" s="67"/>
      <c r="D123" s="67"/>
      <c r="E123" s="67"/>
    </row>
    <row r="124" spans="1:5">
      <c r="A124" s="67"/>
      <c r="B124" s="67"/>
      <c r="C124" s="67"/>
      <c r="D124" s="67"/>
      <c r="E124" s="67"/>
    </row>
    <row r="125" spans="1:5">
      <c r="A125" s="67"/>
      <c r="B125" s="67"/>
      <c r="C125" s="67"/>
      <c r="D125" s="67"/>
      <c r="E125" s="67"/>
    </row>
    <row r="126" spans="1:5">
      <c r="A126" s="67"/>
      <c r="B126" s="67"/>
      <c r="C126" s="67"/>
      <c r="D126" s="67"/>
      <c r="E126" s="67"/>
    </row>
    <row r="127" spans="1:5">
      <c r="A127" s="67"/>
      <c r="B127" s="67"/>
      <c r="C127" s="67"/>
      <c r="D127" s="67"/>
      <c r="E127" s="67"/>
    </row>
    <row r="128" spans="1:5">
      <c r="A128" s="67"/>
      <c r="B128" s="67"/>
      <c r="C128" s="67"/>
      <c r="D128" s="67"/>
      <c r="E128" s="67"/>
    </row>
    <row r="129" spans="1:5">
      <c r="A129" s="67"/>
      <c r="B129" s="67"/>
      <c r="C129" s="67"/>
      <c r="D129" s="67"/>
      <c r="E129" s="67"/>
    </row>
    <row r="130" spans="1:5">
      <c r="A130" s="67"/>
      <c r="B130" s="67"/>
      <c r="C130" s="67"/>
      <c r="D130" s="67"/>
      <c r="E130" s="67"/>
    </row>
    <row r="131" spans="1:5">
      <c r="A131" s="67"/>
      <c r="B131" s="67"/>
      <c r="C131" s="67"/>
      <c r="D131" s="67"/>
      <c r="E131" s="67"/>
    </row>
    <row r="132" spans="1:5">
      <c r="A132" s="67"/>
      <c r="B132" s="67"/>
      <c r="C132" s="67"/>
      <c r="D132" s="67"/>
      <c r="E132" s="67"/>
    </row>
    <row r="133" spans="1:5">
      <c r="A133" s="67"/>
      <c r="B133" s="67"/>
      <c r="C133" s="67"/>
      <c r="D133" s="67"/>
      <c r="E133" s="67"/>
    </row>
    <row r="134" spans="1:5">
      <c r="A134" s="67"/>
      <c r="B134" s="67"/>
      <c r="C134" s="67"/>
      <c r="D134" s="67"/>
      <c r="E134" s="67"/>
    </row>
    <row r="135" spans="1:5">
      <c r="A135" s="67"/>
      <c r="B135" s="67"/>
      <c r="C135" s="67"/>
      <c r="D135" s="67"/>
      <c r="E135" s="67"/>
    </row>
    <row r="136" spans="1:5">
      <c r="A136" s="67"/>
      <c r="B136" s="67"/>
      <c r="C136" s="67"/>
      <c r="D136" s="67"/>
      <c r="E136" s="67"/>
    </row>
    <row r="137" spans="1:5">
      <c r="A137" s="67"/>
      <c r="B137" s="67"/>
      <c r="C137" s="67"/>
      <c r="D137" s="67"/>
      <c r="E137" s="67"/>
    </row>
    <row r="138" spans="1:5">
      <c r="A138" s="67"/>
      <c r="B138" s="67"/>
      <c r="C138" s="67"/>
      <c r="D138" s="67"/>
      <c r="E138" s="67"/>
    </row>
    <row r="139" spans="1:5">
      <c r="A139" s="67"/>
      <c r="B139" s="67"/>
      <c r="C139" s="67"/>
      <c r="D139" s="67"/>
      <c r="E139" s="67"/>
    </row>
    <row r="140" spans="1:5">
      <c r="A140" s="67"/>
      <c r="B140" s="67"/>
      <c r="C140" s="67"/>
      <c r="D140" s="67"/>
      <c r="E140" s="67"/>
    </row>
    <row r="141" spans="1:5">
      <c r="A141" s="67"/>
      <c r="B141" s="67"/>
      <c r="C141" s="67"/>
      <c r="D141" s="67"/>
      <c r="E141" s="67"/>
    </row>
    <row r="142" spans="1:5">
      <c r="A142" s="67"/>
      <c r="B142" s="67"/>
      <c r="C142" s="67"/>
      <c r="D142" s="67"/>
      <c r="E142" s="67"/>
    </row>
    <row r="143" spans="1:5">
      <c r="A143" s="67"/>
      <c r="B143" s="67"/>
      <c r="C143" s="67"/>
      <c r="D143" s="67"/>
      <c r="E143" s="67"/>
    </row>
    <row r="144" spans="1:5">
      <c r="A144" s="67"/>
      <c r="B144" s="67"/>
      <c r="C144" s="67"/>
      <c r="D144" s="67"/>
      <c r="E144" s="67"/>
    </row>
    <row r="145" spans="1:5">
      <c r="A145" s="67"/>
      <c r="B145" s="67"/>
      <c r="C145" s="67"/>
      <c r="D145" s="67"/>
      <c r="E145" s="67"/>
    </row>
    <row r="146" spans="1:5">
      <c r="A146" s="67"/>
      <c r="B146" s="67"/>
      <c r="C146" s="67"/>
      <c r="D146" s="67"/>
      <c r="E146" s="67"/>
    </row>
    <row r="147" spans="1:5">
      <c r="A147" s="67"/>
      <c r="B147" s="67"/>
      <c r="C147" s="67"/>
      <c r="D147" s="67"/>
      <c r="E147" s="67"/>
    </row>
    <row r="148" spans="1:5">
      <c r="A148" s="67"/>
      <c r="B148" s="67"/>
      <c r="C148" s="67"/>
      <c r="D148" s="67"/>
      <c r="E148" s="67"/>
    </row>
    <row r="149" spans="1:5">
      <c r="A149" s="67"/>
      <c r="B149" s="67"/>
      <c r="C149" s="67"/>
      <c r="D149" s="67"/>
      <c r="E149" s="67"/>
    </row>
    <row r="150" spans="1:5">
      <c r="A150" s="67"/>
      <c r="B150" s="67"/>
      <c r="C150" s="32"/>
      <c r="D150" s="32"/>
      <c r="E150" s="32"/>
    </row>
    <row r="151" spans="1:5">
      <c r="A151" s="67"/>
      <c r="B151" s="67"/>
      <c r="C151" s="32"/>
      <c r="D151" s="32"/>
      <c r="E151" s="32"/>
    </row>
    <row r="152" spans="1:5">
      <c r="A152" s="67"/>
      <c r="B152" s="67"/>
      <c r="C152" s="32"/>
      <c r="D152" s="32"/>
      <c r="E152" s="32"/>
    </row>
    <row r="153" spans="1:5">
      <c r="A153" s="67"/>
      <c r="B153" s="67"/>
      <c r="C153" s="32"/>
      <c r="D153" s="32"/>
      <c r="E153" s="32"/>
    </row>
    <row r="154" spans="1:5">
      <c r="A154" s="67"/>
      <c r="B154" s="67"/>
      <c r="C154" s="32"/>
      <c r="D154" s="32"/>
      <c r="E154" s="32"/>
    </row>
    <row r="155" spans="1:5">
      <c r="A155" s="67"/>
      <c r="B155" s="67"/>
      <c r="C155" s="32"/>
      <c r="D155" s="32"/>
      <c r="E155" s="32"/>
    </row>
    <row r="156" spans="1:5">
      <c r="A156" s="67"/>
      <c r="B156" s="67"/>
      <c r="C156" s="32"/>
      <c r="D156" s="32"/>
      <c r="E156" s="32"/>
    </row>
    <row r="157" spans="1:5">
      <c r="A157" s="67"/>
      <c r="B157" s="67"/>
      <c r="C157" s="32"/>
      <c r="D157" s="32"/>
      <c r="E157" s="32"/>
    </row>
    <row r="158" spans="1:5">
      <c r="A158" s="67"/>
      <c r="B158" s="67"/>
      <c r="C158" s="32"/>
      <c r="D158" s="32"/>
      <c r="E158" s="32"/>
    </row>
    <row r="159" spans="1:5">
      <c r="A159" s="67"/>
      <c r="B159" s="67"/>
      <c r="C159" s="32"/>
      <c r="D159" s="32"/>
      <c r="E159" s="32"/>
    </row>
    <row r="160" spans="1:5">
      <c r="A160" s="67"/>
      <c r="B160" s="67"/>
      <c r="C160" s="32"/>
      <c r="D160" s="32"/>
      <c r="E160" s="32"/>
    </row>
    <row r="161" spans="1:5">
      <c r="A161" s="67"/>
      <c r="B161" s="67"/>
      <c r="C161" s="32"/>
      <c r="D161" s="32"/>
      <c r="E161" s="32"/>
    </row>
    <row r="162" spans="1:5">
      <c r="A162" s="67"/>
      <c r="B162" s="67"/>
      <c r="C162" s="32"/>
      <c r="D162" s="32"/>
      <c r="E162" s="32"/>
    </row>
    <row r="163" spans="1:5">
      <c r="A163" s="67"/>
      <c r="B163" s="67"/>
      <c r="C163" s="32"/>
      <c r="D163" s="32"/>
      <c r="E163" s="32"/>
    </row>
    <row r="164" spans="1:5">
      <c r="A164" s="67"/>
      <c r="B164" s="67"/>
      <c r="C164" s="32"/>
      <c r="D164" s="32"/>
      <c r="E164" s="32"/>
    </row>
    <row r="165" spans="1:5">
      <c r="A165" s="67"/>
      <c r="B165" s="67"/>
      <c r="C165" s="32"/>
      <c r="D165" s="32"/>
      <c r="E165" s="32"/>
    </row>
    <row r="166" spans="1:5">
      <c r="A166" s="67"/>
      <c r="B166" s="67"/>
      <c r="C166" s="32"/>
      <c r="D166" s="32"/>
      <c r="E166" s="32"/>
    </row>
    <row r="167" spans="1:5">
      <c r="A167" s="67"/>
      <c r="B167" s="67"/>
      <c r="C167" s="32"/>
      <c r="D167" s="32"/>
      <c r="E167" s="32"/>
    </row>
    <row r="168" spans="1:5">
      <c r="A168" s="67"/>
      <c r="B168" s="67"/>
      <c r="C168" s="32"/>
      <c r="D168" s="32"/>
      <c r="E168" s="32"/>
    </row>
    <row r="169" spans="1:5">
      <c r="A169" s="67"/>
      <c r="B169" s="67"/>
      <c r="C169" s="32"/>
      <c r="D169" s="32"/>
      <c r="E169" s="32"/>
    </row>
    <row r="170" spans="1:5">
      <c r="A170" s="67"/>
      <c r="B170" s="67"/>
      <c r="C170" s="32"/>
      <c r="D170" s="32"/>
      <c r="E170" s="32"/>
    </row>
    <row r="171" spans="1:5">
      <c r="A171" s="67"/>
      <c r="B171" s="67"/>
      <c r="C171" s="32"/>
      <c r="D171" s="32"/>
      <c r="E171" s="32"/>
    </row>
    <row r="172" spans="1:5">
      <c r="A172" s="67"/>
      <c r="B172" s="67"/>
      <c r="C172" s="32"/>
      <c r="D172" s="32"/>
      <c r="E172" s="32"/>
    </row>
    <row r="173" spans="1:5">
      <c r="A173" s="67"/>
      <c r="B173" s="67"/>
      <c r="C173" s="32"/>
      <c r="D173" s="32"/>
      <c r="E173" s="32"/>
    </row>
    <row r="174" spans="1:5">
      <c r="A174" s="67"/>
      <c r="B174" s="67"/>
      <c r="C174" s="32"/>
      <c r="D174" s="32"/>
      <c r="E174" s="32"/>
    </row>
    <row r="175" spans="1:5">
      <c r="A175" s="67"/>
      <c r="B175" s="67"/>
      <c r="C175" s="32"/>
      <c r="D175" s="32"/>
      <c r="E175" s="32"/>
    </row>
    <row r="176" spans="1:5">
      <c r="A176" s="67"/>
      <c r="B176" s="67"/>
      <c r="C176" s="32"/>
      <c r="D176" s="32"/>
      <c r="E176" s="32"/>
    </row>
    <row r="177" spans="1:5">
      <c r="A177" s="67"/>
      <c r="B177" s="67"/>
      <c r="C177" s="32"/>
      <c r="D177" s="32"/>
      <c r="E177" s="32"/>
    </row>
    <row r="178" spans="1:5">
      <c r="A178" s="67"/>
      <c r="B178" s="67"/>
      <c r="C178" s="32"/>
      <c r="D178" s="32"/>
      <c r="E178" s="32"/>
    </row>
    <row r="179" spans="1:5">
      <c r="A179" s="67"/>
      <c r="B179" s="67"/>
      <c r="C179" s="32"/>
      <c r="D179" s="32"/>
      <c r="E179" s="32"/>
    </row>
    <row r="180" spans="1:5">
      <c r="A180" s="67"/>
      <c r="B180" s="67"/>
      <c r="C180" s="32"/>
      <c r="D180" s="32"/>
      <c r="E180" s="32"/>
    </row>
    <row r="181" spans="1:5">
      <c r="A181" s="67"/>
      <c r="B181" s="67"/>
      <c r="C181" s="32"/>
      <c r="D181" s="32"/>
      <c r="E181" s="32"/>
    </row>
    <row r="182" spans="1:5">
      <c r="A182" s="67"/>
      <c r="B182" s="67"/>
      <c r="C182" s="32"/>
      <c r="D182" s="32"/>
      <c r="E182" s="32"/>
    </row>
    <row r="183" spans="1:5">
      <c r="A183" s="67"/>
      <c r="B183" s="67"/>
      <c r="C183" s="32"/>
      <c r="D183" s="32"/>
      <c r="E183" s="32"/>
    </row>
    <row r="184" spans="1:5">
      <c r="A184" s="67"/>
      <c r="B184" s="67"/>
      <c r="C184" s="32"/>
      <c r="D184" s="32"/>
      <c r="E184" s="32"/>
    </row>
    <row r="185" spans="1:5">
      <c r="A185" s="67"/>
      <c r="B185" s="67"/>
      <c r="C185" s="32"/>
      <c r="D185" s="32"/>
      <c r="E185" s="32"/>
    </row>
    <row r="186" spans="1:5">
      <c r="A186" s="67"/>
      <c r="B186" s="67"/>
      <c r="C186" s="32"/>
      <c r="D186" s="32"/>
      <c r="E186" s="32"/>
    </row>
    <row r="187" spans="1:5">
      <c r="A187" s="67"/>
      <c r="B187" s="67"/>
      <c r="C187" s="32"/>
      <c r="D187" s="32"/>
      <c r="E187" s="32"/>
    </row>
    <row r="188" spans="1:5">
      <c r="A188" s="67"/>
      <c r="B188" s="67"/>
      <c r="C188" s="32"/>
      <c r="D188" s="32"/>
      <c r="E188" s="32"/>
    </row>
    <row r="189" spans="1:5">
      <c r="A189" s="67"/>
      <c r="B189" s="67"/>
      <c r="C189" s="32"/>
      <c r="D189" s="32"/>
      <c r="E189" s="32"/>
    </row>
    <row r="190" spans="1:5">
      <c r="A190" s="67"/>
      <c r="B190" s="67"/>
      <c r="C190" s="32"/>
      <c r="D190" s="32"/>
      <c r="E190" s="32"/>
    </row>
    <row r="191" spans="1:5">
      <c r="A191" s="67"/>
      <c r="B191" s="67"/>
      <c r="C191" s="32"/>
      <c r="D191" s="32"/>
      <c r="E191" s="32"/>
    </row>
    <row r="192" spans="1:5">
      <c r="A192" s="67"/>
      <c r="B192" s="67"/>
      <c r="C192" s="32"/>
      <c r="D192" s="32"/>
      <c r="E192" s="32"/>
    </row>
    <row r="193" spans="1:5">
      <c r="A193" s="67"/>
      <c r="B193" s="67"/>
      <c r="C193" s="32"/>
      <c r="D193" s="32"/>
      <c r="E193" s="32"/>
    </row>
    <row r="194" spans="1:5">
      <c r="A194" s="67"/>
      <c r="B194" s="67"/>
      <c r="C194" s="32"/>
      <c r="D194" s="32"/>
      <c r="E194" s="32"/>
    </row>
    <row r="195" spans="1:5">
      <c r="A195" s="67"/>
      <c r="B195" s="67"/>
      <c r="C195" s="32"/>
      <c r="D195" s="32"/>
      <c r="E195" s="32"/>
    </row>
    <row r="196" spans="1:5">
      <c r="A196" s="67"/>
      <c r="B196" s="67"/>
      <c r="C196" s="32"/>
      <c r="D196" s="32"/>
      <c r="E196" s="32"/>
    </row>
    <row r="197" spans="1:5">
      <c r="A197" s="67"/>
      <c r="B197" s="67"/>
      <c r="C197" s="32"/>
      <c r="D197" s="32"/>
      <c r="E197" s="32"/>
    </row>
    <row r="198" spans="1:5">
      <c r="A198" s="67"/>
      <c r="B198" s="67"/>
      <c r="C198" s="32"/>
      <c r="D198" s="32"/>
      <c r="E198" s="32"/>
    </row>
    <row r="199" spans="1:5">
      <c r="A199" s="67"/>
      <c r="B199" s="67"/>
      <c r="C199" s="32"/>
      <c r="D199" s="32"/>
      <c r="E199" s="32"/>
    </row>
    <row r="200" spans="1:5">
      <c r="A200" s="67"/>
      <c r="B200" s="67"/>
      <c r="C200" s="32"/>
      <c r="D200" s="32"/>
      <c r="E200" s="32"/>
    </row>
    <row r="201" spans="1:5">
      <c r="A201" s="67"/>
      <c r="B201" s="67"/>
      <c r="C201" s="32"/>
      <c r="D201" s="32"/>
      <c r="E201" s="32"/>
    </row>
    <row r="202" spans="1:5">
      <c r="A202" s="67"/>
      <c r="B202" s="67"/>
      <c r="C202" s="32"/>
      <c r="D202" s="32"/>
      <c r="E202" s="32"/>
    </row>
    <row r="203" spans="1:5">
      <c r="A203" s="67"/>
      <c r="B203" s="67"/>
      <c r="C203" s="32"/>
      <c r="D203" s="32"/>
      <c r="E203" s="32"/>
    </row>
    <row r="204" spans="1:5">
      <c r="A204" s="67"/>
      <c r="B204" s="67"/>
      <c r="C204" s="32"/>
      <c r="D204" s="32"/>
      <c r="E204" s="32"/>
    </row>
    <row r="205" spans="1:5">
      <c r="A205" s="67"/>
      <c r="B205" s="67"/>
      <c r="C205" s="32"/>
      <c r="D205" s="32"/>
      <c r="E205" s="32"/>
    </row>
    <row r="206" spans="1:5">
      <c r="A206" s="67"/>
      <c r="B206" s="67"/>
      <c r="C206" s="32"/>
      <c r="D206" s="32"/>
      <c r="E206" s="32"/>
    </row>
    <row r="207" spans="1:5">
      <c r="A207" s="67"/>
      <c r="B207" s="67"/>
      <c r="C207" s="32"/>
      <c r="D207" s="32"/>
      <c r="E207" s="32"/>
    </row>
    <row r="208" spans="1:5">
      <c r="A208" s="67"/>
      <c r="B208" s="67"/>
      <c r="C208" s="32"/>
      <c r="D208" s="32"/>
      <c r="E208" s="32"/>
    </row>
    <row r="209" spans="1:5">
      <c r="A209" s="67"/>
      <c r="B209" s="67"/>
      <c r="C209" s="32"/>
      <c r="D209" s="32"/>
      <c r="E209" s="32"/>
    </row>
    <row r="210" spans="1:5">
      <c r="A210" s="67"/>
      <c r="B210" s="67"/>
      <c r="C210" s="32"/>
      <c r="D210" s="32"/>
      <c r="E210" s="32"/>
    </row>
    <row r="211" spans="1:5">
      <c r="A211" s="67"/>
      <c r="B211" s="67"/>
      <c r="C211" s="32"/>
      <c r="D211" s="32"/>
      <c r="E211" s="32"/>
    </row>
    <row r="212" spans="1:5">
      <c r="A212" s="67"/>
      <c r="B212" s="67"/>
      <c r="C212" s="32"/>
      <c r="D212" s="32"/>
      <c r="E212" s="32"/>
    </row>
    <row r="213" spans="1:5">
      <c r="A213" s="67"/>
      <c r="B213" s="67"/>
      <c r="C213" s="32"/>
      <c r="D213" s="32"/>
      <c r="E213" s="32"/>
    </row>
    <row r="214" spans="1:5">
      <c r="A214" s="67"/>
      <c r="B214" s="67"/>
      <c r="C214" s="32"/>
      <c r="D214" s="32"/>
      <c r="E214" s="32"/>
    </row>
    <row r="215" spans="1:5">
      <c r="A215" s="67"/>
      <c r="B215" s="67"/>
      <c r="C215" s="32"/>
      <c r="D215" s="32"/>
      <c r="E215" s="32"/>
    </row>
    <row r="216" spans="1:5">
      <c r="A216" s="67"/>
      <c r="B216" s="67"/>
      <c r="C216" s="32"/>
      <c r="D216" s="32"/>
      <c r="E216" s="32"/>
    </row>
    <row r="217" spans="1:5">
      <c r="A217" s="67"/>
      <c r="B217" s="67"/>
      <c r="C217" s="32"/>
      <c r="D217" s="32"/>
      <c r="E217" s="32"/>
    </row>
    <row r="218" spans="1:5">
      <c r="A218" s="67"/>
      <c r="B218" s="67"/>
      <c r="C218" s="32"/>
      <c r="D218" s="32"/>
      <c r="E218" s="32"/>
    </row>
    <row r="219" spans="1:5">
      <c r="A219" s="67"/>
      <c r="B219" s="67"/>
      <c r="C219" s="32"/>
      <c r="D219" s="32"/>
      <c r="E219" s="32"/>
    </row>
    <row r="220" spans="1:5">
      <c r="A220" s="67"/>
      <c r="B220" s="67"/>
      <c r="C220" s="32"/>
      <c r="D220" s="32"/>
      <c r="E220" s="32"/>
    </row>
    <row r="221" spans="1:5">
      <c r="A221" s="67"/>
      <c r="B221" s="67"/>
      <c r="C221" s="32"/>
      <c r="D221" s="32"/>
      <c r="E221" s="32"/>
    </row>
    <row r="222" spans="1:5">
      <c r="A222" s="67"/>
      <c r="B222" s="67"/>
      <c r="C222" s="32"/>
      <c r="D222" s="32"/>
      <c r="E222" s="32"/>
    </row>
    <row r="223" spans="1:5">
      <c r="A223" s="67"/>
      <c r="B223" s="67"/>
      <c r="C223" s="32"/>
      <c r="D223" s="32"/>
      <c r="E223" s="32"/>
    </row>
    <row r="224" spans="1:5">
      <c r="A224" s="67"/>
      <c r="B224" s="67"/>
      <c r="C224" s="32"/>
      <c r="D224" s="32"/>
      <c r="E224" s="32"/>
    </row>
    <row r="225" spans="1:5">
      <c r="A225" s="67"/>
      <c r="B225" s="67"/>
      <c r="C225" s="32"/>
      <c r="D225" s="32"/>
      <c r="E225" s="32"/>
    </row>
    <row r="226" spans="1:5">
      <c r="A226" s="67"/>
      <c r="B226" s="67"/>
      <c r="C226" s="32"/>
      <c r="D226" s="32"/>
      <c r="E226" s="32"/>
    </row>
    <row r="227" spans="1:5">
      <c r="A227" s="67"/>
      <c r="B227" s="67"/>
      <c r="C227" s="32"/>
      <c r="D227" s="32"/>
      <c r="E227" s="32"/>
    </row>
    <row r="228" spans="1:5">
      <c r="A228" s="67"/>
      <c r="B228" s="67"/>
      <c r="C228" s="32"/>
      <c r="D228" s="32"/>
      <c r="E228" s="32"/>
    </row>
    <row r="229" spans="1:5">
      <c r="A229" s="67"/>
      <c r="B229" s="67"/>
      <c r="C229" s="32"/>
      <c r="D229" s="32"/>
      <c r="E229" s="32"/>
    </row>
    <row r="230" spans="1:5">
      <c r="A230" s="67"/>
      <c r="B230" s="67"/>
      <c r="C230" s="32"/>
      <c r="D230" s="32"/>
      <c r="E230" s="32"/>
    </row>
    <row r="231" spans="1:5">
      <c r="A231" s="67"/>
      <c r="B231" s="67"/>
      <c r="C231" s="32"/>
      <c r="D231" s="32"/>
      <c r="E231" s="32"/>
    </row>
    <row r="232" spans="1:5">
      <c r="A232" s="67"/>
      <c r="B232" s="67"/>
      <c r="C232" s="32"/>
      <c r="D232" s="32"/>
      <c r="E232" s="32"/>
    </row>
    <row r="233" spans="1:5">
      <c r="A233" s="67"/>
      <c r="B233" s="67"/>
      <c r="C233" s="32"/>
      <c r="D233" s="32"/>
      <c r="E233" s="32"/>
    </row>
    <row r="234" spans="1:5">
      <c r="A234" s="67"/>
      <c r="B234" s="67"/>
      <c r="C234" s="32"/>
      <c r="D234" s="32"/>
      <c r="E234" s="32"/>
    </row>
    <row r="235" spans="1:5">
      <c r="A235" s="67"/>
      <c r="B235" s="67"/>
      <c r="C235" s="32"/>
      <c r="D235" s="32"/>
      <c r="E235" s="32"/>
    </row>
    <row r="236" spans="1:5">
      <c r="A236" s="67"/>
      <c r="B236" s="67"/>
      <c r="C236" s="32"/>
      <c r="D236" s="32"/>
      <c r="E236" s="32"/>
    </row>
    <row r="237" spans="1:5">
      <c r="A237" s="67"/>
      <c r="B237" s="67"/>
      <c r="C237" s="32"/>
      <c r="D237" s="32"/>
      <c r="E237" s="32"/>
    </row>
    <row r="238" spans="1:5">
      <c r="A238" s="67"/>
      <c r="B238" s="67"/>
      <c r="C238" s="32"/>
      <c r="D238" s="32"/>
      <c r="E238" s="32"/>
    </row>
    <row r="239" spans="1:5">
      <c r="A239" s="67"/>
      <c r="B239" s="67"/>
      <c r="C239" s="32"/>
      <c r="D239" s="32"/>
      <c r="E239" s="32"/>
    </row>
    <row r="240" spans="1:5">
      <c r="A240" s="67"/>
      <c r="B240" s="67"/>
      <c r="C240" s="32"/>
      <c r="D240" s="32"/>
      <c r="E240" s="32"/>
    </row>
    <row r="241" spans="1:5">
      <c r="A241" s="67"/>
      <c r="B241" s="67"/>
      <c r="C241" s="32"/>
      <c r="D241" s="32"/>
      <c r="E241" s="32"/>
    </row>
    <row r="242" spans="1:5">
      <c r="A242" s="67"/>
      <c r="B242" s="67"/>
      <c r="C242" s="32"/>
      <c r="D242" s="32"/>
      <c r="E242" s="32"/>
    </row>
    <row r="243" spans="1:5">
      <c r="A243" s="67"/>
      <c r="B243" s="67"/>
      <c r="C243" s="32"/>
      <c r="D243" s="32"/>
      <c r="E243" s="32"/>
    </row>
    <row r="244" spans="1:5">
      <c r="A244" s="67"/>
      <c r="B244" s="67"/>
      <c r="C244" s="32"/>
      <c r="D244" s="32"/>
      <c r="E244" s="32"/>
    </row>
    <row r="245" spans="1:5">
      <c r="A245" s="67"/>
      <c r="B245" s="67"/>
      <c r="C245" s="32"/>
      <c r="D245" s="32"/>
      <c r="E245" s="32"/>
    </row>
    <row r="246" spans="1:5">
      <c r="A246" s="67"/>
      <c r="B246" s="67"/>
      <c r="C246" s="32"/>
      <c r="D246" s="32"/>
      <c r="E246" s="32"/>
    </row>
    <row r="247" spans="1:5">
      <c r="A247" s="67"/>
      <c r="B247" s="67"/>
      <c r="C247" s="32"/>
      <c r="D247" s="32"/>
      <c r="E247" s="32"/>
    </row>
    <row r="248" spans="1:5">
      <c r="A248" s="67"/>
      <c r="B248" s="67"/>
      <c r="C248" s="32"/>
      <c r="D248" s="32"/>
      <c r="E248" s="32"/>
    </row>
    <row r="249" spans="1:5">
      <c r="A249" s="67"/>
      <c r="B249" s="67"/>
      <c r="C249" s="32"/>
      <c r="D249" s="32"/>
      <c r="E249" s="32"/>
    </row>
    <row r="250" spans="1:5">
      <c r="A250" s="67"/>
      <c r="B250" s="67"/>
      <c r="C250" s="32"/>
      <c r="D250" s="32"/>
      <c r="E250" s="32"/>
    </row>
    <row r="251" spans="1:5">
      <c r="A251" s="67"/>
      <c r="B251" s="67"/>
      <c r="C251" s="32"/>
      <c r="D251" s="32"/>
      <c r="E251" s="32"/>
    </row>
    <row r="252" spans="1:5">
      <c r="A252" s="67"/>
      <c r="B252" s="67"/>
      <c r="C252" s="32"/>
      <c r="D252" s="32"/>
      <c r="E252" s="32"/>
    </row>
    <row r="253" spans="1:5">
      <c r="A253" s="67"/>
      <c r="B253" s="67"/>
      <c r="C253" s="32"/>
      <c r="D253" s="32"/>
      <c r="E253" s="32"/>
    </row>
    <row r="254" spans="1:5">
      <c r="A254" s="67"/>
      <c r="B254" s="67"/>
      <c r="C254" s="32"/>
      <c r="D254" s="32"/>
      <c r="E254" s="32"/>
    </row>
    <row r="255" spans="1:5">
      <c r="A255" s="67"/>
      <c r="B255" s="67"/>
      <c r="C255" s="32"/>
      <c r="D255" s="32"/>
      <c r="E255" s="32"/>
    </row>
    <row r="256" spans="1:5">
      <c r="A256" s="67"/>
      <c r="B256" s="67"/>
      <c r="C256" s="32"/>
      <c r="D256" s="32"/>
      <c r="E256" s="32"/>
    </row>
    <row r="257" spans="1:5">
      <c r="A257" s="67"/>
      <c r="B257" s="67"/>
      <c r="C257" s="32"/>
      <c r="D257" s="32"/>
      <c r="E257" s="32"/>
    </row>
    <row r="258" spans="1:5">
      <c r="A258" s="67"/>
      <c r="B258" s="67"/>
      <c r="C258" s="32"/>
      <c r="D258" s="32"/>
      <c r="E258" s="32"/>
    </row>
    <row r="259" spans="1:5">
      <c r="A259" s="67"/>
      <c r="B259" s="67"/>
      <c r="C259" s="32"/>
      <c r="D259" s="32"/>
      <c r="E259" s="32"/>
    </row>
    <row r="260" spans="1:5">
      <c r="A260" s="67"/>
      <c r="B260" s="67"/>
      <c r="C260" s="32"/>
      <c r="D260" s="32"/>
      <c r="E260" s="32"/>
    </row>
    <row r="261" spans="1:5">
      <c r="A261" s="67"/>
      <c r="B261" s="67"/>
      <c r="C261" s="32"/>
      <c r="D261" s="32"/>
      <c r="E261" s="32"/>
    </row>
    <row r="262" spans="1:5">
      <c r="A262" s="67"/>
      <c r="B262" s="67"/>
      <c r="C262" s="32"/>
      <c r="D262" s="32"/>
      <c r="E262" s="32"/>
    </row>
    <row r="263" spans="1:5">
      <c r="A263" s="67"/>
      <c r="B263" s="67"/>
      <c r="C263" s="32"/>
      <c r="D263" s="32"/>
      <c r="E263" s="32"/>
    </row>
    <row r="264" spans="1:5">
      <c r="A264" s="67"/>
      <c r="B264" s="67"/>
      <c r="C264" s="32"/>
      <c r="D264" s="32"/>
      <c r="E264" s="32"/>
    </row>
    <row r="265" spans="1:5">
      <c r="A265" s="67"/>
      <c r="B265" s="67"/>
      <c r="C265" s="32"/>
      <c r="D265" s="32"/>
      <c r="E265" s="32"/>
    </row>
    <row r="266" spans="1:5">
      <c r="A266" s="67"/>
      <c r="B266" s="67"/>
      <c r="C266" s="32"/>
      <c r="D266" s="32"/>
      <c r="E266" s="32"/>
    </row>
    <row r="267" spans="1:5">
      <c r="A267" s="67"/>
      <c r="B267" s="67"/>
      <c r="C267" s="32"/>
      <c r="D267" s="32"/>
      <c r="E267" s="32"/>
    </row>
    <row r="268" spans="1:5">
      <c r="A268" s="67"/>
      <c r="B268" s="67"/>
      <c r="C268" s="32"/>
      <c r="D268" s="32"/>
      <c r="E268" s="32"/>
    </row>
    <row r="269" spans="1:5">
      <c r="A269" s="67"/>
      <c r="B269" s="67"/>
      <c r="C269" s="32"/>
      <c r="D269" s="32"/>
      <c r="E269" s="32"/>
    </row>
    <row r="270" spans="1:5">
      <c r="A270" s="67"/>
      <c r="B270" s="67"/>
      <c r="C270" s="32"/>
      <c r="D270" s="32"/>
      <c r="E270" s="32"/>
    </row>
    <row r="271" spans="1:5">
      <c r="A271" s="67"/>
      <c r="B271" s="67"/>
      <c r="C271" s="32"/>
      <c r="D271" s="32"/>
      <c r="E271" s="32"/>
    </row>
    <row r="272" spans="1:5">
      <c r="A272" s="67"/>
      <c r="B272" s="67"/>
      <c r="C272" s="32"/>
      <c r="D272" s="32"/>
      <c r="E272" s="32"/>
    </row>
    <row r="273" spans="1:5">
      <c r="A273" s="67"/>
      <c r="B273" s="67"/>
      <c r="C273" s="32"/>
      <c r="D273" s="32"/>
      <c r="E273" s="32"/>
    </row>
    <row r="274" spans="1:5">
      <c r="A274" s="67"/>
      <c r="B274" s="67"/>
      <c r="C274" s="32"/>
      <c r="D274" s="32"/>
      <c r="E274" s="32"/>
    </row>
    <row r="275" spans="1:5">
      <c r="A275" s="67"/>
      <c r="B275" s="67"/>
      <c r="C275" s="32"/>
      <c r="D275" s="32"/>
      <c r="E275" s="32"/>
    </row>
    <row r="276" spans="1:5">
      <c r="A276" s="67"/>
      <c r="B276" s="67"/>
      <c r="C276" s="32"/>
      <c r="D276" s="32"/>
      <c r="E276" s="32"/>
    </row>
    <row r="277" spans="1:5">
      <c r="A277" s="67"/>
      <c r="B277" s="67"/>
      <c r="C277" s="32"/>
      <c r="D277" s="32"/>
      <c r="E277" s="32"/>
    </row>
    <row r="278" spans="1:5">
      <c r="A278" s="67"/>
      <c r="B278" s="67"/>
      <c r="C278" s="32"/>
      <c r="D278" s="32"/>
      <c r="E278" s="32"/>
    </row>
    <row r="279" spans="1:5">
      <c r="A279" s="67"/>
      <c r="B279" s="67"/>
      <c r="C279" s="32"/>
      <c r="D279" s="32"/>
      <c r="E279" s="32"/>
    </row>
    <row r="280" spans="1:5">
      <c r="A280" s="67"/>
      <c r="B280" s="67"/>
      <c r="C280" s="32"/>
      <c r="D280" s="32"/>
      <c r="E280" s="32"/>
    </row>
    <row r="281" spans="1:5">
      <c r="A281" s="67"/>
      <c r="B281" s="67"/>
      <c r="C281" s="32"/>
      <c r="D281" s="32"/>
      <c r="E281" s="32"/>
    </row>
    <row r="282" spans="1:5">
      <c r="A282" s="67"/>
      <c r="B282" s="67"/>
      <c r="C282" s="32"/>
      <c r="D282" s="32"/>
      <c r="E282" s="32"/>
    </row>
    <row r="283" spans="1:5">
      <c r="A283" s="67"/>
      <c r="B283" s="67"/>
      <c r="C283" s="32"/>
      <c r="D283" s="32"/>
      <c r="E283" s="32"/>
    </row>
    <row r="284" spans="1:5">
      <c r="A284" s="67"/>
      <c r="B284" s="67"/>
      <c r="C284" s="32"/>
      <c r="D284" s="32"/>
      <c r="E284" s="32"/>
    </row>
    <row r="285" spans="1:5">
      <c r="A285" s="67"/>
      <c r="B285" s="67"/>
      <c r="C285" s="32"/>
      <c r="D285" s="32"/>
      <c r="E285" s="32"/>
    </row>
    <row r="286" spans="1:5">
      <c r="A286" s="67"/>
      <c r="B286" s="67"/>
      <c r="C286" s="32"/>
      <c r="D286" s="32"/>
      <c r="E286" s="32"/>
    </row>
    <row r="287" spans="1:5">
      <c r="A287" s="67"/>
      <c r="B287" s="67"/>
      <c r="C287" s="32"/>
      <c r="D287" s="32"/>
      <c r="E287" s="32"/>
    </row>
    <row r="288" spans="1:5">
      <c r="A288" s="67"/>
      <c r="B288" s="67"/>
      <c r="C288" s="32"/>
      <c r="D288" s="32"/>
      <c r="E288" s="32"/>
    </row>
    <row r="289" spans="1:5">
      <c r="A289" s="67"/>
      <c r="B289" s="67"/>
      <c r="C289" s="32"/>
      <c r="D289" s="32"/>
      <c r="E289" s="32"/>
    </row>
    <row r="290" spans="1:5">
      <c r="A290" s="67"/>
      <c r="B290" s="67"/>
      <c r="C290" s="32"/>
      <c r="D290" s="32"/>
      <c r="E290" s="32"/>
    </row>
    <row r="291" spans="1:5">
      <c r="A291" s="67"/>
      <c r="B291" s="67"/>
      <c r="C291" s="32"/>
      <c r="D291" s="32"/>
      <c r="E291" s="32"/>
    </row>
    <row r="292" spans="1:5">
      <c r="A292" s="67"/>
      <c r="B292" s="67"/>
      <c r="C292" s="32"/>
      <c r="D292" s="32"/>
      <c r="E292" s="32"/>
    </row>
    <row r="293" spans="1:5">
      <c r="A293" s="67"/>
      <c r="B293" s="67"/>
      <c r="C293" s="32"/>
      <c r="D293" s="32"/>
      <c r="E293" s="32"/>
    </row>
    <row r="294" spans="1:5">
      <c r="A294" s="67"/>
      <c r="B294" s="67"/>
      <c r="C294" s="32"/>
      <c r="D294" s="32"/>
      <c r="E294" s="32"/>
    </row>
    <row r="295" spans="1:5">
      <c r="A295" s="67"/>
      <c r="B295" s="67"/>
      <c r="C295" s="32"/>
      <c r="D295" s="32"/>
      <c r="E295" s="32"/>
    </row>
    <row r="296" spans="1:5">
      <c r="A296" s="67"/>
      <c r="B296" s="67"/>
      <c r="C296" s="32"/>
      <c r="D296" s="32"/>
      <c r="E296" s="32"/>
    </row>
    <row r="297" spans="1:5">
      <c r="A297" s="67"/>
      <c r="B297" s="67"/>
      <c r="C297" s="32"/>
      <c r="D297" s="32"/>
      <c r="E297" s="32"/>
    </row>
    <row r="298" spans="1:5">
      <c r="A298" s="67"/>
      <c r="B298" s="67"/>
      <c r="C298" s="32"/>
      <c r="D298" s="32"/>
      <c r="E298" s="32"/>
    </row>
    <row r="299" spans="1:5">
      <c r="A299" s="67"/>
      <c r="B299" s="67"/>
      <c r="C299" s="32"/>
      <c r="D299" s="32"/>
      <c r="E299" s="32"/>
    </row>
    <row r="300" spans="1:5">
      <c r="A300" s="67"/>
      <c r="B300" s="67"/>
      <c r="C300" s="32"/>
      <c r="D300" s="32"/>
      <c r="E300" s="32"/>
    </row>
    <row r="301" spans="1:5">
      <c r="A301" s="67"/>
      <c r="B301" s="67"/>
      <c r="C301" s="32"/>
      <c r="D301" s="32"/>
      <c r="E301" s="32"/>
    </row>
    <row r="302" spans="1:5">
      <c r="A302" s="67"/>
      <c r="B302" s="67"/>
      <c r="C302" s="32"/>
      <c r="D302" s="32"/>
      <c r="E302" s="32"/>
    </row>
    <row r="303" spans="1:5">
      <c r="A303" s="67"/>
      <c r="B303" s="67"/>
      <c r="C303" s="32"/>
      <c r="D303" s="32"/>
      <c r="E303" s="32"/>
    </row>
    <row r="304" spans="1:5">
      <c r="A304" s="67"/>
      <c r="B304" s="67"/>
      <c r="C304" s="32"/>
      <c r="D304" s="32"/>
      <c r="E304" s="32"/>
    </row>
    <row r="305" spans="1:5">
      <c r="A305" s="67"/>
      <c r="B305" s="67"/>
      <c r="C305" s="32"/>
      <c r="D305" s="32"/>
      <c r="E305" s="32"/>
    </row>
    <row r="306" spans="1:5">
      <c r="A306" s="67"/>
      <c r="B306" s="67"/>
      <c r="C306" s="32"/>
      <c r="D306" s="32"/>
      <c r="E306" s="32"/>
    </row>
    <row r="307" spans="1:5">
      <c r="A307" s="67"/>
      <c r="B307" s="67"/>
      <c r="C307" s="32"/>
      <c r="D307" s="32"/>
      <c r="E307" s="32"/>
    </row>
    <row r="308" spans="1:5">
      <c r="A308" s="67"/>
      <c r="B308" s="67"/>
      <c r="C308" s="32"/>
      <c r="D308" s="32"/>
      <c r="E308" s="32"/>
    </row>
    <row r="309" spans="1:5">
      <c r="A309" s="67"/>
      <c r="B309" s="67"/>
      <c r="C309" s="32"/>
      <c r="D309" s="32"/>
      <c r="E309" s="32"/>
    </row>
    <row r="310" spans="1:5">
      <c r="A310" s="67"/>
      <c r="B310" s="67"/>
      <c r="C310" s="32"/>
      <c r="D310" s="32"/>
      <c r="E310" s="32"/>
    </row>
    <row r="311" spans="1:5">
      <c r="A311" s="67"/>
      <c r="B311" s="67"/>
      <c r="C311" s="32"/>
      <c r="D311" s="32"/>
      <c r="E311" s="32"/>
    </row>
    <row r="312" spans="1:5">
      <c r="A312" s="67"/>
      <c r="B312" s="67"/>
      <c r="C312" s="32"/>
      <c r="D312" s="32"/>
      <c r="E312" s="32"/>
    </row>
    <row r="313" spans="1:5">
      <c r="A313" s="67"/>
      <c r="B313" s="67"/>
      <c r="C313" s="32"/>
      <c r="D313" s="32"/>
      <c r="E313" s="32"/>
    </row>
    <row r="314" spans="1:5">
      <c r="A314" s="67"/>
      <c r="B314" s="67"/>
      <c r="C314" s="32"/>
      <c r="D314" s="32"/>
      <c r="E314" s="32"/>
    </row>
    <row r="315" spans="1:5">
      <c r="A315" s="67"/>
      <c r="B315" s="67"/>
      <c r="C315" s="32"/>
      <c r="D315" s="32"/>
      <c r="E315" s="32"/>
    </row>
    <row r="316" spans="1:5">
      <c r="A316" s="67"/>
      <c r="B316" s="67"/>
      <c r="C316" s="32"/>
      <c r="D316" s="32"/>
      <c r="E316" s="32"/>
    </row>
    <row r="317" spans="1:5">
      <c r="A317" s="67"/>
      <c r="B317" s="67"/>
      <c r="C317" s="32"/>
      <c r="D317" s="32"/>
      <c r="E317" s="32"/>
    </row>
    <row r="318" spans="1:5">
      <c r="A318" s="67"/>
      <c r="B318" s="67"/>
      <c r="C318" s="32"/>
      <c r="D318" s="32"/>
      <c r="E318" s="32"/>
    </row>
    <row r="319" spans="1:5">
      <c r="A319" s="67"/>
      <c r="B319" s="67"/>
      <c r="C319" s="32"/>
      <c r="D319" s="32"/>
      <c r="E319" s="32"/>
    </row>
    <row r="320" spans="1:5">
      <c r="A320" s="67"/>
      <c r="B320" s="67"/>
      <c r="C320" s="32"/>
      <c r="D320" s="32"/>
      <c r="E320" s="32"/>
    </row>
    <row r="321" spans="1:5">
      <c r="A321" s="67"/>
      <c r="B321" s="67"/>
      <c r="C321" s="32"/>
      <c r="D321" s="32"/>
      <c r="E321" s="32"/>
    </row>
    <row r="322" spans="1:5">
      <c r="A322" s="67"/>
      <c r="B322" s="67"/>
      <c r="C322" s="32"/>
      <c r="D322" s="32"/>
      <c r="E322" s="32"/>
    </row>
    <row r="323" spans="1:5">
      <c r="A323" s="67"/>
      <c r="B323" s="67"/>
      <c r="C323" s="32"/>
      <c r="D323" s="32"/>
      <c r="E323" s="32"/>
    </row>
    <row r="324" spans="1:5">
      <c r="A324" s="67"/>
      <c r="B324" s="67"/>
      <c r="C324" s="32"/>
      <c r="D324" s="32"/>
      <c r="E324" s="32"/>
    </row>
    <row r="325" spans="1:5">
      <c r="A325" s="67"/>
      <c r="B325" s="67"/>
      <c r="C325" s="32"/>
      <c r="D325" s="32"/>
      <c r="E325" s="32"/>
    </row>
    <row r="326" spans="1:5">
      <c r="A326" s="67"/>
      <c r="B326" s="67"/>
      <c r="C326" s="32"/>
      <c r="D326" s="32"/>
      <c r="E326" s="32"/>
    </row>
    <row r="327" spans="1:5">
      <c r="A327" s="67"/>
      <c r="B327" s="67"/>
      <c r="C327" s="32"/>
      <c r="D327" s="32"/>
      <c r="E327" s="32"/>
    </row>
    <row r="328" spans="1:5">
      <c r="A328" s="67"/>
      <c r="B328" s="67"/>
      <c r="C328" s="32"/>
      <c r="D328" s="32"/>
      <c r="E328" s="32"/>
    </row>
    <row r="329" spans="1:5">
      <c r="A329" s="67"/>
      <c r="B329" s="67"/>
      <c r="C329" s="32"/>
      <c r="D329" s="32"/>
      <c r="E329" s="32"/>
    </row>
    <row r="330" spans="1:5">
      <c r="A330" s="67"/>
      <c r="B330" s="67"/>
      <c r="C330" s="32"/>
      <c r="D330" s="32"/>
      <c r="E330" s="32"/>
    </row>
    <row r="331" spans="1:5">
      <c r="A331" s="67"/>
      <c r="B331" s="67"/>
      <c r="C331" s="32"/>
      <c r="D331" s="32"/>
      <c r="E331" s="32"/>
    </row>
    <row r="332" spans="1:5">
      <c r="A332" s="67"/>
      <c r="B332" s="67"/>
      <c r="C332" s="32"/>
      <c r="D332" s="32"/>
      <c r="E332" s="32"/>
    </row>
    <row r="333" spans="1:5">
      <c r="A333" s="67"/>
      <c r="B333" s="67"/>
      <c r="C333" s="32"/>
      <c r="D333" s="32"/>
      <c r="E333" s="32"/>
    </row>
    <row r="334" spans="1:5">
      <c r="A334" s="67"/>
      <c r="B334" s="67"/>
      <c r="C334" s="32"/>
      <c r="D334" s="32"/>
      <c r="E334" s="32"/>
    </row>
    <row r="335" spans="1:5">
      <c r="A335" s="67"/>
      <c r="B335" s="67"/>
      <c r="C335" s="32"/>
      <c r="D335" s="32"/>
      <c r="E335" s="32"/>
    </row>
    <row r="336" spans="1:5">
      <c r="A336" s="67"/>
      <c r="B336" s="67"/>
      <c r="C336" s="32"/>
      <c r="D336" s="32"/>
      <c r="E336" s="32"/>
    </row>
    <row r="337" spans="1:5">
      <c r="A337" s="67"/>
      <c r="B337" s="67"/>
      <c r="C337" s="32"/>
      <c r="D337" s="32"/>
      <c r="E337" s="32"/>
    </row>
    <row r="338" spans="1:5">
      <c r="A338" s="67"/>
      <c r="B338" s="67"/>
      <c r="C338" s="32"/>
      <c r="D338" s="32"/>
      <c r="E338" s="32"/>
    </row>
    <row r="339" spans="1:5">
      <c r="A339" s="67"/>
      <c r="B339" s="67"/>
      <c r="C339" s="32"/>
      <c r="D339" s="32"/>
      <c r="E339" s="32"/>
    </row>
    <row r="340" spans="1:5">
      <c r="A340" s="67"/>
      <c r="B340" s="67"/>
      <c r="C340" s="32"/>
      <c r="D340" s="32"/>
      <c r="E340" s="32"/>
    </row>
    <row r="341" spans="1:5">
      <c r="A341" s="67"/>
      <c r="B341" s="67"/>
      <c r="C341" s="32"/>
      <c r="D341" s="32"/>
      <c r="E341" s="32"/>
    </row>
    <row r="342" spans="1:5">
      <c r="A342" s="67"/>
      <c r="B342" s="67"/>
      <c r="C342" s="32"/>
      <c r="D342" s="32"/>
      <c r="E342" s="32"/>
    </row>
    <row r="343" spans="1:5">
      <c r="A343" s="67"/>
      <c r="B343" s="67"/>
      <c r="C343" s="32"/>
      <c r="D343" s="32"/>
      <c r="E343" s="32"/>
    </row>
    <row r="344" spans="1:5">
      <c r="A344" s="67"/>
      <c r="B344" s="67"/>
      <c r="C344" s="32"/>
      <c r="D344" s="32"/>
      <c r="E344" s="32"/>
    </row>
    <row r="345" spans="1:5">
      <c r="A345" s="67"/>
      <c r="B345" s="67"/>
      <c r="C345" s="32"/>
      <c r="D345" s="32"/>
      <c r="E345" s="32"/>
    </row>
    <row r="346" spans="1:5">
      <c r="A346" s="67"/>
      <c r="B346" s="67"/>
      <c r="C346" s="32"/>
      <c r="D346" s="32"/>
      <c r="E346" s="32"/>
    </row>
    <row r="347" spans="1:5">
      <c r="A347" s="67"/>
      <c r="B347" s="67"/>
      <c r="C347" s="32"/>
      <c r="D347" s="32"/>
      <c r="E347" s="32"/>
    </row>
    <row r="348" spans="1:5">
      <c r="A348" s="67"/>
      <c r="B348" s="67"/>
      <c r="C348" s="32"/>
      <c r="D348" s="32"/>
      <c r="E348" s="32"/>
    </row>
    <row r="349" spans="1:5">
      <c r="A349" s="67"/>
      <c r="B349" s="67"/>
      <c r="C349" s="32"/>
      <c r="D349" s="32"/>
      <c r="E349" s="32"/>
    </row>
    <row r="350" spans="1:5">
      <c r="A350" s="67"/>
      <c r="B350" s="67"/>
      <c r="C350" s="32"/>
      <c r="D350" s="32"/>
      <c r="E350" s="32"/>
    </row>
    <row r="351" spans="1:5">
      <c r="A351" s="67"/>
      <c r="B351" s="67"/>
      <c r="C351" s="32"/>
      <c r="D351" s="32"/>
      <c r="E351" s="32"/>
    </row>
    <row r="352" spans="1:5">
      <c r="A352" s="67"/>
      <c r="B352" s="67"/>
      <c r="C352" s="32"/>
      <c r="D352" s="32"/>
      <c r="E352" s="32"/>
    </row>
    <row r="353" spans="1:5">
      <c r="A353" s="67"/>
      <c r="B353" s="67"/>
      <c r="C353" s="32"/>
      <c r="D353" s="32"/>
      <c r="E353" s="32"/>
    </row>
    <row r="354" spans="1:5">
      <c r="A354" s="67"/>
      <c r="B354" s="67"/>
      <c r="C354" s="32"/>
      <c r="D354" s="32"/>
      <c r="E354" s="32"/>
    </row>
    <row r="355" spans="1:5">
      <c r="A355" s="67"/>
      <c r="B355" s="67"/>
      <c r="C355" s="32"/>
      <c r="D355" s="32"/>
      <c r="E355" s="32"/>
    </row>
    <row r="356" spans="1:5">
      <c r="A356" s="67"/>
      <c r="B356" s="67"/>
      <c r="C356" s="32"/>
      <c r="D356" s="32"/>
      <c r="E356" s="32"/>
    </row>
    <row r="357" spans="1:5">
      <c r="A357" s="67"/>
      <c r="B357" s="67"/>
      <c r="C357" s="32"/>
      <c r="D357" s="32"/>
      <c r="E357" s="32"/>
    </row>
    <row r="358" spans="1:5">
      <c r="A358" s="67"/>
      <c r="B358" s="67"/>
      <c r="C358" s="32"/>
      <c r="D358" s="32"/>
      <c r="E358" s="32"/>
    </row>
    <row r="359" spans="1:5">
      <c r="A359" s="67"/>
      <c r="B359" s="67"/>
      <c r="C359" s="32"/>
      <c r="D359" s="32"/>
      <c r="E359" s="32"/>
    </row>
    <row r="360" spans="1:5">
      <c r="A360" s="67"/>
      <c r="B360" s="67"/>
      <c r="C360" s="32"/>
      <c r="D360" s="32"/>
      <c r="E360" s="32"/>
    </row>
    <row r="361" spans="1:5">
      <c r="A361" s="67"/>
      <c r="B361" s="67"/>
      <c r="C361" s="32"/>
      <c r="D361" s="32"/>
      <c r="E361" s="32"/>
    </row>
    <row r="362" spans="1:5">
      <c r="A362" s="67"/>
      <c r="B362" s="67"/>
      <c r="C362" s="32"/>
      <c r="D362" s="32"/>
      <c r="E362" s="32"/>
    </row>
    <row r="363" spans="1:5">
      <c r="A363" s="67"/>
      <c r="B363" s="67"/>
      <c r="C363" s="32"/>
      <c r="D363" s="32"/>
      <c r="E363" s="32"/>
    </row>
    <row r="364" spans="1:5">
      <c r="A364" s="67"/>
      <c r="B364" s="67"/>
      <c r="C364" s="32"/>
      <c r="D364" s="32"/>
      <c r="E364" s="32"/>
    </row>
    <row r="365" spans="1:5">
      <c r="A365" s="67"/>
      <c r="B365" s="67"/>
      <c r="C365" s="32"/>
      <c r="D365" s="32"/>
      <c r="E365" s="32"/>
    </row>
    <row r="366" spans="1:5">
      <c r="A366" s="67"/>
      <c r="B366" s="67"/>
      <c r="C366" s="32"/>
      <c r="D366" s="32"/>
      <c r="E366" s="32"/>
    </row>
    <row r="367" spans="1:5">
      <c r="A367" s="67"/>
      <c r="B367" s="67"/>
      <c r="C367" s="32"/>
      <c r="D367" s="32"/>
      <c r="E367" s="32"/>
    </row>
    <row r="368" spans="1:5">
      <c r="A368" s="67"/>
      <c r="B368" s="67"/>
      <c r="C368" s="32"/>
      <c r="D368" s="32"/>
      <c r="E368" s="32"/>
    </row>
    <row r="369" spans="1:5">
      <c r="A369" s="67"/>
      <c r="B369" s="67"/>
      <c r="C369" s="32"/>
      <c r="D369" s="32"/>
      <c r="E369" s="32"/>
    </row>
    <row r="370" spans="1:5">
      <c r="A370" s="67"/>
      <c r="B370" s="67"/>
      <c r="C370" s="32"/>
      <c r="D370" s="32"/>
      <c r="E370" s="32"/>
    </row>
    <row r="371" spans="1:5">
      <c r="A371" s="67"/>
      <c r="B371" s="67"/>
      <c r="C371" s="32"/>
      <c r="D371" s="32"/>
      <c r="E371" s="32"/>
    </row>
    <row r="372" spans="1:5">
      <c r="A372" s="67"/>
      <c r="B372" s="67"/>
      <c r="C372" s="32"/>
      <c r="D372" s="32"/>
      <c r="E372" s="32"/>
    </row>
    <row r="373" spans="1:5">
      <c r="A373" s="67"/>
      <c r="B373" s="67"/>
      <c r="C373" s="32"/>
      <c r="D373" s="32"/>
      <c r="E373" s="32"/>
    </row>
    <row r="374" spans="1:5">
      <c r="A374" s="67"/>
      <c r="B374" s="67"/>
      <c r="C374" s="32"/>
      <c r="D374" s="32"/>
      <c r="E374" s="32"/>
    </row>
    <row r="375" spans="1:5">
      <c r="A375" s="67"/>
      <c r="B375" s="67"/>
      <c r="C375" s="32"/>
      <c r="D375" s="32"/>
      <c r="E375" s="32"/>
    </row>
    <row r="376" spans="1:5">
      <c r="A376" s="67"/>
      <c r="B376" s="67"/>
      <c r="C376" s="32"/>
      <c r="D376" s="32"/>
      <c r="E376" s="32"/>
    </row>
    <row r="377" spans="1:5">
      <c r="A377" s="67"/>
      <c r="B377" s="67"/>
      <c r="C377" s="32"/>
      <c r="D377" s="32"/>
      <c r="E377" s="32"/>
    </row>
    <row r="378" spans="1:5">
      <c r="A378" s="67"/>
      <c r="B378" s="67"/>
      <c r="C378" s="32"/>
      <c r="D378" s="32"/>
      <c r="E378" s="32"/>
    </row>
    <row r="379" spans="1:5">
      <c r="A379" s="67"/>
      <c r="B379" s="67"/>
      <c r="C379" s="32"/>
      <c r="D379" s="32"/>
      <c r="E379" s="32"/>
    </row>
    <row r="380" spans="1:5">
      <c r="A380" s="67"/>
      <c r="B380" s="67"/>
      <c r="C380" s="32"/>
      <c r="D380" s="32"/>
      <c r="E380" s="32"/>
    </row>
    <row r="381" spans="1:5">
      <c r="A381" s="67"/>
      <c r="B381" s="67"/>
      <c r="C381" s="32"/>
      <c r="D381" s="32"/>
      <c r="E381" s="32"/>
    </row>
    <row r="382" spans="1:5">
      <c r="A382" s="67"/>
      <c r="B382" s="67"/>
      <c r="C382" s="32"/>
      <c r="D382" s="32"/>
      <c r="E382" s="32"/>
    </row>
    <row r="383" spans="1:5">
      <c r="A383" s="67"/>
      <c r="B383" s="67"/>
      <c r="C383" s="32"/>
      <c r="D383" s="32"/>
      <c r="E383" s="32"/>
    </row>
    <row r="384" spans="1:5">
      <c r="A384" s="67"/>
      <c r="B384" s="67"/>
      <c r="C384" s="32"/>
      <c r="D384" s="32"/>
      <c r="E384" s="32"/>
    </row>
    <row r="385" spans="1:5">
      <c r="A385" s="67"/>
      <c r="B385" s="67"/>
      <c r="C385" s="32"/>
      <c r="D385" s="32"/>
      <c r="E385" s="32"/>
    </row>
    <row r="386" spans="1:5">
      <c r="A386" s="67"/>
      <c r="B386" s="67"/>
      <c r="C386" s="32"/>
      <c r="D386" s="32"/>
      <c r="E386" s="32"/>
    </row>
    <row r="387" spans="1:5">
      <c r="A387" s="67"/>
      <c r="B387" s="67"/>
      <c r="C387" s="32"/>
      <c r="D387" s="32"/>
      <c r="E387" s="32"/>
    </row>
    <row r="388" spans="1:5">
      <c r="A388" s="67"/>
      <c r="B388" s="67"/>
      <c r="C388" s="32"/>
      <c r="D388" s="32"/>
      <c r="E388" s="32"/>
    </row>
    <row r="389" spans="1:5">
      <c r="A389" s="67"/>
      <c r="B389" s="67"/>
      <c r="C389" s="32"/>
      <c r="D389" s="32"/>
      <c r="E389" s="32"/>
    </row>
    <row r="390" spans="1:5">
      <c r="A390" s="67"/>
      <c r="B390" s="67"/>
      <c r="C390" s="32"/>
      <c r="D390" s="32"/>
      <c r="E390" s="32"/>
    </row>
    <row r="391" spans="1:5">
      <c r="A391" s="67"/>
      <c r="B391" s="67"/>
      <c r="C391" s="32"/>
      <c r="D391" s="32"/>
      <c r="E391" s="32"/>
    </row>
    <row r="392" spans="1:5">
      <c r="A392" s="67"/>
      <c r="B392" s="67"/>
      <c r="C392" s="32"/>
      <c r="D392" s="32"/>
      <c r="E392" s="32"/>
    </row>
    <row r="393" spans="1:5">
      <c r="A393" s="67"/>
      <c r="B393" s="67"/>
      <c r="C393" s="32"/>
      <c r="D393" s="32"/>
      <c r="E393" s="32"/>
    </row>
    <row r="394" spans="1:5">
      <c r="A394" s="67"/>
      <c r="B394" s="67"/>
      <c r="C394" s="32"/>
      <c r="D394" s="32"/>
      <c r="E394" s="32"/>
    </row>
    <row r="395" spans="1:5">
      <c r="A395" s="67"/>
      <c r="B395" s="67"/>
      <c r="C395" s="32"/>
      <c r="D395" s="32"/>
      <c r="E395" s="32"/>
    </row>
    <row r="396" spans="1:5">
      <c r="A396" s="67"/>
      <c r="B396" s="67"/>
      <c r="C396" s="32"/>
      <c r="D396" s="32"/>
      <c r="E396" s="32"/>
    </row>
    <row r="397" spans="1:5">
      <c r="A397" s="67"/>
      <c r="B397" s="67"/>
      <c r="C397" s="32"/>
      <c r="D397" s="32"/>
      <c r="E397" s="32"/>
    </row>
    <row r="398" spans="1:5">
      <c r="A398" s="67"/>
      <c r="B398" s="67"/>
      <c r="C398" s="32"/>
      <c r="D398" s="32"/>
      <c r="E398" s="32"/>
    </row>
    <row r="399" spans="1:5">
      <c r="A399" s="67"/>
      <c r="B399" s="67"/>
      <c r="C399" s="32"/>
      <c r="D399" s="32"/>
      <c r="E399" s="32"/>
    </row>
    <row r="400" spans="1:5">
      <c r="A400" s="67"/>
      <c r="B400" s="67"/>
      <c r="C400" s="32"/>
      <c r="D400" s="32"/>
      <c r="E400" s="32"/>
    </row>
    <row r="401" spans="1:5">
      <c r="A401" s="67"/>
      <c r="B401" s="67"/>
      <c r="C401" s="32"/>
      <c r="D401" s="32"/>
      <c r="E401" s="32"/>
    </row>
    <row r="402" spans="1:5">
      <c r="A402" s="67"/>
      <c r="B402" s="67"/>
      <c r="C402" s="32"/>
      <c r="D402" s="32"/>
      <c r="E402" s="32"/>
    </row>
    <row r="403" spans="1:5">
      <c r="A403" s="67"/>
      <c r="B403" s="67"/>
      <c r="C403" s="32"/>
      <c r="D403" s="32"/>
      <c r="E403" s="32"/>
    </row>
    <row r="404" spans="1:5">
      <c r="A404" s="67"/>
      <c r="B404" s="67"/>
      <c r="C404" s="32"/>
      <c r="D404" s="32"/>
      <c r="E404" s="32"/>
    </row>
    <row r="405" spans="1:5">
      <c r="A405" s="67"/>
      <c r="B405" s="67"/>
      <c r="C405" s="32"/>
      <c r="D405" s="32"/>
      <c r="E405" s="32"/>
    </row>
    <row r="406" spans="1:5">
      <c r="A406" s="67"/>
      <c r="B406" s="67"/>
      <c r="C406" s="32"/>
      <c r="D406" s="32"/>
      <c r="E406" s="32"/>
    </row>
    <row r="407" spans="1:5">
      <c r="A407" s="67"/>
      <c r="B407" s="67"/>
      <c r="C407" s="32"/>
      <c r="D407" s="32"/>
      <c r="E407" s="32"/>
    </row>
    <row r="408" spans="1:5">
      <c r="A408" s="67"/>
      <c r="B408" s="67"/>
      <c r="C408" s="32"/>
      <c r="D408" s="32"/>
      <c r="E408" s="32"/>
    </row>
    <row r="409" spans="1:5">
      <c r="A409" s="67"/>
      <c r="B409" s="67"/>
      <c r="C409" s="32"/>
      <c r="D409" s="32"/>
      <c r="E409" s="32"/>
    </row>
    <row r="410" spans="1:5">
      <c r="A410" s="67"/>
      <c r="B410" s="67"/>
      <c r="C410" s="32"/>
      <c r="D410" s="32"/>
      <c r="E410" s="32"/>
    </row>
    <row r="411" spans="1:5">
      <c r="A411" s="67"/>
      <c r="B411" s="67"/>
      <c r="C411" s="32"/>
      <c r="D411" s="32"/>
      <c r="E411" s="32"/>
    </row>
    <row r="412" spans="1:5">
      <c r="A412" s="67"/>
      <c r="B412" s="67"/>
      <c r="C412" s="32"/>
      <c r="D412" s="32"/>
      <c r="E412" s="32"/>
    </row>
    <row r="413" spans="1:5">
      <c r="A413" s="67"/>
      <c r="B413" s="67"/>
      <c r="C413" s="32"/>
      <c r="D413" s="32"/>
      <c r="E413" s="32"/>
    </row>
    <row r="414" spans="1:5">
      <c r="A414" s="67"/>
      <c r="B414" s="67"/>
      <c r="C414" s="32"/>
      <c r="D414" s="32"/>
      <c r="E414" s="32"/>
    </row>
    <row r="415" spans="1:5">
      <c r="A415" s="67"/>
      <c r="B415" s="67"/>
      <c r="C415" s="32"/>
      <c r="D415" s="32"/>
      <c r="E415" s="32"/>
    </row>
    <row r="416" spans="1:5">
      <c r="A416" s="67"/>
      <c r="B416" s="67"/>
      <c r="C416" s="32"/>
      <c r="D416" s="32"/>
      <c r="E416" s="32"/>
    </row>
    <row r="417" spans="1:5">
      <c r="A417" s="67"/>
      <c r="B417" s="67"/>
      <c r="C417" s="32"/>
      <c r="D417" s="32"/>
      <c r="E417" s="32"/>
    </row>
    <row r="418" spans="1:5">
      <c r="A418" s="67"/>
      <c r="B418" s="67"/>
      <c r="C418" s="32"/>
      <c r="D418" s="32"/>
      <c r="E418" s="32"/>
    </row>
    <row r="419" spans="1:5">
      <c r="A419" s="67"/>
      <c r="B419" s="67"/>
      <c r="C419" s="32"/>
      <c r="D419" s="32"/>
      <c r="E419" s="32"/>
    </row>
    <row r="420" spans="1:5">
      <c r="A420" s="67"/>
      <c r="B420" s="67"/>
      <c r="C420" s="32"/>
      <c r="D420" s="32"/>
      <c r="E420" s="32"/>
    </row>
    <row r="421" spans="1:5">
      <c r="A421" s="67"/>
      <c r="B421" s="67"/>
      <c r="C421" s="32"/>
      <c r="D421" s="32"/>
      <c r="E421" s="32"/>
    </row>
    <row r="422" spans="1:5">
      <c r="A422" s="67"/>
      <c r="B422" s="67"/>
      <c r="C422" s="32"/>
      <c r="D422" s="32"/>
      <c r="E422" s="32"/>
    </row>
    <row r="423" spans="1:5">
      <c r="A423" s="67"/>
      <c r="B423" s="67"/>
      <c r="C423" s="32"/>
      <c r="D423" s="32"/>
      <c r="E423" s="32"/>
    </row>
    <row r="424" spans="1:5">
      <c r="A424" s="67"/>
      <c r="B424" s="67"/>
      <c r="C424" s="32"/>
      <c r="D424" s="32"/>
      <c r="E424" s="32"/>
    </row>
    <row r="425" spans="1:5">
      <c r="A425" s="67"/>
      <c r="B425" s="67"/>
      <c r="C425" s="32"/>
      <c r="D425" s="32"/>
      <c r="E425" s="32"/>
    </row>
    <row r="426" spans="1:5">
      <c r="A426" s="67"/>
      <c r="B426" s="67"/>
      <c r="C426" s="32"/>
      <c r="D426" s="32"/>
      <c r="E426" s="32"/>
    </row>
    <row r="427" spans="1:5">
      <c r="A427" s="67"/>
      <c r="B427" s="67"/>
      <c r="C427" s="32"/>
      <c r="D427" s="32"/>
      <c r="E427" s="32"/>
    </row>
    <row r="428" spans="1:5">
      <c r="A428" s="67"/>
      <c r="B428" s="67"/>
      <c r="C428" s="32"/>
      <c r="D428" s="32"/>
      <c r="E428" s="32"/>
    </row>
    <row r="429" spans="1:5">
      <c r="A429" s="67"/>
      <c r="B429" s="67"/>
      <c r="C429" s="32"/>
      <c r="D429" s="32"/>
      <c r="E429" s="32"/>
    </row>
    <row r="430" spans="1:5">
      <c r="A430" s="67"/>
      <c r="B430" s="67"/>
      <c r="C430" s="32"/>
      <c r="D430" s="32"/>
      <c r="E430" s="32"/>
    </row>
    <row r="431" spans="1:5">
      <c r="A431" s="67"/>
      <c r="B431" s="67"/>
      <c r="C431" s="32"/>
      <c r="D431" s="32"/>
      <c r="E431" s="32"/>
    </row>
    <row r="432" spans="1:5">
      <c r="A432" s="67"/>
      <c r="B432" s="67"/>
      <c r="C432" s="32"/>
      <c r="D432" s="32"/>
      <c r="E432" s="32"/>
    </row>
    <row r="433" spans="1:5">
      <c r="A433" s="67"/>
      <c r="B433" s="67"/>
      <c r="C433" s="32"/>
      <c r="D433" s="32"/>
      <c r="E433" s="32"/>
    </row>
    <row r="434" spans="1:5">
      <c r="A434" s="67"/>
      <c r="B434" s="67"/>
      <c r="C434" s="32"/>
      <c r="D434" s="32"/>
      <c r="E434" s="32"/>
    </row>
    <row r="435" spans="1:5">
      <c r="A435" s="67"/>
      <c r="B435" s="67"/>
      <c r="C435" s="32"/>
      <c r="D435" s="32"/>
      <c r="E435" s="32"/>
    </row>
    <row r="436" spans="1:5">
      <c r="A436" s="67"/>
      <c r="B436" s="67"/>
      <c r="C436" s="32"/>
      <c r="D436" s="32"/>
      <c r="E436" s="32"/>
    </row>
    <row r="437" spans="1:5">
      <c r="A437" s="67"/>
      <c r="B437" s="67"/>
      <c r="C437" s="32"/>
      <c r="D437" s="32"/>
      <c r="E437" s="32"/>
    </row>
    <row r="438" spans="1:5">
      <c r="A438" s="67"/>
      <c r="B438" s="67"/>
      <c r="C438" s="32"/>
      <c r="D438" s="32"/>
      <c r="E438" s="32"/>
    </row>
    <row r="439" spans="1:5">
      <c r="A439" s="67"/>
      <c r="B439" s="67"/>
      <c r="C439" s="32"/>
      <c r="D439" s="32"/>
      <c r="E439" s="32"/>
    </row>
    <row r="440" spans="1:5">
      <c r="A440" s="67"/>
      <c r="B440" s="67"/>
      <c r="C440" s="32"/>
      <c r="D440" s="32"/>
      <c r="E440" s="32"/>
    </row>
    <row r="441" spans="1:5">
      <c r="A441" s="67"/>
      <c r="B441" s="67"/>
      <c r="C441" s="32"/>
      <c r="D441" s="32"/>
      <c r="E441" s="32"/>
    </row>
    <row r="442" spans="1:5">
      <c r="A442" s="67"/>
      <c r="B442" s="67"/>
      <c r="C442" s="32"/>
      <c r="D442" s="32"/>
      <c r="E442" s="32"/>
    </row>
    <row r="443" spans="1:5">
      <c r="A443" s="67"/>
      <c r="B443" s="67"/>
      <c r="C443" s="32"/>
      <c r="D443" s="32"/>
      <c r="E443" s="32"/>
    </row>
    <row r="444" spans="1:5">
      <c r="A444" s="67"/>
      <c r="B444" s="67"/>
      <c r="C444" s="32"/>
      <c r="D444" s="32"/>
      <c r="E444" s="32"/>
    </row>
    <row r="445" spans="1:5">
      <c r="A445" s="67"/>
      <c r="B445" s="67"/>
      <c r="C445" s="32"/>
      <c r="D445" s="32"/>
      <c r="E445" s="32"/>
    </row>
    <row r="446" spans="1:5">
      <c r="A446" s="67"/>
      <c r="B446" s="67"/>
      <c r="C446" s="32"/>
      <c r="D446" s="32"/>
      <c r="E446" s="32"/>
    </row>
    <row r="447" spans="1:5">
      <c r="A447" s="67"/>
      <c r="B447" s="67"/>
      <c r="C447" s="32"/>
      <c r="D447" s="32"/>
      <c r="E447" s="32"/>
    </row>
    <row r="448" spans="1:5">
      <c r="A448" s="67"/>
      <c r="B448" s="67"/>
      <c r="C448" s="32"/>
      <c r="D448" s="32"/>
      <c r="E448" s="32"/>
    </row>
    <row r="449" spans="1:5">
      <c r="A449" s="67"/>
      <c r="B449" s="67"/>
      <c r="C449" s="32"/>
      <c r="D449" s="32"/>
      <c r="E449" s="32"/>
    </row>
    <row r="450" spans="1:5">
      <c r="A450" s="67"/>
      <c r="B450" s="67"/>
      <c r="C450" s="32"/>
      <c r="D450" s="32"/>
      <c r="E450" s="32"/>
    </row>
    <row r="451" spans="1:5">
      <c r="A451" s="67"/>
      <c r="B451" s="67"/>
      <c r="C451" s="32"/>
      <c r="D451" s="32"/>
      <c r="E451" s="32"/>
    </row>
    <row r="452" spans="1:5">
      <c r="A452" s="67"/>
      <c r="B452" s="67"/>
      <c r="C452" s="32"/>
      <c r="D452" s="32"/>
      <c r="E452" s="32"/>
    </row>
    <row r="453" spans="1:5">
      <c r="A453" s="67"/>
      <c r="B453" s="67"/>
      <c r="C453" s="32"/>
      <c r="D453" s="32"/>
      <c r="E453" s="32"/>
    </row>
    <row r="454" spans="1:5">
      <c r="A454" s="67"/>
      <c r="B454" s="67"/>
      <c r="C454" s="32"/>
      <c r="D454" s="32"/>
      <c r="E454" s="32"/>
    </row>
    <row r="455" spans="1:5">
      <c r="A455" s="67"/>
      <c r="B455" s="67"/>
      <c r="C455" s="32"/>
      <c r="D455" s="32"/>
      <c r="E455" s="32"/>
    </row>
    <row r="456" spans="1:5">
      <c r="A456" s="67"/>
      <c r="B456" s="67"/>
      <c r="C456" s="32"/>
      <c r="D456" s="32"/>
      <c r="E456" s="32"/>
    </row>
    <row r="457" spans="1:5">
      <c r="A457" s="67"/>
      <c r="B457" s="67"/>
      <c r="C457" s="32"/>
      <c r="D457" s="32"/>
      <c r="E457" s="32"/>
    </row>
    <row r="458" spans="1:5">
      <c r="A458" s="67"/>
      <c r="B458" s="67"/>
      <c r="C458" s="32"/>
      <c r="D458" s="32"/>
      <c r="E458" s="32"/>
    </row>
    <row r="459" spans="1:5">
      <c r="A459" s="67"/>
      <c r="B459" s="67"/>
      <c r="C459" s="32"/>
      <c r="D459" s="32"/>
      <c r="E459" s="32"/>
    </row>
    <row r="460" spans="1:5">
      <c r="A460" s="67"/>
      <c r="B460" s="67"/>
      <c r="C460" s="32"/>
      <c r="D460" s="32"/>
      <c r="E460" s="32"/>
    </row>
    <row r="461" spans="1:5">
      <c r="A461" s="67"/>
      <c r="B461" s="67"/>
      <c r="C461" s="32"/>
      <c r="D461" s="32"/>
      <c r="E461" s="32"/>
    </row>
    <row r="462" spans="1:5">
      <c r="A462" s="67"/>
      <c r="B462" s="67"/>
      <c r="C462" s="32"/>
      <c r="D462" s="32"/>
      <c r="E462" s="32"/>
    </row>
    <row r="463" spans="1:5">
      <c r="A463" s="67"/>
      <c r="B463" s="67"/>
      <c r="C463" s="32"/>
      <c r="D463" s="32"/>
      <c r="E463" s="32"/>
    </row>
    <row r="464" spans="1:5">
      <c r="A464" s="67"/>
      <c r="B464" s="67"/>
      <c r="C464" s="32"/>
      <c r="D464" s="32"/>
      <c r="E464" s="32"/>
    </row>
    <row r="465" spans="1:5">
      <c r="A465" s="67"/>
      <c r="B465" s="67"/>
      <c r="C465" s="32"/>
      <c r="D465" s="32"/>
      <c r="E465" s="32"/>
    </row>
    <row r="466" spans="1:5">
      <c r="A466" s="67"/>
      <c r="B466" s="67"/>
      <c r="C466" s="32"/>
      <c r="D466" s="32"/>
      <c r="E466" s="32"/>
    </row>
    <row r="467" spans="1:5">
      <c r="A467" s="67"/>
      <c r="B467" s="67"/>
      <c r="C467" s="32"/>
      <c r="D467" s="32"/>
      <c r="E467" s="32"/>
    </row>
    <row r="468" spans="1:5">
      <c r="A468" s="67"/>
      <c r="B468" s="67"/>
      <c r="C468" s="32"/>
      <c r="D468" s="32"/>
      <c r="E468" s="32"/>
    </row>
    <row r="469" spans="1:5">
      <c r="A469" s="67"/>
      <c r="B469" s="67"/>
      <c r="C469" s="32"/>
      <c r="D469" s="32"/>
      <c r="E469" s="32"/>
    </row>
    <row r="470" spans="1:5">
      <c r="A470" s="67"/>
      <c r="B470" s="67"/>
      <c r="C470" s="32"/>
      <c r="D470" s="32"/>
      <c r="E470" s="32"/>
    </row>
    <row r="471" spans="1:5">
      <c r="A471" s="67"/>
      <c r="B471" s="67"/>
      <c r="C471" s="32"/>
      <c r="D471" s="32"/>
      <c r="E471" s="32"/>
    </row>
    <row r="472" spans="1:5">
      <c r="A472" s="67"/>
      <c r="B472" s="67"/>
      <c r="C472" s="32"/>
      <c r="D472" s="32"/>
      <c r="E472" s="32"/>
    </row>
    <row r="473" spans="1:5">
      <c r="A473" s="67"/>
      <c r="B473" s="67"/>
      <c r="C473" s="32"/>
      <c r="D473" s="32"/>
      <c r="E473" s="32"/>
    </row>
    <row r="474" spans="1:5">
      <c r="A474" s="67"/>
      <c r="B474" s="67"/>
      <c r="C474" s="32"/>
      <c r="D474" s="32"/>
      <c r="E474" s="32"/>
    </row>
    <row r="475" spans="1:5">
      <c r="A475" s="67"/>
      <c r="B475" s="67"/>
      <c r="C475" s="32"/>
      <c r="D475" s="32"/>
      <c r="E475" s="32"/>
    </row>
    <row r="476" spans="1:5">
      <c r="A476" s="67"/>
      <c r="B476" s="67"/>
      <c r="C476" s="32"/>
      <c r="D476" s="32"/>
      <c r="E476" s="32"/>
    </row>
    <row r="477" spans="1:5">
      <c r="A477" s="67"/>
      <c r="B477" s="67"/>
      <c r="C477" s="32"/>
      <c r="D477" s="32"/>
      <c r="E477" s="32"/>
    </row>
    <row r="478" spans="1:5">
      <c r="A478" s="67"/>
      <c r="B478" s="67"/>
      <c r="C478" s="32"/>
      <c r="D478" s="32"/>
      <c r="E478" s="32"/>
    </row>
    <row r="479" spans="1:5">
      <c r="A479" s="67"/>
      <c r="B479" s="67"/>
      <c r="C479" s="32"/>
      <c r="D479" s="32"/>
      <c r="E479" s="32"/>
    </row>
    <row r="480" spans="1:5">
      <c r="A480" s="67"/>
      <c r="B480" s="67"/>
      <c r="C480" s="32"/>
      <c r="D480" s="32"/>
      <c r="E480" s="32"/>
    </row>
    <row r="481" spans="1:5">
      <c r="A481" s="67"/>
      <c r="B481" s="67"/>
      <c r="C481" s="32"/>
      <c r="D481" s="32"/>
      <c r="E481" s="32"/>
    </row>
    <row r="482" spans="1:5">
      <c r="A482" s="67"/>
      <c r="B482" s="67"/>
      <c r="C482" s="32"/>
      <c r="D482" s="32"/>
      <c r="E482" s="32"/>
    </row>
    <row r="483" spans="1:5">
      <c r="A483" s="67"/>
      <c r="B483" s="67"/>
      <c r="C483" s="32"/>
      <c r="D483" s="32"/>
      <c r="E483" s="32"/>
    </row>
    <row r="484" spans="1:5">
      <c r="A484" s="67"/>
      <c r="B484" s="67"/>
      <c r="C484" s="32"/>
      <c r="D484" s="32"/>
      <c r="E484" s="32"/>
    </row>
    <row r="485" spans="1:5">
      <c r="A485" s="67"/>
      <c r="B485" s="67"/>
      <c r="C485" s="32"/>
      <c r="D485" s="32"/>
      <c r="E485" s="32"/>
    </row>
    <row r="486" spans="1:5">
      <c r="A486" s="67"/>
      <c r="B486" s="67"/>
      <c r="C486" s="32"/>
      <c r="D486" s="32"/>
      <c r="E486" s="32"/>
    </row>
    <row r="487" spans="1:5">
      <c r="A487" s="67"/>
      <c r="B487" s="67"/>
      <c r="C487" s="32"/>
      <c r="D487" s="32"/>
      <c r="E487" s="32"/>
    </row>
    <row r="488" spans="1:5">
      <c r="A488" s="67"/>
      <c r="B488" s="67"/>
      <c r="C488" s="32"/>
      <c r="D488" s="32"/>
      <c r="E488" s="32"/>
    </row>
    <row r="489" spans="1:5">
      <c r="A489" s="67"/>
      <c r="B489" s="67"/>
      <c r="C489" s="32"/>
      <c r="D489" s="32"/>
      <c r="E489" s="32"/>
    </row>
    <row r="490" spans="1:5">
      <c r="A490" s="67"/>
      <c r="B490" s="67"/>
      <c r="C490" s="32"/>
      <c r="D490" s="32"/>
      <c r="E490" s="32"/>
    </row>
    <row r="491" spans="1:5">
      <c r="A491" s="67"/>
      <c r="B491" s="67"/>
      <c r="C491" s="32"/>
      <c r="D491" s="32"/>
      <c r="E491" s="32"/>
    </row>
    <row r="492" spans="1:5">
      <c r="A492" s="67"/>
      <c r="B492" s="67"/>
      <c r="C492" s="32"/>
      <c r="D492" s="32"/>
      <c r="E492" s="32"/>
    </row>
    <row r="493" spans="1:5">
      <c r="A493" s="67"/>
      <c r="B493" s="67"/>
      <c r="C493" s="32"/>
      <c r="D493" s="32"/>
      <c r="E493" s="32"/>
    </row>
    <row r="494" spans="1:5">
      <c r="A494" s="67"/>
      <c r="B494" s="67"/>
      <c r="C494" s="32"/>
      <c r="D494" s="32"/>
      <c r="E494" s="32"/>
    </row>
    <row r="495" spans="1:5">
      <c r="A495" s="67"/>
      <c r="B495" s="67"/>
      <c r="C495" s="32"/>
      <c r="D495" s="32"/>
      <c r="E495" s="32"/>
    </row>
    <row r="496" spans="1:5">
      <c r="A496" s="67"/>
      <c r="B496" s="67"/>
      <c r="C496" s="32"/>
      <c r="D496" s="32"/>
      <c r="E496" s="32"/>
    </row>
    <row r="497" spans="1:5">
      <c r="A497" s="67"/>
      <c r="B497" s="67"/>
      <c r="C497" s="32"/>
      <c r="D497" s="32"/>
      <c r="E497" s="32"/>
    </row>
    <row r="498" spans="1:5">
      <c r="A498" s="67"/>
      <c r="B498" s="67"/>
      <c r="C498" s="32"/>
      <c r="D498" s="32"/>
      <c r="E498" s="32"/>
    </row>
    <row r="499" spans="1:5">
      <c r="A499" s="67"/>
      <c r="B499" s="67"/>
      <c r="C499" s="32"/>
      <c r="D499" s="32"/>
      <c r="E499" s="32"/>
    </row>
    <row r="500" spans="1:5">
      <c r="A500" s="67"/>
      <c r="B500" s="67"/>
      <c r="C500" s="32"/>
      <c r="D500" s="32"/>
      <c r="E500" s="32"/>
    </row>
    <row r="501" spans="1:5">
      <c r="A501" s="67"/>
      <c r="B501" s="67"/>
      <c r="C501" s="32"/>
      <c r="D501" s="32"/>
      <c r="E501" s="32"/>
    </row>
    <row r="502" spans="1:5">
      <c r="A502" s="67"/>
      <c r="B502" s="67"/>
      <c r="C502" s="32"/>
      <c r="D502" s="32"/>
      <c r="E502" s="32"/>
    </row>
    <row r="503" spans="1:5">
      <c r="A503" s="67"/>
      <c r="B503" s="67"/>
      <c r="C503" s="32"/>
      <c r="D503" s="32"/>
      <c r="E503" s="32"/>
    </row>
    <row r="504" spans="1:5">
      <c r="A504" s="67"/>
      <c r="B504" s="67"/>
      <c r="C504" s="32"/>
      <c r="D504" s="32"/>
      <c r="E504" s="32"/>
    </row>
    <row r="505" spans="1:5">
      <c r="A505" s="67"/>
      <c r="B505" s="67"/>
      <c r="C505" s="32"/>
      <c r="D505" s="32"/>
      <c r="E505" s="32"/>
    </row>
    <row r="506" spans="1:5">
      <c r="A506" s="67"/>
      <c r="B506" s="67"/>
      <c r="C506" s="32"/>
      <c r="D506" s="32"/>
      <c r="E506" s="32"/>
    </row>
    <row r="507" spans="1:5">
      <c r="A507" s="67"/>
      <c r="B507" s="67"/>
      <c r="C507" s="32"/>
      <c r="D507" s="32"/>
      <c r="E507" s="32"/>
    </row>
    <row r="508" spans="1:5">
      <c r="A508" s="67"/>
      <c r="B508" s="67"/>
      <c r="C508" s="32"/>
      <c r="D508" s="32"/>
      <c r="E508" s="32"/>
    </row>
    <row r="509" spans="1:5">
      <c r="A509" s="67"/>
      <c r="B509" s="67"/>
      <c r="C509" s="32"/>
      <c r="D509" s="32"/>
      <c r="E509" s="32"/>
    </row>
    <row r="510" spans="1:5">
      <c r="A510" s="67"/>
      <c r="B510" s="67"/>
      <c r="C510" s="32"/>
      <c r="D510" s="32"/>
      <c r="E510" s="32"/>
    </row>
    <row r="511" spans="1:5">
      <c r="A511" s="67"/>
      <c r="B511" s="67"/>
      <c r="C511" s="32"/>
      <c r="D511" s="32"/>
      <c r="E511" s="32"/>
    </row>
    <row r="512" spans="1:5">
      <c r="A512" s="67"/>
      <c r="B512" s="67"/>
      <c r="C512" s="32"/>
      <c r="D512" s="32"/>
      <c r="E512" s="32"/>
    </row>
    <row r="513" spans="1:5">
      <c r="A513" s="67"/>
      <c r="B513" s="67"/>
      <c r="C513" s="32"/>
      <c r="D513" s="32"/>
      <c r="E513" s="32"/>
    </row>
    <row r="514" spans="1:5">
      <c r="A514" s="67"/>
      <c r="B514" s="67"/>
      <c r="C514" s="32"/>
      <c r="D514" s="32"/>
      <c r="E514" s="32"/>
    </row>
    <row r="515" spans="1:5">
      <c r="A515" s="67"/>
      <c r="B515" s="67"/>
      <c r="C515" s="32"/>
      <c r="D515" s="32"/>
      <c r="E515" s="32"/>
    </row>
    <row r="516" spans="1:5">
      <c r="A516" s="67"/>
      <c r="B516" s="67"/>
      <c r="C516" s="32"/>
      <c r="D516" s="32"/>
      <c r="E516" s="32"/>
    </row>
    <row r="517" spans="1:5">
      <c r="A517" s="67"/>
      <c r="B517" s="67"/>
      <c r="C517" s="32"/>
      <c r="D517" s="32"/>
      <c r="E517" s="32"/>
    </row>
    <row r="518" spans="1:5">
      <c r="A518" s="67"/>
      <c r="B518" s="67"/>
      <c r="C518" s="32"/>
      <c r="D518" s="32"/>
      <c r="E518" s="32"/>
    </row>
    <row r="519" spans="1:5">
      <c r="A519" s="67"/>
      <c r="B519" s="67"/>
      <c r="C519" s="32"/>
      <c r="D519" s="32"/>
      <c r="E519" s="32"/>
    </row>
    <row r="520" spans="1:5">
      <c r="A520" s="67"/>
      <c r="B520" s="67"/>
      <c r="C520" s="32"/>
      <c r="D520" s="32"/>
      <c r="E520" s="32"/>
    </row>
    <row r="521" spans="1:5">
      <c r="A521" s="67"/>
      <c r="B521" s="67"/>
      <c r="C521" s="32"/>
      <c r="D521" s="32"/>
      <c r="E521" s="32"/>
    </row>
    <row r="522" spans="1:5">
      <c r="A522" s="67"/>
      <c r="B522" s="67"/>
      <c r="C522" s="32"/>
      <c r="D522" s="32"/>
      <c r="E522" s="32"/>
    </row>
    <row r="523" spans="1:5">
      <c r="A523" s="67"/>
      <c r="B523" s="67"/>
      <c r="C523" s="32"/>
      <c r="D523" s="32"/>
      <c r="E523" s="32"/>
    </row>
    <row r="524" spans="1:5">
      <c r="A524" s="67"/>
      <c r="B524" s="67"/>
      <c r="C524" s="32"/>
      <c r="D524" s="32"/>
      <c r="E524" s="32"/>
    </row>
    <row r="525" spans="1:5">
      <c r="A525" s="67"/>
      <c r="B525" s="67"/>
      <c r="C525" s="32"/>
      <c r="D525" s="32"/>
      <c r="E525" s="32"/>
    </row>
    <row r="526" spans="1:5">
      <c r="A526" s="67"/>
      <c r="B526" s="67"/>
      <c r="C526" s="32"/>
      <c r="D526" s="32"/>
      <c r="E526" s="32"/>
    </row>
    <row r="527" spans="1:5">
      <c r="A527" s="67"/>
      <c r="B527" s="67"/>
      <c r="C527" s="32"/>
      <c r="D527" s="32"/>
      <c r="E527" s="32"/>
    </row>
    <row r="528" spans="1:5">
      <c r="A528" s="67"/>
      <c r="B528" s="67"/>
      <c r="C528" s="32"/>
      <c r="D528" s="32"/>
      <c r="E528" s="32"/>
    </row>
    <row r="529" spans="1:5">
      <c r="A529" s="67"/>
      <c r="B529" s="67"/>
      <c r="C529" s="32"/>
      <c r="D529" s="32"/>
      <c r="E529" s="32"/>
    </row>
    <row r="530" spans="1:5">
      <c r="A530" s="67"/>
      <c r="B530" s="67"/>
      <c r="C530" s="32"/>
      <c r="D530" s="32"/>
      <c r="E530" s="32"/>
    </row>
    <row r="531" spans="1:5">
      <c r="A531" s="67"/>
      <c r="B531" s="67"/>
      <c r="C531" s="32"/>
      <c r="D531" s="32"/>
      <c r="E531" s="32"/>
    </row>
    <row r="532" spans="1:5">
      <c r="A532" s="67"/>
      <c r="B532" s="67"/>
      <c r="C532" s="32"/>
      <c r="D532" s="32"/>
      <c r="E532" s="32"/>
    </row>
    <row r="533" spans="1:5">
      <c r="A533" s="67"/>
      <c r="B533" s="67"/>
      <c r="C533" s="32"/>
      <c r="D533" s="32"/>
      <c r="E533" s="32"/>
    </row>
    <row r="534" spans="1:5">
      <c r="A534" s="67"/>
      <c r="B534" s="67"/>
      <c r="C534" s="32"/>
      <c r="D534" s="32"/>
      <c r="E534" s="32"/>
    </row>
    <row r="535" spans="1:5">
      <c r="A535" s="67"/>
      <c r="B535" s="67"/>
      <c r="C535" s="32"/>
      <c r="D535" s="32"/>
      <c r="E535" s="32"/>
    </row>
    <row r="536" spans="1:5">
      <c r="A536" s="67"/>
      <c r="B536" s="67"/>
      <c r="C536" s="32"/>
      <c r="D536" s="32"/>
      <c r="E536" s="32"/>
    </row>
    <row r="537" spans="1:5">
      <c r="A537" s="67"/>
      <c r="B537" s="67"/>
      <c r="C537" s="32"/>
      <c r="D537" s="32"/>
      <c r="E537" s="32"/>
    </row>
    <row r="538" spans="1:5">
      <c r="A538" s="67"/>
      <c r="B538" s="67"/>
      <c r="C538" s="32"/>
      <c r="D538" s="32"/>
      <c r="E538" s="32"/>
    </row>
    <row r="539" spans="1:5">
      <c r="A539" s="67"/>
      <c r="B539" s="67"/>
      <c r="C539" s="32"/>
      <c r="D539" s="32"/>
      <c r="E539" s="32"/>
    </row>
    <row r="540" spans="1:5">
      <c r="A540" s="67"/>
      <c r="B540" s="67"/>
      <c r="C540" s="32"/>
      <c r="D540" s="32"/>
      <c r="E540" s="32"/>
    </row>
    <row r="541" spans="1:5">
      <c r="A541" s="67"/>
      <c r="B541" s="67"/>
      <c r="C541" s="32"/>
      <c r="D541" s="32"/>
      <c r="E541" s="32"/>
    </row>
    <row r="542" spans="1:5">
      <c r="A542" s="67"/>
      <c r="B542" s="67"/>
      <c r="C542" s="32"/>
      <c r="D542" s="32"/>
      <c r="E542" s="32"/>
    </row>
    <row r="543" spans="1:5">
      <c r="A543" s="67"/>
      <c r="B543" s="67"/>
      <c r="C543" s="32"/>
      <c r="D543" s="32"/>
      <c r="E543" s="32"/>
    </row>
    <row r="544" spans="1:5">
      <c r="A544" s="67"/>
      <c r="B544" s="67"/>
      <c r="C544" s="32"/>
      <c r="D544" s="32"/>
      <c r="E544" s="32"/>
    </row>
    <row r="545" spans="1:5">
      <c r="A545" s="67"/>
      <c r="B545" s="67"/>
      <c r="C545" s="32"/>
      <c r="D545" s="32"/>
      <c r="E545" s="32"/>
    </row>
    <row r="546" spans="1:5">
      <c r="A546" s="67"/>
      <c r="B546" s="67"/>
      <c r="C546" s="32"/>
      <c r="D546" s="32"/>
      <c r="E546" s="32"/>
    </row>
    <row r="547" spans="1:5">
      <c r="A547" s="67"/>
      <c r="B547" s="67"/>
      <c r="C547" s="32"/>
      <c r="D547" s="32"/>
      <c r="E547" s="32"/>
    </row>
    <row r="548" spans="1:5">
      <c r="A548" s="67"/>
      <c r="B548" s="67"/>
      <c r="C548" s="32"/>
      <c r="D548" s="32"/>
      <c r="E548" s="32"/>
    </row>
    <row r="549" spans="1:5">
      <c r="A549" s="67"/>
      <c r="B549" s="67"/>
      <c r="C549" s="32"/>
      <c r="D549" s="32"/>
      <c r="E549" s="32"/>
    </row>
    <row r="550" spans="1:5">
      <c r="A550" s="67"/>
      <c r="B550" s="67"/>
      <c r="C550" s="32"/>
      <c r="D550" s="32"/>
      <c r="E550" s="32"/>
    </row>
    <row r="551" spans="1:5">
      <c r="A551" s="67"/>
      <c r="B551" s="67"/>
      <c r="C551" s="32"/>
      <c r="D551" s="32"/>
      <c r="E551" s="32"/>
    </row>
    <row r="552" spans="1:5">
      <c r="A552" s="67"/>
      <c r="B552" s="67"/>
      <c r="C552" s="32"/>
      <c r="D552" s="32"/>
      <c r="E552" s="32"/>
    </row>
    <row r="553" spans="1:5">
      <c r="A553" s="67"/>
      <c r="B553" s="67"/>
      <c r="C553" s="32"/>
      <c r="D553" s="32"/>
      <c r="E553" s="32"/>
    </row>
    <row r="554" spans="1:5">
      <c r="A554" s="67"/>
      <c r="B554" s="67"/>
      <c r="C554" s="32"/>
      <c r="D554" s="32"/>
      <c r="E554" s="32"/>
    </row>
    <row r="555" spans="1:5">
      <c r="A555" s="67"/>
      <c r="B555" s="67"/>
      <c r="C555" s="32"/>
      <c r="D555" s="32"/>
      <c r="E555" s="32"/>
    </row>
    <row r="556" spans="1:5">
      <c r="A556" s="67"/>
      <c r="B556" s="67"/>
      <c r="C556" s="32"/>
      <c r="D556" s="32"/>
      <c r="E556" s="32"/>
    </row>
    <row r="557" spans="1:5">
      <c r="A557" s="67"/>
      <c r="B557" s="67"/>
      <c r="C557" s="32"/>
      <c r="D557" s="32"/>
      <c r="E557" s="32"/>
    </row>
    <row r="558" spans="1:5">
      <c r="A558" s="67"/>
      <c r="B558" s="67"/>
      <c r="C558" s="32"/>
      <c r="D558" s="32"/>
      <c r="E558" s="32"/>
    </row>
    <row r="559" spans="1:5">
      <c r="A559" s="67"/>
      <c r="B559" s="67"/>
      <c r="C559" s="32"/>
      <c r="D559" s="32"/>
      <c r="E559" s="32"/>
    </row>
    <row r="560" spans="1:5">
      <c r="A560" s="67"/>
      <c r="B560" s="67"/>
      <c r="C560" s="32"/>
      <c r="D560" s="32"/>
      <c r="E560" s="32"/>
    </row>
    <row r="561" spans="1:5">
      <c r="A561" s="67"/>
      <c r="B561" s="67"/>
      <c r="C561" s="32"/>
      <c r="D561" s="32"/>
      <c r="E561" s="32"/>
    </row>
    <row r="562" spans="1:5">
      <c r="A562" s="67"/>
      <c r="B562" s="67"/>
      <c r="C562" s="32"/>
      <c r="D562" s="32"/>
      <c r="E562" s="32"/>
    </row>
    <row r="563" spans="1:5">
      <c r="A563" s="67"/>
      <c r="B563" s="67"/>
      <c r="C563" s="32"/>
      <c r="D563" s="32"/>
      <c r="E563" s="32"/>
    </row>
    <row r="564" spans="1:5">
      <c r="A564" s="67"/>
      <c r="B564" s="67"/>
      <c r="C564" s="32"/>
      <c r="D564" s="32"/>
      <c r="E564" s="32"/>
    </row>
    <row r="565" spans="1:5">
      <c r="A565" s="67"/>
      <c r="B565" s="67"/>
      <c r="C565" s="32"/>
      <c r="D565" s="32"/>
      <c r="E565" s="32"/>
    </row>
    <row r="566" spans="1:5">
      <c r="A566" s="67"/>
      <c r="B566" s="67"/>
      <c r="C566" s="32"/>
      <c r="D566" s="32"/>
      <c r="E566" s="32"/>
    </row>
    <row r="567" spans="1:5">
      <c r="A567" s="67"/>
      <c r="B567" s="67"/>
      <c r="C567" s="32"/>
      <c r="D567" s="32"/>
      <c r="E567" s="32"/>
    </row>
    <row r="568" spans="1:5">
      <c r="A568" s="67"/>
      <c r="B568" s="67"/>
      <c r="C568" s="32"/>
      <c r="D568" s="32"/>
      <c r="E568" s="32"/>
    </row>
    <row r="569" spans="1:5">
      <c r="A569" s="67"/>
      <c r="B569" s="67"/>
      <c r="C569" s="32"/>
      <c r="D569" s="32"/>
      <c r="E569" s="32"/>
    </row>
    <row r="570" spans="1:5">
      <c r="A570" s="67"/>
      <c r="B570" s="67"/>
      <c r="C570" s="32"/>
      <c r="D570" s="32"/>
      <c r="E570" s="32"/>
    </row>
    <row r="571" spans="1:5">
      <c r="A571" s="67"/>
      <c r="B571" s="67"/>
      <c r="C571" s="32"/>
      <c r="D571" s="32"/>
      <c r="E571" s="32"/>
    </row>
    <row r="572" spans="1:5">
      <c r="A572" s="67"/>
      <c r="B572" s="67"/>
      <c r="C572" s="32"/>
      <c r="D572" s="32"/>
      <c r="E572" s="32"/>
    </row>
    <row r="573" spans="1:5">
      <c r="A573" s="67"/>
      <c r="B573" s="67"/>
      <c r="C573" s="32"/>
      <c r="D573" s="32"/>
      <c r="E573" s="32"/>
    </row>
    <row r="574" spans="1:5">
      <c r="A574" s="67"/>
      <c r="B574" s="67"/>
      <c r="C574" s="32"/>
      <c r="D574" s="32"/>
      <c r="E574" s="32"/>
    </row>
    <row r="575" spans="1:5">
      <c r="A575" s="67"/>
      <c r="B575" s="67"/>
      <c r="C575" s="32"/>
      <c r="D575" s="32"/>
      <c r="E575" s="32"/>
    </row>
    <row r="576" spans="1:5">
      <c r="A576" s="67"/>
      <c r="B576" s="67"/>
      <c r="C576" s="32"/>
      <c r="D576" s="32"/>
      <c r="E576" s="32"/>
    </row>
    <row r="577" spans="1:5">
      <c r="A577" s="67"/>
      <c r="B577" s="67"/>
      <c r="C577" s="32"/>
      <c r="D577" s="32"/>
      <c r="E577" s="32"/>
    </row>
    <row r="578" spans="1:5">
      <c r="A578" s="67"/>
      <c r="B578" s="67"/>
      <c r="C578" s="32"/>
      <c r="D578" s="32"/>
      <c r="E578" s="32"/>
    </row>
    <row r="579" spans="1:5">
      <c r="A579" s="67"/>
      <c r="B579" s="67"/>
      <c r="C579" s="32"/>
      <c r="D579" s="32"/>
      <c r="E579" s="32"/>
    </row>
    <row r="580" spans="1:5">
      <c r="A580" s="67"/>
      <c r="B580" s="67"/>
      <c r="C580" s="32"/>
      <c r="D580" s="32"/>
      <c r="E580" s="32"/>
    </row>
    <row r="581" spans="1:5">
      <c r="A581" s="67"/>
      <c r="B581" s="67"/>
      <c r="C581" s="32"/>
      <c r="D581" s="32"/>
      <c r="E581" s="32"/>
    </row>
    <row r="582" spans="1:5">
      <c r="A582" s="67"/>
      <c r="B582" s="67"/>
      <c r="C582" s="32"/>
      <c r="D582" s="32"/>
      <c r="E582" s="32"/>
    </row>
    <row r="583" spans="1:5">
      <c r="A583" s="67"/>
      <c r="B583" s="67"/>
      <c r="C583" s="32"/>
      <c r="D583" s="32"/>
      <c r="E583" s="32"/>
    </row>
    <row r="584" spans="1:5">
      <c r="A584" s="67"/>
      <c r="B584" s="67"/>
      <c r="C584" s="32"/>
      <c r="D584" s="32"/>
      <c r="E584" s="32"/>
    </row>
    <row r="585" spans="1:5">
      <c r="A585" s="67"/>
      <c r="B585" s="67"/>
      <c r="C585" s="32"/>
      <c r="D585" s="32"/>
      <c r="E585" s="32"/>
    </row>
    <row r="586" spans="1:5">
      <c r="A586" s="67"/>
      <c r="B586" s="67"/>
      <c r="C586" s="32"/>
      <c r="D586" s="32"/>
      <c r="E586" s="32"/>
    </row>
    <row r="587" spans="1:5">
      <c r="A587" s="67"/>
      <c r="B587" s="67"/>
      <c r="C587" s="32"/>
      <c r="D587" s="32"/>
      <c r="E587" s="32"/>
    </row>
    <row r="588" spans="1:5">
      <c r="A588" s="67"/>
      <c r="B588" s="67"/>
      <c r="C588" s="32"/>
      <c r="D588" s="32"/>
      <c r="E588" s="32"/>
    </row>
    <row r="589" spans="1:5">
      <c r="A589" s="67"/>
      <c r="B589" s="67"/>
      <c r="C589" s="32"/>
      <c r="D589" s="32"/>
      <c r="E589" s="32"/>
    </row>
    <row r="590" spans="1:5">
      <c r="A590" s="67"/>
      <c r="B590" s="67"/>
      <c r="C590" s="32"/>
      <c r="D590" s="32"/>
      <c r="E590" s="32"/>
    </row>
    <row r="591" spans="1:5">
      <c r="A591" s="67"/>
      <c r="B591" s="67"/>
      <c r="C591" s="32"/>
      <c r="D591" s="32"/>
      <c r="E591" s="32"/>
    </row>
    <row r="592" spans="1:5">
      <c r="A592" s="67"/>
      <c r="B592" s="67"/>
      <c r="C592" s="32"/>
      <c r="D592" s="32"/>
      <c r="E592" s="32"/>
    </row>
    <row r="593" spans="1:5">
      <c r="A593" s="67"/>
      <c r="B593" s="67"/>
      <c r="C593" s="32"/>
      <c r="D593" s="32"/>
      <c r="E593" s="32"/>
    </row>
    <row r="594" spans="1:5">
      <c r="A594" s="67"/>
      <c r="B594" s="67"/>
      <c r="C594" s="32"/>
      <c r="D594" s="32"/>
      <c r="E594" s="32"/>
    </row>
    <row r="595" spans="1:5">
      <c r="A595" s="67"/>
      <c r="B595" s="67"/>
      <c r="C595" s="32"/>
      <c r="D595" s="32"/>
      <c r="E595" s="32"/>
    </row>
    <row r="596" spans="1:5">
      <c r="A596" s="67"/>
      <c r="B596" s="67"/>
      <c r="C596" s="32"/>
      <c r="D596" s="32"/>
      <c r="E596" s="32"/>
    </row>
    <row r="597" spans="1:5">
      <c r="A597" s="67"/>
      <c r="B597" s="67"/>
      <c r="C597" s="32"/>
      <c r="D597" s="32"/>
      <c r="E597" s="32"/>
    </row>
    <row r="598" spans="1:5">
      <c r="A598" s="67"/>
      <c r="B598" s="67"/>
      <c r="C598" s="32"/>
      <c r="D598" s="32"/>
      <c r="E598" s="32"/>
    </row>
    <row r="599" spans="1:5">
      <c r="A599" s="67"/>
      <c r="B599" s="67"/>
      <c r="C599" s="32"/>
      <c r="D599" s="32"/>
      <c r="E599" s="32"/>
    </row>
    <row r="600" spans="1:5">
      <c r="A600" s="67"/>
      <c r="B600" s="67"/>
      <c r="C600" s="32"/>
      <c r="D600" s="32"/>
      <c r="E600" s="32"/>
    </row>
    <row r="601" spans="1:5">
      <c r="A601" s="67"/>
      <c r="B601" s="67"/>
      <c r="C601" s="32"/>
      <c r="D601" s="32"/>
      <c r="E601" s="32"/>
    </row>
    <row r="602" spans="1:5">
      <c r="A602" s="67"/>
      <c r="B602" s="67"/>
      <c r="C602" s="32"/>
      <c r="D602" s="32"/>
      <c r="E602" s="32"/>
    </row>
    <row r="603" spans="1:5">
      <c r="A603" s="67"/>
      <c r="B603" s="67"/>
      <c r="C603" s="32"/>
      <c r="D603" s="32"/>
      <c r="E603" s="32"/>
    </row>
    <row r="604" spans="1:5">
      <c r="A604" s="67"/>
      <c r="B604" s="67"/>
      <c r="C604" s="32"/>
      <c r="D604" s="32"/>
      <c r="E604" s="32"/>
    </row>
    <row r="605" spans="1:5">
      <c r="A605" s="67"/>
      <c r="B605" s="67"/>
      <c r="C605" s="32"/>
      <c r="D605" s="32"/>
      <c r="E605" s="32"/>
    </row>
    <row r="606" spans="1:5">
      <c r="A606" s="67"/>
      <c r="B606" s="67"/>
      <c r="C606" s="32"/>
      <c r="D606" s="32"/>
      <c r="E606" s="32"/>
    </row>
    <row r="607" spans="1:5">
      <c r="A607" s="67"/>
      <c r="B607" s="67"/>
      <c r="C607" s="32"/>
      <c r="D607" s="32"/>
      <c r="E607" s="32"/>
    </row>
    <row r="608" spans="1:5">
      <c r="A608" s="67"/>
      <c r="B608" s="67"/>
      <c r="C608" s="32"/>
      <c r="D608" s="32"/>
      <c r="E608" s="32"/>
    </row>
    <row r="609" spans="1:5">
      <c r="A609" s="67"/>
      <c r="B609" s="67"/>
      <c r="C609" s="32"/>
      <c r="D609" s="32"/>
      <c r="E609" s="32"/>
    </row>
    <row r="610" spans="1:5">
      <c r="A610" s="67"/>
      <c r="B610" s="67"/>
      <c r="C610" s="32"/>
      <c r="D610" s="32"/>
      <c r="E610" s="32"/>
    </row>
    <row r="611" spans="1:5">
      <c r="A611" s="67"/>
      <c r="B611" s="67"/>
      <c r="C611" s="32"/>
      <c r="D611" s="32"/>
      <c r="E611" s="32"/>
    </row>
    <row r="612" spans="1:5">
      <c r="A612" s="67"/>
      <c r="B612" s="67"/>
      <c r="C612" s="32"/>
      <c r="D612" s="32"/>
      <c r="E612" s="32"/>
    </row>
    <row r="613" spans="1:5">
      <c r="A613" s="67"/>
      <c r="B613" s="67"/>
      <c r="C613" s="32"/>
      <c r="D613" s="32"/>
      <c r="E613" s="32"/>
    </row>
    <row r="614" spans="1:5">
      <c r="A614" s="67"/>
      <c r="B614" s="67"/>
      <c r="C614" s="32"/>
      <c r="D614" s="32"/>
      <c r="E614" s="32"/>
    </row>
    <row r="615" spans="1:5">
      <c r="A615" s="67"/>
      <c r="B615" s="67"/>
      <c r="C615" s="32"/>
      <c r="D615" s="32"/>
      <c r="E615" s="32"/>
    </row>
    <row r="616" spans="1:5">
      <c r="A616" s="67"/>
      <c r="B616" s="67"/>
      <c r="C616" s="32"/>
      <c r="D616" s="32"/>
      <c r="E616" s="32"/>
    </row>
    <row r="617" spans="1:5">
      <c r="A617" s="67"/>
      <c r="B617" s="67"/>
      <c r="C617" s="32"/>
      <c r="D617" s="32"/>
      <c r="E617" s="32"/>
    </row>
    <row r="618" spans="1:5">
      <c r="A618" s="67"/>
      <c r="B618" s="67"/>
      <c r="C618" s="32"/>
      <c r="D618" s="32"/>
      <c r="E618" s="32"/>
    </row>
    <row r="619" spans="1:5">
      <c r="A619" s="67"/>
      <c r="B619" s="67"/>
      <c r="C619" s="32"/>
      <c r="D619" s="32"/>
      <c r="E619" s="32"/>
    </row>
    <row r="620" spans="1:5">
      <c r="A620" s="67"/>
      <c r="B620" s="67"/>
      <c r="C620" s="32"/>
      <c r="D620" s="32"/>
      <c r="E620" s="32"/>
    </row>
    <row r="621" spans="1:5">
      <c r="A621" s="67"/>
      <c r="B621" s="67"/>
      <c r="C621" s="32"/>
      <c r="D621" s="32"/>
      <c r="E621" s="32"/>
    </row>
    <row r="622" spans="1:5">
      <c r="A622" s="67"/>
      <c r="B622" s="67"/>
      <c r="C622" s="32"/>
      <c r="D622" s="32"/>
      <c r="E622" s="32"/>
    </row>
    <row r="623" spans="1:5">
      <c r="A623" s="67"/>
      <c r="B623" s="67"/>
      <c r="C623" s="32"/>
      <c r="D623" s="32"/>
      <c r="E623" s="32"/>
    </row>
    <row r="624" spans="1:5">
      <c r="A624" s="67"/>
      <c r="B624" s="67"/>
      <c r="C624" s="32"/>
      <c r="D624" s="32"/>
      <c r="E624" s="32"/>
    </row>
    <row r="625" spans="1:5">
      <c r="A625" s="67"/>
      <c r="B625" s="67"/>
      <c r="C625" s="32"/>
      <c r="D625" s="32"/>
      <c r="E625" s="32"/>
    </row>
    <row r="626" spans="1:5">
      <c r="A626" s="67"/>
      <c r="B626" s="67"/>
      <c r="C626" s="32"/>
      <c r="D626" s="32"/>
      <c r="E626" s="32"/>
    </row>
    <row r="627" spans="1:5">
      <c r="A627" s="67"/>
      <c r="B627" s="67"/>
      <c r="C627" s="32"/>
      <c r="D627" s="32"/>
      <c r="E627" s="32"/>
    </row>
    <row r="628" spans="1:5">
      <c r="A628" s="67"/>
      <c r="B628" s="67"/>
      <c r="C628" s="32"/>
      <c r="D628" s="32"/>
      <c r="E628" s="32"/>
    </row>
    <row r="629" spans="1:5">
      <c r="A629" s="67"/>
      <c r="B629" s="67"/>
      <c r="C629" s="32"/>
      <c r="D629" s="32"/>
      <c r="E629" s="32"/>
    </row>
    <row r="630" spans="1:5">
      <c r="A630" s="67"/>
      <c r="B630" s="67"/>
      <c r="C630" s="32"/>
      <c r="D630" s="32"/>
      <c r="E630" s="32"/>
    </row>
    <row r="631" spans="1:5">
      <c r="A631" s="67"/>
      <c r="B631" s="67"/>
      <c r="C631" s="32"/>
      <c r="D631" s="32"/>
      <c r="E631" s="32"/>
    </row>
    <row r="632" spans="1:5">
      <c r="A632" s="67"/>
      <c r="B632" s="67"/>
      <c r="C632" s="32"/>
      <c r="D632" s="32"/>
      <c r="E632" s="32"/>
    </row>
    <row r="633" spans="1:5">
      <c r="A633" s="67"/>
      <c r="B633" s="67"/>
      <c r="C633" s="32"/>
      <c r="D633" s="32"/>
      <c r="E633" s="32"/>
    </row>
    <row r="634" spans="1:5">
      <c r="A634" s="67"/>
      <c r="B634" s="67"/>
      <c r="C634" s="32"/>
      <c r="D634" s="32"/>
      <c r="E634" s="32"/>
    </row>
    <row r="635" spans="1:5">
      <c r="A635" s="67"/>
      <c r="B635" s="67"/>
      <c r="C635" s="32"/>
      <c r="D635" s="32"/>
      <c r="E635" s="32"/>
    </row>
    <row r="636" spans="1:5">
      <c r="A636" s="67"/>
      <c r="B636" s="67"/>
      <c r="C636" s="32"/>
      <c r="D636" s="32"/>
      <c r="E636" s="32"/>
    </row>
    <row r="637" spans="1:5">
      <c r="A637" s="67"/>
      <c r="B637" s="67"/>
      <c r="C637" s="32"/>
      <c r="D637" s="32"/>
      <c r="E637" s="32"/>
    </row>
    <row r="638" spans="1:5">
      <c r="A638" s="67"/>
      <c r="B638" s="67"/>
      <c r="C638" s="32"/>
      <c r="D638" s="32"/>
      <c r="E638" s="32"/>
    </row>
    <row r="639" spans="1:5">
      <c r="A639" s="67"/>
      <c r="B639" s="67"/>
      <c r="C639" s="32"/>
      <c r="D639" s="32"/>
      <c r="E639" s="32"/>
    </row>
    <row r="640" spans="1:5">
      <c r="A640" s="67"/>
      <c r="B640" s="67"/>
      <c r="C640" s="32"/>
      <c r="D640" s="32"/>
      <c r="E640" s="32"/>
    </row>
    <row r="641" spans="1:5">
      <c r="A641" s="67"/>
      <c r="B641" s="67"/>
      <c r="C641" s="32"/>
      <c r="D641" s="32"/>
      <c r="E641" s="32"/>
    </row>
    <row r="642" spans="1:5">
      <c r="A642" s="67"/>
      <c r="B642" s="67"/>
      <c r="C642" s="32"/>
      <c r="D642" s="32"/>
      <c r="E642" s="32"/>
    </row>
    <row r="643" spans="1:5">
      <c r="A643" s="67"/>
      <c r="B643" s="67"/>
      <c r="C643" s="32"/>
      <c r="D643" s="32"/>
      <c r="E643" s="32"/>
    </row>
    <row r="644" spans="1:5">
      <c r="A644" s="67"/>
      <c r="B644" s="67"/>
      <c r="C644" s="32"/>
      <c r="D644" s="32"/>
      <c r="E644" s="32"/>
    </row>
    <row r="645" spans="1:5">
      <c r="A645" s="67"/>
      <c r="B645" s="67"/>
      <c r="C645" s="32"/>
      <c r="D645" s="32"/>
      <c r="E645" s="32"/>
    </row>
    <row r="646" spans="1:5">
      <c r="A646" s="67"/>
      <c r="B646" s="67"/>
      <c r="C646" s="32"/>
      <c r="D646" s="32"/>
      <c r="E646" s="32"/>
    </row>
    <row r="647" spans="1:5">
      <c r="A647" s="67"/>
      <c r="B647" s="67"/>
      <c r="C647" s="32"/>
      <c r="D647" s="32"/>
      <c r="E647" s="32"/>
    </row>
    <row r="648" spans="1:5">
      <c r="A648" s="67"/>
      <c r="B648" s="67"/>
      <c r="C648" s="32"/>
      <c r="D648" s="32"/>
      <c r="E648" s="32"/>
    </row>
    <row r="649" spans="1:5">
      <c r="A649" s="67"/>
      <c r="B649" s="67"/>
      <c r="C649" s="32"/>
      <c r="D649" s="32"/>
      <c r="E649" s="32"/>
    </row>
    <row r="650" spans="1:5">
      <c r="A650" s="67"/>
      <c r="B650" s="67"/>
      <c r="C650" s="32"/>
      <c r="D650" s="32"/>
      <c r="E650" s="32"/>
    </row>
    <row r="651" spans="1:5">
      <c r="A651" s="67"/>
      <c r="B651" s="67"/>
      <c r="C651" s="32"/>
      <c r="D651" s="32"/>
      <c r="E651" s="32"/>
    </row>
    <row r="652" spans="1:5">
      <c r="A652" s="67"/>
      <c r="B652" s="67"/>
      <c r="C652" s="32"/>
      <c r="D652" s="32"/>
      <c r="E652" s="32"/>
    </row>
    <row r="653" spans="1:5">
      <c r="A653" s="67"/>
      <c r="B653" s="67"/>
      <c r="C653" s="32"/>
      <c r="D653" s="32"/>
      <c r="E653" s="32"/>
    </row>
    <row r="654" spans="1:5">
      <c r="A654" s="67"/>
      <c r="B654" s="67"/>
      <c r="C654" s="32"/>
      <c r="D654" s="32"/>
      <c r="E654" s="32"/>
    </row>
    <row r="655" spans="1:5">
      <c r="A655" s="67"/>
      <c r="B655" s="67"/>
      <c r="C655" s="32"/>
      <c r="D655" s="32"/>
      <c r="E655" s="32"/>
    </row>
    <row r="656" spans="1:5">
      <c r="A656" s="67"/>
      <c r="B656" s="67"/>
      <c r="C656" s="32"/>
      <c r="D656" s="32"/>
      <c r="E656" s="32"/>
    </row>
    <row r="657" spans="1:5">
      <c r="A657" s="67"/>
      <c r="B657" s="67"/>
      <c r="C657" s="32"/>
      <c r="D657" s="32"/>
      <c r="E657" s="32"/>
    </row>
    <row r="658" spans="1:5">
      <c r="A658" s="67"/>
      <c r="B658" s="67"/>
      <c r="C658" s="32"/>
      <c r="D658" s="32"/>
      <c r="E658" s="32"/>
    </row>
    <row r="659" spans="1:5">
      <c r="A659" s="67"/>
      <c r="B659" s="67"/>
      <c r="C659" s="32"/>
      <c r="D659" s="32"/>
      <c r="E659" s="32"/>
    </row>
    <row r="660" spans="1:5">
      <c r="A660" s="67"/>
      <c r="B660" s="67"/>
      <c r="C660" s="32"/>
      <c r="D660" s="32"/>
      <c r="E660" s="32"/>
    </row>
    <row r="661" spans="1:5">
      <c r="A661" s="67"/>
      <c r="B661" s="67"/>
      <c r="C661" s="32"/>
      <c r="D661" s="32"/>
      <c r="E661" s="32"/>
    </row>
    <row r="662" spans="1:5">
      <c r="A662" s="67"/>
      <c r="B662" s="67"/>
      <c r="C662" s="32"/>
      <c r="D662" s="32"/>
      <c r="E662" s="32"/>
    </row>
    <row r="663" spans="1:5">
      <c r="A663" s="67"/>
      <c r="B663" s="67"/>
      <c r="C663" s="32"/>
      <c r="D663" s="32"/>
      <c r="E663" s="32"/>
    </row>
    <row r="664" spans="1:5">
      <c r="A664" s="67"/>
      <c r="B664" s="67"/>
      <c r="C664" s="32"/>
      <c r="D664" s="32"/>
      <c r="E664" s="32"/>
    </row>
    <row r="665" spans="1:5">
      <c r="A665" s="67"/>
      <c r="B665" s="67"/>
      <c r="C665" s="32"/>
      <c r="D665" s="32"/>
      <c r="E665" s="32"/>
    </row>
    <row r="666" spans="1:5">
      <c r="A666" s="67"/>
      <c r="B666" s="67"/>
      <c r="C666" s="32"/>
      <c r="D666" s="32"/>
      <c r="E666" s="32"/>
    </row>
    <row r="667" spans="1:5">
      <c r="A667" s="67"/>
      <c r="B667" s="67"/>
      <c r="C667" s="32"/>
      <c r="D667" s="32"/>
      <c r="E667" s="32"/>
    </row>
    <row r="668" spans="1:5">
      <c r="A668" s="67"/>
      <c r="B668" s="67"/>
      <c r="C668" s="32"/>
      <c r="D668" s="32"/>
      <c r="E668" s="32"/>
    </row>
    <row r="669" spans="1:5">
      <c r="A669" s="67"/>
      <c r="B669" s="67"/>
      <c r="C669" s="32"/>
      <c r="D669" s="32"/>
      <c r="E669" s="32"/>
    </row>
    <row r="670" spans="1:5">
      <c r="A670" s="67"/>
      <c r="B670" s="67"/>
      <c r="C670" s="32"/>
      <c r="D670" s="32"/>
      <c r="E670" s="32"/>
    </row>
    <row r="671" spans="1:5">
      <c r="A671" s="67"/>
      <c r="B671" s="67"/>
      <c r="C671" s="32"/>
      <c r="D671" s="32"/>
      <c r="E671" s="32"/>
    </row>
    <row r="672" spans="1:5">
      <c r="A672" s="67"/>
      <c r="B672" s="67"/>
      <c r="C672" s="32"/>
      <c r="D672" s="32"/>
      <c r="E672" s="32"/>
    </row>
    <row r="673" spans="1:5">
      <c r="A673" s="67"/>
      <c r="B673" s="67"/>
      <c r="C673" s="32"/>
      <c r="D673" s="32"/>
      <c r="E673" s="32"/>
    </row>
    <row r="674" spans="1:5">
      <c r="A674" s="67"/>
      <c r="B674" s="67"/>
      <c r="C674" s="32"/>
      <c r="D674" s="32"/>
      <c r="E674" s="32"/>
    </row>
    <row r="675" spans="1:5">
      <c r="A675" s="67"/>
      <c r="B675" s="67"/>
      <c r="C675" s="32"/>
      <c r="D675" s="32"/>
      <c r="E675" s="32"/>
    </row>
    <row r="676" spans="1:5">
      <c r="A676" s="67"/>
      <c r="B676" s="67"/>
      <c r="C676" s="32"/>
      <c r="D676" s="32"/>
      <c r="E676" s="32"/>
    </row>
    <row r="677" spans="1:5">
      <c r="A677" s="67"/>
      <c r="B677" s="67"/>
      <c r="C677" s="32"/>
      <c r="D677" s="32"/>
      <c r="E677" s="32"/>
    </row>
    <row r="678" spans="1:5">
      <c r="A678" s="67"/>
      <c r="B678" s="67"/>
      <c r="C678" s="32"/>
      <c r="D678" s="32"/>
      <c r="E678" s="32"/>
    </row>
    <row r="679" spans="1:5">
      <c r="A679" s="67"/>
      <c r="B679" s="67"/>
      <c r="C679" s="32"/>
      <c r="D679" s="32"/>
      <c r="E679" s="32"/>
    </row>
    <row r="680" spans="1:5">
      <c r="A680" s="67"/>
      <c r="B680" s="67"/>
      <c r="C680" s="32"/>
      <c r="D680" s="32"/>
      <c r="E680" s="32"/>
    </row>
    <row r="681" spans="1:5">
      <c r="A681" s="67"/>
      <c r="B681" s="67"/>
      <c r="C681" s="32"/>
      <c r="D681" s="32"/>
      <c r="E681" s="32"/>
    </row>
    <row r="682" spans="1:5">
      <c r="A682" s="67"/>
      <c r="B682" s="67"/>
      <c r="C682" s="32"/>
      <c r="D682" s="32"/>
      <c r="E682" s="32"/>
    </row>
    <row r="683" spans="1:5">
      <c r="A683" s="67"/>
      <c r="B683" s="67"/>
      <c r="C683" s="32"/>
      <c r="D683" s="32"/>
      <c r="E683" s="32"/>
    </row>
    <row r="684" spans="1:5">
      <c r="A684" s="67"/>
      <c r="B684" s="67"/>
      <c r="C684" s="32"/>
      <c r="D684" s="32"/>
      <c r="E684" s="32"/>
    </row>
    <row r="685" spans="1:5">
      <c r="A685" s="67"/>
      <c r="B685" s="67"/>
      <c r="C685" s="32"/>
      <c r="D685" s="32"/>
      <c r="E685" s="32"/>
    </row>
    <row r="686" spans="1:5">
      <c r="A686" s="67"/>
      <c r="B686" s="67"/>
      <c r="C686" s="32"/>
      <c r="D686" s="32"/>
      <c r="E686" s="32"/>
    </row>
    <row r="687" spans="1:5">
      <c r="A687" s="67"/>
      <c r="B687" s="67"/>
      <c r="C687" s="32"/>
      <c r="D687" s="32"/>
      <c r="E687" s="32"/>
    </row>
    <row r="688" spans="1:5">
      <c r="A688" s="67"/>
      <c r="B688" s="67"/>
      <c r="C688" s="32"/>
      <c r="D688" s="32"/>
      <c r="E688" s="32"/>
    </row>
    <row r="689" spans="1:5">
      <c r="A689" s="67"/>
      <c r="B689" s="67"/>
      <c r="C689" s="32"/>
      <c r="D689" s="32"/>
      <c r="E689" s="32"/>
    </row>
    <row r="690" spans="1:5">
      <c r="A690" s="67"/>
      <c r="B690" s="67"/>
      <c r="C690" s="32"/>
      <c r="D690" s="32"/>
      <c r="E690" s="32"/>
    </row>
    <row r="691" spans="1:5">
      <c r="A691" s="67"/>
      <c r="B691" s="67"/>
      <c r="C691" s="32"/>
      <c r="D691" s="32"/>
      <c r="E691" s="32"/>
    </row>
    <row r="692" spans="1:5">
      <c r="A692" s="67"/>
      <c r="B692" s="67"/>
      <c r="C692" s="32"/>
      <c r="D692" s="32"/>
      <c r="E692" s="32"/>
    </row>
    <row r="693" spans="1:5">
      <c r="A693" s="67"/>
      <c r="B693" s="67"/>
      <c r="C693" s="32"/>
      <c r="D693" s="32"/>
      <c r="E693" s="32"/>
    </row>
    <row r="694" spans="1:5">
      <c r="A694" s="67"/>
      <c r="B694" s="67"/>
      <c r="C694" s="32"/>
      <c r="D694" s="32"/>
      <c r="E694" s="32"/>
    </row>
    <row r="695" spans="1:5">
      <c r="A695" s="67"/>
      <c r="B695" s="67"/>
      <c r="C695" s="32"/>
      <c r="D695" s="32"/>
      <c r="E695" s="32"/>
    </row>
    <row r="696" spans="1:5">
      <c r="A696" s="67"/>
      <c r="B696" s="67"/>
      <c r="C696" s="32"/>
      <c r="D696" s="32"/>
      <c r="E696" s="32"/>
    </row>
    <row r="697" spans="1:5">
      <c r="A697" s="67"/>
      <c r="B697" s="67"/>
      <c r="C697" s="32"/>
      <c r="D697" s="32"/>
      <c r="E697" s="32"/>
    </row>
    <row r="698" spans="1:5">
      <c r="A698" s="67"/>
      <c r="B698" s="67"/>
      <c r="C698" s="32"/>
      <c r="D698" s="32"/>
      <c r="E698" s="32"/>
    </row>
    <row r="699" spans="1:5">
      <c r="A699" s="67"/>
      <c r="B699" s="67"/>
      <c r="C699" s="32"/>
      <c r="D699" s="32"/>
      <c r="E699" s="32"/>
    </row>
    <row r="700" spans="1:5">
      <c r="A700" s="67"/>
      <c r="B700" s="67"/>
      <c r="C700" s="32"/>
      <c r="D700" s="32"/>
      <c r="E700" s="32"/>
    </row>
    <row r="701" spans="1:5">
      <c r="A701" s="67"/>
      <c r="B701" s="67"/>
      <c r="C701" s="32"/>
      <c r="D701" s="32"/>
      <c r="E701" s="32"/>
    </row>
    <row r="702" spans="1:5">
      <c r="A702" s="67"/>
      <c r="B702" s="67"/>
      <c r="C702" s="32"/>
      <c r="D702" s="32"/>
      <c r="E702" s="32"/>
    </row>
    <row r="703" spans="1:5">
      <c r="A703" s="67"/>
      <c r="B703" s="67"/>
      <c r="C703" s="32"/>
      <c r="D703" s="32"/>
      <c r="E703" s="32"/>
    </row>
    <row r="704" spans="1:5">
      <c r="A704" s="67"/>
      <c r="B704" s="67"/>
      <c r="C704" s="32"/>
      <c r="D704" s="32"/>
      <c r="E704" s="32"/>
    </row>
    <row r="705" spans="1:5">
      <c r="A705" s="67"/>
      <c r="B705" s="67"/>
      <c r="C705" s="32"/>
      <c r="D705" s="32"/>
      <c r="E705" s="32"/>
    </row>
    <row r="706" spans="1:5">
      <c r="A706" s="67"/>
      <c r="B706" s="67"/>
      <c r="C706" s="32"/>
      <c r="D706" s="32"/>
      <c r="E706" s="32"/>
    </row>
    <row r="707" spans="1:5">
      <c r="A707" s="67"/>
      <c r="B707" s="67"/>
      <c r="C707" s="32"/>
      <c r="D707" s="32"/>
      <c r="E707" s="32"/>
    </row>
    <row r="708" spans="1:5">
      <c r="A708" s="67"/>
      <c r="B708" s="67"/>
      <c r="C708" s="32"/>
      <c r="D708" s="32"/>
      <c r="E708" s="32"/>
    </row>
    <row r="709" spans="1:5">
      <c r="A709" s="67"/>
      <c r="B709" s="67"/>
      <c r="C709" s="32"/>
      <c r="D709" s="32"/>
      <c r="E709" s="32"/>
    </row>
    <row r="710" spans="1:5">
      <c r="A710" s="67"/>
      <c r="B710" s="67"/>
      <c r="C710" s="32"/>
      <c r="D710" s="32"/>
      <c r="E710" s="32"/>
    </row>
    <row r="711" spans="1:5">
      <c r="A711" s="67"/>
      <c r="B711" s="67"/>
      <c r="C711" s="32"/>
      <c r="D711" s="32"/>
      <c r="E711" s="32"/>
    </row>
    <row r="712" spans="1:5">
      <c r="A712" s="67"/>
      <c r="B712" s="67"/>
      <c r="C712" s="32"/>
      <c r="D712" s="32"/>
      <c r="E712" s="32"/>
    </row>
    <row r="713" spans="1:5">
      <c r="A713" s="67"/>
      <c r="B713" s="67"/>
      <c r="C713" s="32"/>
      <c r="D713" s="32"/>
      <c r="E713" s="32"/>
    </row>
    <row r="714" spans="1:5">
      <c r="A714" s="67"/>
      <c r="B714" s="67"/>
      <c r="C714" s="32"/>
      <c r="D714" s="32"/>
      <c r="E714" s="32"/>
    </row>
    <row r="715" spans="1:5">
      <c r="A715" s="67"/>
      <c r="B715" s="67"/>
      <c r="C715" s="32"/>
      <c r="D715" s="32"/>
      <c r="E715" s="32"/>
    </row>
    <row r="716" spans="1:5">
      <c r="A716" s="67"/>
      <c r="B716" s="67"/>
      <c r="C716" s="32"/>
      <c r="D716" s="32"/>
      <c r="E716" s="32"/>
    </row>
    <row r="717" spans="1:5">
      <c r="A717" s="67"/>
      <c r="B717" s="67"/>
      <c r="C717" s="32"/>
      <c r="D717" s="32"/>
      <c r="E717" s="32"/>
    </row>
    <row r="718" spans="1:5">
      <c r="A718" s="67"/>
      <c r="B718" s="67"/>
      <c r="C718" s="32"/>
      <c r="D718" s="32"/>
      <c r="E718" s="32"/>
    </row>
    <row r="719" spans="1:5">
      <c r="A719" s="67"/>
      <c r="B719" s="67"/>
      <c r="C719" s="32"/>
      <c r="D719" s="32"/>
      <c r="E719" s="32"/>
    </row>
    <row r="720" spans="1:5">
      <c r="A720" s="67"/>
      <c r="B720" s="67"/>
      <c r="C720" s="32"/>
      <c r="D720" s="32"/>
      <c r="E720" s="32"/>
    </row>
    <row r="721" spans="1:5">
      <c r="A721" s="67"/>
      <c r="B721" s="67"/>
      <c r="C721" s="32"/>
      <c r="D721" s="32"/>
      <c r="E721" s="32"/>
    </row>
    <row r="722" spans="1:5">
      <c r="A722" s="67"/>
      <c r="B722" s="67"/>
      <c r="C722" s="32"/>
      <c r="D722" s="32"/>
      <c r="E722" s="32"/>
    </row>
    <row r="723" spans="1:5">
      <c r="A723" s="67"/>
      <c r="B723" s="67"/>
      <c r="C723" s="32"/>
      <c r="D723" s="32"/>
      <c r="E723" s="32"/>
    </row>
    <row r="724" spans="1:5">
      <c r="A724" s="67"/>
      <c r="B724" s="67"/>
      <c r="C724" s="32"/>
      <c r="D724" s="32"/>
      <c r="E724" s="32"/>
    </row>
    <row r="725" spans="1:5">
      <c r="A725" s="67"/>
      <c r="B725" s="67"/>
      <c r="C725" s="32"/>
      <c r="D725" s="32"/>
      <c r="E725" s="32"/>
    </row>
    <row r="726" spans="1:5">
      <c r="A726" s="67"/>
      <c r="B726" s="67"/>
      <c r="C726" s="32"/>
      <c r="D726" s="32"/>
      <c r="E726" s="32"/>
    </row>
    <row r="727" spans="1:5">
      <c r="A727" s="67"/>
      <c r="B727" s="67"/>
      <c r="C727" s="32"/>
      <c r="D727" s="32"/>
      <c r="E727" s="32"/>
    </row>
    <row r="728" spans="1:5">
      <c r="A728" s="67"/>
      <c r="B728" s="67"/>
      <c r="C728" s="32"/>
      <c r="D728" s="32"/>
      <c r="E728" s="32"/>
    </row>
    <row r="729" spans="1:5">
      <c r="A729" s="67"/>
      <c r="B729" s="67"/>
      <c r="C729" s="32"/>
      <c r="D729" s="32"/>
      <c r="E729" s="32"/>
    </row>
    <row r="730" spans="1:5">
      <c r="A730" s="67"/>
      <c r="B730" s="67"/>
      <c r="C730" s="32"/>
      <c r="D730" s="32"/>
      <c r="E730" s="32"/>
    </row>
    <row r="731" spans="1:5">
      <c r="A731" s="67"/>
      <c r="B731" s="67"/>
      <c r="C731" s="32"/>
      <c r="D731" s="32"/>
      <c r="E731" s="32"/>
    </row>
    <row r="732" spans="1:5">
      <c r="A732" s="67"/>
      <c r="B732" s="67"/>
      <c r="C732" s="32"/>
      <c r="D732" s="32"/>
      <c r="E732" s="32"/>
    </row>
    <row r="733" spans="1:5">
      <c r="A733" s="67"/>
      <c r="B733" s="67"/>
      <c r="C733" s="32"/>
      <c r="D733" s="32"/>
      <c r="E733" s="32"/>
    </row>
    <row r="734" spans="1:5">
      <c r="A734" s="67"/>
      <c r="B734" s="67"/>
      <c r="C734" s="32"/>
      <c r="D734" s="32"/>
      <c r="E734" s="32"/>
    </row>
    <row r="735" spans="1:5">
      <c r="A735" s="67"/>
      <c r="B735" s="67"/>
      <c r="C735" s="32"/>
      <c r="D735" s="32"/>
      <c r="E735" s="32"/>
    </row>
    <row r="736" spans="1:5">
      <c r="A736" s="67"/>
      <c r="B736" s="67"/>
      <c r="C736" s="32"/>
      <c r="D736" s="32"/>
      <c r="E736" s="32"/>
    </row>
    <row r="737" spans="1:5">
      <c r="A737" s="67"/>
      <c r="B737" s="67"/>
      <c r="C737" s="32"/>
      <c r="D737" s="32"/>
      <c r="E737" s="32"/>
    </row>
    <row r="738" spans="1:5">
      <c r="A738" s="67"/>
      <c r="B738" s="67"/>
      <c r="C738" s="32"/>
      <c r="D738" s="32"/>
      <c r="E738" s="32"/>
    </row>
    <row r="739" spans="1:5">
      <c r="A739" s="67"/>
      <c r="B739" s="67"/>
      <c r="C739" s="32"/>
      <c r="D739" s="32"/>
      <c r="E739" s="32"/>
    </row>
    <row r="740" spans="1:5">
      <c r="A740" s="67"/>
      <c r="B740" s="67"/>
      <c r="C740" s="32"/>
      <c r="D740" s="32"/>
      <c r="E740" s="32"/>
    </row>
    <row r="741" spans="1:5">
      <c r="A741" s="67"/>
      <c r="B741" s="67"/>
      <c r="C741" s="32"/>
      <c r="D741" s="32"/>
      <c r="E741" s="32"/>
    </row>
    <row r="742" spans="1:5">
      <c r="A742" s="67"/>
      <c r="B742" s="67"/>
      <c r="C742" s="32"/>
      <c r="D742" s="32"/>
      <c r="E742" s="32"/>
    </row>
    <row r="743" spans="1:5">
      <c r="A743" s="67"/>
      <c r="B743" s="67"/>
      <c r="C743" s="32"/>
      <c r="D743" s="32"/>
      <c r="E743" s="32"/>
    </row>
    <row r="744" spans="1:5">
      <c r="A744" s="67"/>
      <c r="B744" s="67"/>
      <c r="C744" s="32"/>
      <c r="D744" s="32"/>
      <c r="E744" s="32"/>
    </row>
    <row r="745" spans="1:5">
      <c r="A745" s="67"/>
      <c r="B745" s="67"/>
      <c r="C745" s="32"/>
      <c r="D745" s="32"/>
      <c r="E745" s="32"/>
    </row>
    <row r="746" spans="1:5">
      <c r="A746" s="67"/>
      <c r="B746" s="67"/>
      <c r="C746" s="32"/>
      <c r="D746" s="32"/>
      <c r="E746" s="32"/>
    </row>
    <row r="747" spans="1:5">
      <c r="A747" s="67"/>
      <c r="B747" s="67"/>
      <c r="C747" s="32"/>
      <c r="D747" s="32"/>
      <c r="E747" s="32"/>
    </row>
    <row r="748" spans="1:5">
      <c r="A748" s="67"/>
      <c r="B748" s="67"/>
      <c r="C748" s="32"/>
      <c r="D748" s="32"/>
      <c r="E748" s="32"/>
    </row>
    <row r="749" spans="1:5">
      <c r="A749" s="67"/>
      <c r="B749" s="67"/>
      <c r="C749" s="32"/>
      <c r="D749" s="32"/>
      <c r="E749" s="32"/>
    </row>
    <row r="750" spans="1:5">
      <c r="A750" s="67"/>
      <c r="B750" s="67"/>
      <c r="C750" s="32"/>
      <c r="D750" s="32"/>
      <c r="E750" s="32"/>
    </row>
    <row r="751" spans="1:5">
      <c r="A751" s="67"/>
      <c r="B751" s="67"/>
      <c r="C751" s="32"/>
      <c r="D751" s="32"/>
      <c r="E751" s="32"/>
    </row>
    <row r="752" spans="1:5">
      <c r="A752" s="67"/>
      <c r="B752" s="67"/>
      <c r="C752" s="32"/>
      <c r="D752" s="32"/>
      <c r="E752" s="32"/>
    </row>
    <row r="753" spans="1:5">
      <c r="A753" s="67"/>
      <c r="B753" s="67"/>
      <c r="C753" s="32"/>
      <c r="D753" s="32"/>
      <c r="E753" s="32"/>
    </row>
    <row r="754" spans="1:5">
      <c r="A754" s="67"/>
      <c r="B754" s="67"/>
      <c r="C754" s="32"/>
      <c r="D754" s="32"/>
      <c r="E754" s="32"/>
    </row>
    <row r="755" spans="1:5">
      <c r="A755" s="67"/>
      <c r="B755" s="67"/>
      <c r="C755" s="32"/>
      <c r="D755" s="32"/>
      <c r="E755" s="32"/>
    </row>
    <row r="756" spans="1:5">
      <c r="A756" s="67"/>
      <c r="B756" s="67"/>
      <c r="C756" s="32"/>
      <c r="D756" s="32"/>
      <c r="E756" s="32"/>
    </row>
    <row r="757" spans="1:5">
      <c r="A757" s="67"/>
      <c r="B757" s="67"/>
      <c r="C757" s="32"/>
      <c r="D757" s="32"/>
      <c r="E757" s="32"/>
    </row>
    <row r="758" spans="1:5">
      <c r="A758" s="67"/>
      <c r="B758" s="67"/>
      <c r="C758" s="32"/>
      <c r="D758" s="32"/>
      <c r="E758" s="32"/>
    </row>
    <row r="759" spans="1:5">
      <c r="A759" s="67"/>
      <c r="B759" s="67"/>
      <c r="C759" s="32"/>
      <c r="D759" s="32"/>
      <c r="E759" s="32"/>
    </row>
    <row r="760" spans="1:5">
      <c r="A760" s="67"/>
      <c r="B760" s="67"/>
      <c r="C760" s="32"/>
      <c r="D760" s="32"/>
      <c r="E760" s="32"/>
    </row>
    <row r="761" spans="1:5">
      <c r="A761" s="67"/>
      <c r="B761" s="67"/>
      <c r="C761" s="32"/>
      <c r="D761" s="32"/>
      <c r="E761" s="32"/>
    </row>
    <row r="762" spans="1:5">
      <c r="A762" s="67"/>
      <c r="B762" s="67"/>
      <c r="C762" s="32"/>
      <c r="D762" s="32"/>
      <c r="E762" s="32"/>
    </row>
    <row r="763" spans="1:5">
      <c r="A763" s="67"/>
      <c r="B763" s="67"/>
      <c r="C763" s="32"/>
      <c r="D763" s="32"/>
      <c r="E763" s="32"/>
    </row>
    <row r="764" spans="1:5">
      <c r="A764" s="67"/>
      <c r="B764" s="67"/>
      <c r="C764" s="32"/>
      <c r="D764" s="32"/>
      <c r="E764" s="32"/>
    </row>
    <row r="765" spans="1:5">
      <c r="A765" s="67"/>
      <c r="B765" s="67"/>
      <c r="C765" s="32"/>
      <c r="D765" s="32"/>
      <c r="E765" s="32"/>
    </row>
    <row r="766" spans="1:5">
      <c r="A766" s="67"/>
      <c r="B766" s="67"/>
      <c r="C766" s="32"/>
      <c r="D766" s="32"/>
      <c r="E766" s="32"/>
    </row>
    <row r="767" spans="1:5">
      <c r="A767" s="67"/>
      <c r="B767" s="67"/>
      <c r="C767" s="32"/>
      <c r="D767" s="32"/>
      <c r="E767" s="32"/>
    </row>
    <row r="768" spans="1:5">
      <c r="A768" s="67"/>
      <c r="B768" s="67"/>
      <c r="C768" s="32"/>
      <c r="D768" s="32"/>
      <c r="E768" s="32"/>
    </row>
    <row r="769" spans="1:5">
      <c r="A769" s="67"/>
      <c r="B769" s="67"/>
      <c r="C769" s="32"/>
      <c r="D769" s="32"/>
      <c r="E769" s="32"/>
    </row>
    <row r="770" spans="1:5">
      <c r="A770" s="67"/>
      <c r="B770" s="67"/>
      <c r="C770" s="32"/>
      <c r="D770" s="32"/>
      <c r="E770" s="32"/>
    </row>
    <row r="771" spans="1:5">
      <c r="A771" s="67"/>
      <c r="B771" s="67"/>
      <c r="C771" s="32"/>
      <c r="D771" s="32"/>
      <c r="E771" s="32"/>
    </row>
    <row r="772" spans="1:5">
      <c r="A772" s="67"/>
      <c r="B772" s="67"/>
      <c r="C772" s="32"/>
      <c r="D772" s="32"/>
      <c r="E772" s="32"/>
    </row>
    <row r="773" spans="1:5">
      <c r="A773" s="67"/>
      <c r="B773" s="67"/>
      <c r="C773" s="32"/>
      <c r="D773" s="32"/>
      <c r="E773" s="32"/>
    </row>
    <row r="774" spans="1:5">
      <c r="A774" s="67"/>
      <c r="B774" s="67"/>
      <c r="C774" s="32"/>
      <c r="D774" s="32"/>
      <c r="E774" s="32"/>
    </row>
    <row r="775" spans="1:5">
      <c r="A775" s="67"/>
      <c r="B775" s="67"/>
      <c r="C775" s="32"/>
      <c r="D775" s="32"/>
      <c r="E775" s="32"/>
    </row>
    <row r="776" spans="1:5">
      <c r="A776" s="67"/>
      <c r="B776" s="67"/>
      <c r="C776" s="32"/>
      <c r="D776" s="32"/>
      <c r="E776" s="32"/>
    </row>
    <row r="777" spans="1:5">
      <c r="A777" s="67"/>
      <c r="B777" s="67"/>
      <c r="C777" s="32"/>
      <c r="D777" s="32"/>
      <c r="E777" s="32"/>
    </row>
    <row r="778" spans="1:5">
      <c r="A778" s="67"/>
      <c r="B778" s="67"/>
      <c r="C778" s="32"/>
      <c r="D778" s="32"/>
      <c r="E778" s="32"/>
    </row>
    <row r="779" spans="1:5">
      <c r="A779" s="67"/>
      <c r="B779" s="67"/>
      <c r="C779" s="32"/>
      <c r="D779" s="32"/>
      <c r="E779" s="32"/>
    </row>
    <row r="780" spans="1:5">
      <c r="A780" s="67"/>
      <c r="B780" s="67"/>
      <c r="C780" s="32"/>
      <c r="D780" s="32"/>
      <c r="E780" s="32"/>
    </row>
    <row r="781" spans="1:5">
      <c r="A781" s="67"/>
      <c r="B781" s="67"/>
      <c r="C781" s="32"/>
      <c r="D781" s="32"/>
      <c r="E781" s="32"/>
    </row>
    <row r="782" spans="1:5">
      <c r="A782" s="67"/>
      <c r="B782" s="67"/>
      <c r="C782" s="32"/>
      <c r="D782" s="32"/>
      <c r="E782" s="32"/>
    </row>
    <row r="783" spans="1:5">
      <c r="A783" s="67"/>
      <c r="B783" s="67"/>
      <c r="C783" s="32"/>
      <c r="D783" s="32"/>
      <c r="E783" s="32"/>
    </row>
    <row r="784" spans="1:5">
      <c r="A784" s="67"/>
      <c r="B784" s="67"/>
      <c r="C784" s="32"/>
      <c r="D784" s="32"/>
      <c r="E784" s="32"/>
    </row>
    <row r="785" spans="1:5">
      <c r="A785" s="67"/>
      <c r="B785" s="67"/>
      <c r="C785" s="32"/>
      <c r="D785" s="32"/>
      <c r="E785" s="32"/>
    </row>
    <row r="786" spans="1:5">
      <c r="A786" s="67"/>
      <c r="B786" s="67"/>
      <c r="C786" s="32"/>
      <c r="D786" s="32"/>
      <c r="E786" s="32"/>
    </row>
    <row r="787" spans="1:5">
      <c r="A787" s="67"/>
      <c r="B787" s="67"/>
      <c r="C787" s="32"/>
      <c r="D787" s="32"/>
      <c r="E787" s="32"/>
    </row>
    <row r="788" spans="1:5">
      <c r="A788" s="67"/>
      <c r="B788" s="67"/>
      <c r="C788" s="32"/>
      <c r="D788" s="32"/>
      <c r="E788" s="32"/>
    </row>
    <row r="789" spans="1:5">
      <c r="A789" s="67"/>
      <c r="B789" s="67"/>
      <c r="C789" s="32"/>
      <c r="D789" s="32"/>
      <c r="E789" s="32"/>
    </row>
    <row r="790" spans="1:5">
      <c r="A790" s="67"/>
      <c r="B790" s="67"/>
      <c r="C790" s="32"/>
      <c r="D790" s="32"/>
      <c r="E790" s="32"/>
    </row>
    <row r="791" spans="1:5">
      <c r="A791" s="67"/>
      <c r="B791" s="67"/>
      <c r="C791" s="32"/>
      <c r="D791" s="32"/>
      <c r="E791" s="32"/>
    </row>
    <row r="792" spans="1:5">
      <c r="A792" s="67"/>
      <c r="B792" s="67"/>
      <c r="C792" s="32"/>
      <c r="D792" s="32"/>
      <c r="E792" s="32"/>
    </row>
    <row r="793" spans="1:5">
      <c r="A793" s="67"/>
      <c r="B793" s="67"/>
      <c r="C793" s="32"/>
      <c r="D793" s="32"/>
      <c r="E793" s="32"/>
    </row>
    <row r="794" spans="1:5">
      <c r="A794" s="67"/>
      <c r="B794" s="67"/>
      <c r="C794" s="32"/>
      <c r="D794" s="32"/>
      <c r="E794" s="32"/>
    </row>
    <row r="795" spans="1:5">
      <c r="A795" s="67"/>
      <c r="B795" s="67"/>
      <c r="C795" s="32"/>
      <c r="D795" s="32"/>
      <c r="E795" s="32"/>
    </row>
    <row r="796" spans="1:5">
      <c r="A796" s="67"/>
      <c r="B796" s="67"/>
      <c r="C796" s="32"/>
      <c r="D796" s="32"/>
      <c r="E796" s="32"/>
    </row>
    <row r="797" spans="1:5">
      <c r="A797" s="67"/>
      <c r="B797" s="67"/>
      <c r="C797" s="32"/>
      <c r="D797" s="32"/>
      <c r="E797" s="32"/>
    </row>
    <row r="798" spans="1:5">
      <c r="A798" s="67"/>
      <c r="B798" s="67"/>
      <c r="C798" s="32"/>
      <c r="D798" s="32"/>
      <c r="E798" s="32"/>
    </row>
    <row r="799" spans="1:5">
      <c r="A799" s="67"/>
      <c r="B799" s="67"/>
      <c r="C799" s="32"/>
      <c r="D799" s="32"/>
      <c r="E799" s="32"/>
    </row>
    <row r="800" spans="1:5">
      <c r="A800" s="67"/>
      <c r="B800" s="67"/>
      <c r="C800" s="32"/>
      <c r="D800" s="32"/>
      <c r="E800" s="32"/>
    </row>
    <row r="801" spans="1:5">
      <c r="A801" s="67"/>
      <c r="B801" s="67"/>
      <c r="C801" s="32"/>
      <c r="D801" s="32"/>
      <c r="E801" s="32"/>
    </row>
    <row r="802" spans="1:5">
      <c r="A802" s="67"/>
      <c r="B802" s="67"/>
      <c r="C802" s="32"/>
      <c r="D802" s="32"/>
      <c r="E802" s="32"/>
    </row>
    <row r="803" spans="1:5">
      <c r="A803" s="67"/>
      <c r="B803" s="67"/>
      <c r="C803" s="32"/>
      <c r="D803" s="32"/>
      <c r="E803" s="32"/>
    </row>
    <row r="804" spans="1:5">
      <c r="A804" s="67"/>
      <c r="B804" s="67"/>
      <c r="C804" s="32"/>
      <c r="D804" s="32"/>
      <c r="E804" s="32"/>
    </row>
    <row r="805" spans="1:5">
      <c r="A805" s="67"/>
      <c r="B805" s="67"/>
      <c r="C805" s="32"/>
      <c r="D805" s="32"/>
      <c r="E805" s="32"/>
    </row>
    <row r="806" spans="1:5">
      <c r="A806" s="67"/>
      <c r="B806" s="67"/>
      <c r="C806" s="32"/>
      <c r="D806" s="32"/>
      <c r="E806" s="32"/>
    </row>
    <row r="807" spans="1:5">
      <c r="A807" s="67"/>
      <c r="B807" s="67"/>
      <c r="C807" s="32"/>
      <c r="D807" s="32"/>
      <c r="E807" s="32"/>
    </row>
    <row r="808" spans="1:5">
      <c r="A808" s="67"/>
      <c r="B808" s="67"/>
      <c r="C808" s="32"/>
      <c r="D808" s="32"/>
      <c r="E808" s="32"/>
    </row>
    <row r="809" spans="1:5">
      <c r="A809" s="67"/>
      <c r="B809" s="67"/>
      <c r="C809" s="32"/>
      <c r="D809" s="32"/>
      <c r="E809" s="32"/>
    </row>
    <row r="810" spans="1:5">
      <c r="A810" s="67"/>
      <c r="B810" s="67"/>
      <c r="C810" s="32"/>
      <c r="D810" s="32"/>
      <c r="E810" s="32"/>
    </row>
    <row r="811" spans="1:5">
      <c r="A811" s="67"/>
      <c r="B811" s="67"/>
      <c r="C811" s="32"/>
      <c r="D811" s="32"/>
      <c r="E811" s="32"/>
    </row>
    <row r="812" spans="1:5">
      <c r="A812" s="67"/>
      <c r="B812" s="67"/>
      <c r="C812" s="32"/>
      <c r="D812" s="32"/>
      <c r="E812" s="32"/>
    </row>
    <row r="813" spans="1:5">
      <c r="A813" s="67"/>
      <c r="B813" s="67"/>
      <c r="C813" s="32"/>
      <c r="D813" s="32"/>
      <c r="E813" s="32"/>
    </row>
    <row r="814" spans="1:5">
      <c r="A814" s="67"/>
      <c r="B814" s="67"/>
      <c r="C814" s="32"/>
      <c r="D814" s="32"/>
      <c r="E814" s="32"/>
    </row>
    <row r="815" spans="1:5">
      <c r="A815" s="67"/>
      <c r="B815" s="67"/>
      <c r="C815" s="32"/>
      <c r="D815" s="32"/>
      <c r="E815" s="32"/>
    </row>
    <row r="816" spans="1:5">
      <c r="A816" s="67"/>
      <c r="B816" s="67"/>
      <c r="C816" s="32"/>
      <c r="D816" s="32"/>
      <c r="E816" s="32"/>
    </row>
    <row r="817" spans="1:5">
      <c r="A817" s="67"/>
      <c r="B817" s="67"/>
      <c r="C817" s="32"/>
      <c r="D817" s="32"/>
      <c r="E817" s="32"/>
    </row>
    <row r="818" spans="1:5">
      <c r="A818" s="67"/>
      <c r="B818" s="67"/>
      <c r="C818" s="32"/>
      <c r="D818" s="32"/>
      <c r="E818" s="32"/>
    </row>
    <row r="819" spans="1:5">
      <c r="A819" s="67"/>
      <c r="B819" s="67"/>
      <c r="C819" s="32"/>
      <c r="D819" s="32"/>
      <c r="E819" s="32"/>
    </row>
    <row r="820" spans="1:5">
      <c r="A820" s="67"/>
      <c r="B820" s="67"/>
      <c r="C820" s="32"/>
      <c r="D820" s="32"/>
      <c r="E820" s="32"/>
    </row>
    <row r="821" spans="1:5">
      <c r="A821" s="67"/>
      <c r="B821" s="67"/>
      <c r="C821" s="32"/>
      <c r="D821" s="32"/>
      <c r="E821" s="32"/>
    </row>
    <row r="822" spans="1:5">
      <c r="A822" s="67"/>
      <c r="B822" s="67"/>
      <c r="C822" s="32"/>
      <c r="D822" s="32"/>
      <c r="E822" s="32"/>
    </row>
    <row r="823" spans="1:5">
      <c r="A823" s="67"/>
      <c r="B823" s="67"/>
      <c r="C823" s="32"/>
      <c r="D823" s="32"/>
      <c r="E823" s="32"/>
    </row>
    <row r="824" spans="1:5">
      <c r="A824" s="67"/>
      <c r="B824" s="67"/>
      <c r="C824" s="32"/>
      <c r="D824" s="32"/>
      <c r="E824" s="32"/>
    </row>
    <row r="825" spans="1:5">
      <c r="A825" s="67"/>
      <c r="B825" s="67"/>
      <c r="C825" s="32"/>
      <c r="D825" s="32"/>
      <c r="E825" s="32"/>
    </row>
    <row r="826" spans="1:5">
      <c r="A826" s="67"/>
      <c r="B826" s="67"/>
      <c r="C826" s="32"/>
      <c r="D826" s="32"/>
      <c r="E826" s="32"/>
    </row>
    <row r="827" spans="1:5">
      <c r="A827" s="67"/>
      <c r="B827" s="67"/>
      <c r="C827" s="32"/>
      <c r="D827" s="32"/>
      <c r="E827" s="32"/>
    </row>
    <row r="828" spans="1:5">
      <c r="A828" s="67"/>
      <c r="B828" s="67"/>
      <c r="C828" s="32"/>
      <c r="D828" s="32"/>
      <c r="E828" s="32"/>
    </row>
    <row r="829" spans="1:5">
      <c r="A829" s="67"/>
      <c r="B829" s="67"/>
      <c r="C829" s="32"/>
      <c r="D829" s="32"/>
      <c r="E829" s="32"/>
    </row>
    <row r="830" spans="1:5">
      <c r="A830" s="67"/>
      <c r="B830" s="67"/>
      <c r="C830" s="32"/>
      <c r="D830" s="32"/>
      <c r="E830" s="32"/>
    </row>
    <row r="831" spans="1:5">
      <c r="A831" s="67"/>
      <c r="B831" s="67"/>
      <c r="C831" s="32"/>
      <c r="D831" s="32"/>
      <c r="E831" s="32"/>
    </row>
    <row r="832" spans="1:5">
      <c r="A832" s="67"/>
      <c r="B832" s="67"/>
      <c r="C832" s="32"/>
      <c r="D832" s="32"/>
      <c r="E832" s="32"/>
    </row>
    <row r="833" spans="1:5">
      <c r="A833" s="67"/>
      <c r="B833" s="67"/>
      <c r="C833" s="32"/>
      <c r="D833" s="32"/>
      <c r="E833" s="32"/>
    </row>
    <row r="834" spans="1:5">
      <c r="A834" s="67"/>
      <c r="B834" s="67"/>
      <c r="C834" s="32"/>
      <c r="D834" s="32"/>
      <c r="E834" s="32"/>
    </row>
    <row r="835" spans="1:5">
      <c r="A835" s="67"/>
      <c r="B835" s="67"/>
      <c r="C835" s="32"/>
      <c r="D835" s="32"/>
      <c r="E835" s="32"/>
    </row>
    <row r="836" spans="1:5">
      <c r="A836" s="67"/>
      <c r="B836" s="67"/>
      <c r="C836" s="32"/>
      <c r="D836" s="32"/>
      <c r="E836" s="32"/>
    </row>
    <row r="837" spans="1:5">
      <c r="A837" s="67"/>
      <c r="B837" s="67"/>
      <c r="C837" s="32"/>
      <c r="D837" s="32"/>
      <c r="E837" s="32"/>
    </row>
    <row r="838" spans="1:5">
      <c r="A838" s="67"/>
      <c r="B838" s="67"/>
      <c r="C838" s="32"/>
      <c r="D838" s="32"/>
      <c r="E838" s="32"/>
    </row>
    <row r="839" spans="1:5">
      <c r="A839" s="67"/>
      <c r="B839" s="67"/>
      <c r="C839" s="32"/>
      <c r="D839" s="32"/>
      <c r="E839" s="32"/>
    </row>
    <row r="840" spans="1:5">
      <c r="A840" s="67"/>
      <c r="B840" s="67"/>
      <c r="C840" s="32"/>
      <c r="D840" s="32"/>
      <c r="E840" s="32"/>
    </row>
    <row r="841" spans="1:5">
      <c r="A841" s="67"/>
      <c r="B841" s="67"/>
      <c r="C841" s="32"/>
      <c r="D841" s="32"/>
      <c r="E841" s="32"/>
    </row>
    <row r="842" spans="1:5">
      <c r="A842" s="67"/>
      <c r="B842" s="67"/>
      <c r="C842" s="32"/>
      <c r="D842" s="32"/>
      <c r="E842" s="32"/>
    </row>
    <row r="843" spans="1:5">
      <c r="A843" s="67"/>
      <c r="B843" s="67"/>
      <c r="C843" s="32"/>
      <c r="D843" s="32"/>
      <c r="E843" s="32"/>
    </row>
    <row r="844" spans="1:5">
      <c r="A844" s="67"/>
      <c r="B844" s="67"/>
      <c r="C844" s="32"/>
      <c r="D844" s="32"/>
      <c r="E844" s="32"/>
    </row>
    <row r="845" spans="1:5">
      <c r="A845" s="67"/>
      <c r="B845" s="67"/>
      <c r="C845" s="32"/>
      <c r="D845" s="32"/>
      <c r="E845" s="32"/>
    </row>
    <row r="846" spans="1:5">
      <c r="A846" s="67"/>
      <c r="B846" s="67"/>
      <c r="C846" s="32"/>
      <c r="D846" s="32"/>
      <c r="E846" s="32"/>
    </row>
    <row r="847" spans="1:5">
      <c r="A847" s="67"/>
      <c r="B847" s="67"/>
      <c r="C847" s="32"/>
      <c r="D847" s="32"/>
      <c r="E847" s="32"/>
    </row>
    <row r="848" spans="1:5">
      <c r="A848" s="67"/>
      <c r="B848" s="67"/>
      <c r="C848" s="32"/>
      <c r="D848" s="32"/>
      <c r="E848" s="32"/>
    </row>
    <row r="849" spans="1:5">
      <c r="A849" s="67"/>
      <c r="B849" s="67"/>
      <c r="C849" s="32"/>
      <c r="D849" s="32"/>
      <c r="E849" s="32"/>
    </row>
    <row r="850" spans="1:5">
      <c r="A850" s="67"/>
      <c r="B850" s="67"/>
      <c r="C850" s="32"/>
      <c r="D850" s="32"/>
      <c r="E850" s="32"/>
    </row>
    <row r="851" spans="1:5">
      <c r="A851" s="67"/>
      <c r="B851" s="67"/>
      <c r="C851" s="32"/>
      <c r="D851" s="32"/>
      <c r="E851" s="32"/>
    </row>
    <row r="852" spans="1:5">
      <c r="A852" s="67"/>
      <c r="B852" s="67"/>
      <c r="C852" s="32"/>
      <c r="D852" s="32"/>
      <c r="E852" s="32"/>
    </row>
    <row r="853" spans="1:5">
      <c r="A853" s="67"/>
      <c r="B853" s="67"/>
      <c r="C853" s="32"/>
      <c r="D853" s="32"/>
      <c r="E853" s="32"/>
    </row>
    <row r="854" spans="1:5">
      <c r="A854" s="67"/>
      <c r="B854" s="67"/>
      <c r="C854" s="32"/>
      <c r="D854" s="32"/>
      <c r="E854" s="32"/>
    </row>
    <row r="855" spans="1:5">
      <c r="A855" s="67"/>
      <c r="B855" s="67"/>
      <c r="C855" s="32"/>
      <c r="D855" s="32"/>
      <c r="E855" s="32"/>
    </row>
    <row r="856" spans="1:5">
      <c r="A856" s="67"/>
      <c r="B856" s="67"/>
      <c r="C856" s="32"/>
      <c r="D856" s="32"/>
      <c r="E856" s="32"/>
    </row>
    <row r="857" spans="1:5">
      <c r="A857" s="67"/>
      <c r="B857" s="67"/>
      <c r="C857" s="32"/>
      <c r="D857" s="32"/>
      <c r="E857" s="32"/>
    </row>
    <row r="858" spans="1:5">
      <c r="A858" s="67"/>
      <c r="B858" s="67"/>
      <c r="C858" s="32"/>
      <c r="D858" s="32"/>
      <c r="E858" s="32"/>
    </row>
    <row r="859" spans="1:5">
      <c r="A859" s="67"/>
      <c r="B859" s="67"/>
      <c r="C859" s="32"/>
      <c r="D859" s="32"/>
      <c r="E859" s="32"/>
    </row>
    <row r="860" spans="1:5">
      <c r="A860" s="67"/>
      <c r="B860" s="67"/>
      <c r="C860" s="32"/>
      <c r="D860" s="32"/>
      <c r="E860" s="32"/>
    </row>
    <row r="861" spans="1:5">
      <c r="A861" s="67"/>
      <c r="B861" s="67"/>
      <c r="C861" s="32"/>
      <c r="D861" s="32"/>
      <c r="E861" s="32"/>
    </row>
    <row r="862" spans="1:5">
      <c r="A862" s="67"/>
      <c r="B862" s="67"/>
      <c r="C862" s="32"/>
      <c r="D862" s="32"/>
      <c r="E862" s="32"/>
    </row>
    <row r="863" spans="1:5">
      <c r="A863" s="67"/>
      <c r="B863" s="67"/>
      <c r="C863" s="32"/>
      <c r="D863" s="32"/>
      <c r="E863" s="32"/>
    </row>
    <row r="864" spans="1:5">
      <c r="A864" s="67"/>
      <c r="B864" s="67"/>
      <c r="C864" s="32"/>
      <c r="D864" s="32"/>
      <c r="E864" s="32"/>
    </row>
    <row r="865" spans="1:5">
      <c r="A865" s="67"/>
      <c r="B865" s="67"/>
      <c r="C865" s="32"/>
      <c r="D865" s="32"/>
      <c r="E865" s="32"/>
    </row>
    <row r="866" spans="1:5">
      <c r="A866" s="67"/>
      <c r="B866" s="67"/>
      <c r="C866" s="32"/>
      <c r="D866" s="32"/>
      <c r="E866" s="32"/>
    </row>
    <row r="867" spans="1:5">
      <c r="A867" s="67"/>
      <c r="B867" s="67"/>
      <c r="C867" s="32"/>
      <c r="D867" s="32"/>
      <c r="E867" s="32"/>
    </row>
    <row r="868" spans="1:5">
      <c r="A868" s="67"/>
      <c r="B868" s="67"/>
      <c r="C868" s="32"/>
      <c r="D868" s="32"/>
      <c r="E868" s="32"/>
    </row>
    <row r="869" spans="1:5">
      <c r="A869" s="67"/>
      <c r="B869" s="67"/>
      <c r="C869" s="32"/>
      <c r="D869" s="32"/>
      <c r="E869" s="32"/>
    </row>
    <row r="870" spans="1:5">
      <c r="A870" s="67"/>
      <c r="B870" s="67"/>
      <c r="C870" s="32"/>
      <c r="D870" s="32"/>
      <c r="E870" s="32"/>
    </row>
    <row r="871" spans="1:5">
      <c r="A871" s="67"/>
      <c r="B871" s="67"/>
      <c r="C871" s="32"/>
      <c r="D871" s="32"/>
      <c r="E871" s="32"/>
    </row>
    <row r="872" spans="1:5">
      <c r="A872" s="67"/>
      <c r="B872" s="67"/>
      <c r="C872" s="32"/>
      <c r="D872" s="32"/>
      <c r="E872" s="32"/>
    </row>
    <row r="873" spans="1:5">
      <c r="A873" s="67"/>
      <c r="B873" s="67"/>
      <c r="C873" s="32"/>
      <c r="D873" s="32"/>
      <c r="E873" s="32"/>
    </row>
    <row r="874" spans="1:5">
      <c r="A874" s="67"/>
      <c r="B874" s="67"/>
      <c r="C874" s="32"/>
      <c r="D874" s="32"/>
      <c r="E874" s="32"/>
    </row>
    <row r="875" spans="1:5">
      <c r="A875" s="67"/>
      <c r="B875" s="67"/>
      <c r="C875" s="32"/>
      <c r="D875" s="32"/>
      <c r="E875" s="32"/>
    </row>
    <row r="876" spans="1:5">
      <c r="A876" s="67"/>
      <c r="B876" s="67"/>
      <c r="C876" s="32"/>
      <c r="D876" s="32"/>
      <c r="E876" s="32"/>
    </row>
    <row r="877" spans="1:5">
      <c r="A877" s="67"/>
      <c r="B877" s="67"/>
      <c r="C877" s="32"/>
      <c r="D877" s="32"/>
      <c r="E877" s="32"/>
    </row>
    <row r="878" spans="1:5">
      <c r="A878" s="67"/>
      <c r="B878" s="67"/>
      <c r="C878" s="32"/>
      <c r="D878" s="32"/>
      <c r="E878" s="32"/>
    </row>
    <row r="879" spans="1:5">
      <c r="A879" s="67"/>
      <c r="B879" s="67"/>
      <c r="C879" s="32"/>
      <c r="D879" s="32"/>
      <c r="E879" s="32"/>
    </row>
    <row r="880" spans="1:5">
      <c r="A880" s="67"/>
      <c r="B880" s="67"/>
      <c r="C880" s="32"/>
      <c r="D880" s="32"/>
      <c r="E880" s="32"/>
    </row>
    <row r="881" spans="1:5">
      <c r="A881" s="67"/>
      <c r="B881" s="67"/>
      <c r="C881" s="32"/>
      <c r="D881" s="32"/>
      <c r="E881" s="32"/>
    </row>
    <row r="882" spans="1:5">
      <c r="A882" s="67"/>
      <c r="B882" s="67"/>
      <c r="C882" s="32"/>
      <c r="D882" s="32"/>
      <c r="E882" s="32"/>
    </row>
    <row r="883" spans="1:5">
      <c r="A883" s="67"/>
      <c r="B883" s="67"/>
      <c r="C883" s="32"/>
      <c r="D883" s="32"/>
      <c r="E883" s="32"/>
    </row>
    <row r="884" spans="1:5">
      <c r="A884" s="67"/>
      <c r="B884" s="67"/>
      <c r="C884" s="32"/>
      <c r="D884" s="32"/>
      <c r="E884" s="32"/>
    </row>
    <row r="885" spans="1:5">
      <c r="A885" s="67"/>
      <c r="B885" s="67"/>
      <c r="C885" s="32"/>
      <c r="D885" s="32"/>
      <c r="E885" s="32"/>
    </row>
    <row r="886" spans="1:5">
      <c r="A886" s="67"/>
      <c r="B886" s="67"/>
      <c r="C886" s="32"/>
      <c r="D886" s="32"/>
      <c r="E886" s="32"/>
    </row>
    <row r="887" spans="1:5">
      <c r="A887" s="67"/>
      <c r="B887" s="67"/>
      <c r="C887" s="32"/>
      <c r="D887" s="32"/>
      <c r="E887" s="32"/>
    </row>
    <row r="888" spans="1:5">
      <c r="A888" s="67"/>
      <c r="B888" s="67"/>
      <c r="C888" s="32"/>
      <c r="D888" s="32"/>
      <c r="E888" s="32"/>
    </row>
    <row r="889" spans="1:5">
      <c r="A889" s="67"/>
      <c r="B889" s="67"/>
      <c r="C889" s="32"/>
      <c r="D889" s="32"/>
      <c r="E889" s="32"/>
    </row>
    <row r="890" spans="1:5">
      <c r="A890" s="67"/>
      <c r="B890" s="67"/>
      <c r="C890" s="32"/>
      <c r="D890" s="32"/>
      <c r="E890" s="32"/>
    </row>
    <row r="891" spans="1:5">
      <c r="A891" s="67"/>
      <c r="B891" s="67"/>
      <c r="C891" s="32"/>
      <c r="D891" s="32"/>
      <c r="E891" s="32"/>
    </row>
    <row r="892" spans="1:5">
      <c r="A892" s="67"/>
      <c r="B892" s="67"/>
      <c r="C892" s="32"/>
      <c r="D892" s="32"/>
      <c r="E892" s="32"/>
    </row>
    <row r="893" spans="1:5">
      <c r="A893" s="67"/>
      <c r="B893" s="67"/>
      <c r="C893" s="32"/>
      <c r="D893" s="32"/>
      <c r="E893" s="32"/>
    </row>
    <row r="894" spans="1:5">
      <c r="A894" s="67"/>
      <c r="B894" s="67"/>
      <c r="C894" s="32"/>
      <c r="D894" s="32"/>
      <c r="E894" s="32"/>
    </row>
    <row r="895" spans="1:5">
      <c r="A895" s="67"/>
      <c r="B895" s="67"/>
      <c r="C895" s="32"/>
      <c r="D895" s="32"/>
      <c r="E895" s="32"/>
    </row>
    <row r="896" spans="1:5">
      <c r="A896" s="67"/>
      <c r="B896" s="67"/>
      <c r="C896" s="32"/>
      <c r="D896" s="32"/>
      <c r="E896" s="32"/>
    </row>
    <row r="897" spans="1:5">
      <c r="A897" s="67"/>
      <c r="B897" s="67"/>
      <c r="C897" s="32"/>
      <c r="D897" s="32"/>
      <c r="E897" s="32"/>
    </row>
    <row r="898" spans="1:5">
      <c r="A898" s="67"/>
      <c r="B898" s="67"/>
      <c r="C898" s="32"/>
      <c r="D898" s="32"/>
      <c r="E898" s="32"/>
    </row>
    <row r="899" spans="1:5">
      <c r="A899" s="67"/>
      <c r="B899" s="67"/>
      <c r="C899" s="32"/>
      <c r="D899" s="32"/>
      <c r="E899" s="32"/>
    </row>
    <row r="900" spans="1:5">
      <c r="A900" s="67"/>
      <c r="B900" s="67"/>
      <c r="C900" s="32"/>
      <c r="D900" s="32"/>
      <c r="E900" s="32"/>
    </row>
    <row r="901" spans="1:5">
      <c r="A901" s="67"/>
      <c r="B901" s="67"/>
      <c r="C901" s="32"/>
      <c r="D901" s="32"/>
      <c r="E901" s="32"/>
    </row>
    <row r="902" spans="1:5">
      <c r="A902" s="67"/>
      <c r="B902" s="67"/>
      <c r="C902" s="32"/>
      <c r="D902" s="32"/>
      <c r="E902" s="32"/>
    </row>
    <row r="903" spans="1:5">
      <c r="A903" s="67"/>
      <c r="B903" s="67"/>
      <c r="C903" s="32"/>
      <c r="D903" s="32"/>
      <c r="E903" s="32"/>
    </row>
    <row r="904" spans="1:5">
      <c r="A904" s="67"/>
      <c r="B904" s="67"/>
      <c r="C904" s="32"/>
      <c r="D904" s="32"/>
      <c r="E904" s="32"/>
    </row>
    <row r="905" spans="1:5">
      <c r="A905" s="67"/>
      <c r="B905" s="67"/>
      <c r="C905" s="32"/>
      <c r="D905" s="32"/>
      <c r="E905" s="32"/>
    </row>
    <row r="906" spans="1:5">
      <c r="A906" s="67"/>
      <c r="B906" s="67"/>
      <c r="C906" s="32"/>
      <c r="D906" s="32"/>
      <c r="E906" s="32"/>
    </row>
    <row r="907" spans="1:5">
      <c r="A907" s="67"/>
      <c r="B907" s="67"/>
      <c r="C907" s="32"/>
      <c r="D907" s="32"/>
      <c r="E907" s="32"/>
    </row>
    <row r="908" spans="1:5">
      <c r="A908" s="67"/>
      <c r="B908" s="67"/>
      <c r="C908" s="32"/>
      <c r="D908" s="32"/>
      <c r="E908" s="32"/>
    </row>
    <row r="909" spans="1:5">
      <c r="A909" s="67"/>
      <c r="B909" s="67"/>
      <c r="C909" s="32"/>
      <c r="D909" s="32"/>
      <c r="E909" s="32"/>
    </row>
    <row r="910" spans="1:5">
      <c r="A910" s="67"/>
      <c r="B910" s="67"/>
      <c r="C910" s="32"/>
      <c r="D910" s="32"/>
      <c r="E910" s="32"/>
    </row>
    <row r="911" spans="1:5">
      <c r="A911" s="67"/>
      <c r="B911" s="67"/>
      <c r="C911" s="32"/>
      <c r="D911" s="32"/>
      <c r="E911" s="32"/>
    </row>
    <row r="912" spans="1:5">
      <c r="A912" s="67"/>
      <c r="B912" s="67"/>
      <c r="C912" s="32"/>
      <c r="D912" s="32"/>
      <c r="E912" s="32"/>
    </row>
    <row r="913" spans="1:5">
      <c r="A913" s="67"/>
      <c r="B913" s="67"/>
      <c r="C913" s="32"/>
      <c r="D913" s="32"/>
      <c r="E913" s="32"/>
    </row>
    <row r="914" spans="1:5">
      <c r="A914" s="67"/>
      <c r="B914" s="67"/>
      <c r="C914" s="32"/>
      <c r="D914" s="32"/>
      <c r="E914" s="32"/>
    </row>
    <row r="915" spans="1:5">
      <c r="A915" s="67"/>
      <c r="B915" s="67"/>
      <c r="C915" s="32"/>
      <c r="D915" s="32"/>
      <c r="E915" s="32"/>
    </row>
    <row r="916" spans="1:5">
      <c r="A916" s="67"/>
      <c r="B916" s="67"/>
      <c r="C916" s="32"/>
      <c r="D916" s="32"/>
      <c r="E916" s="32"/>
    </row>
    <row r="917" spans="1:5">
      <c r="A917" s="67"/>
      <c r="B917" s="67"/>
      <c r="C917" s="32"/>
      <c r="D917" s="32"/>
      <c r="E917" s="32"/>
    </row>
    <row r="918" spans="1:5">
      <c r="A918" s="67"/>
      <c r="B918" s="67"/>
      <c r="C918" s="32"/>
      <c r="D918" s="32"/>
      <c r="E918" s="32"/>
    </row>
    <row r="919" spans="1:5">
      <c r="A919" s="67"/>
      <c r="B919" s="67"/>
      <c r="C919" s="32"/>
      <c r="D919" s="32"/>
      <c r="E919" s="32"/>
    </row>
    <row r="920" spans="1:5">
      <c r="A920" s="67"/>
      <c r="B920" s="67"/>
      <c r="C920" s="32"/>
      <c r="D920" s="32"/>
      <c r="E920" s="32"/>
    </row>
    <row r="921" spans="1:5">
      <c r="A921" s="67"/>
      <c r="B921" s="67"/>
      <c r="C921" s="32"/>
      <c r="D921" s="32"/>
      <c r="E921" s="32"/>
    </row>
    <row r="922" spans="1:5">
      <c r="A922" s="67"/>
      <c r="B922" s="67"/>
      <c r="C922" s="32"/>
      <c r="D922" s="32"/>
      <c r="E922" s="32"/>
    </row>
    <row r="923" spans="1:5">
      <c r="A923" s="67"/>
      <c r="B923" s="67"/>
      <c r="C923" s="32"/>
      <c r="D923" s="32"/>
      <c r="E923" s="32"/>
    </row>
    <row r="924" spans="1:5">
      <c r="A924" s="67"/>
      <c r="B924" s="67"/>
      <c r="C924" s="32"/>
      <c r="D924" s="32"/>
      <c r="E924" s="32"/>
    </row>
    <row r="925" spans="1:5">
      <c r="A925" s="67"/>
      <c r="B925" s="67"/>
      <c r="C925" s="32"/>
      <c r="D925" s="32"/>
      <c r="E925" s="32"/>
    </row>
    <row r="926" spans="1:5">
      <c r="A926" s="67"/>
      <c r="B926" s="67"/>
      <c r="C926" s="32"/>
      <c r="D926" s="32"/>
      <c r="E926" s="32"/>
    </row>
    <row r="927" spans="1:5">
      <c r="A927" s="67"/>
      <c r="B927" s="67"/>
      <c r="C927" s="32"/>
      <c r="D927" s="32"/>
      <c r="E927" s="32"/>
    </row>
    <row r="928" spans="1:5">
      <c r="A928" s="67"/>
      <c r="B928" s="67"/>
      <c r="C928" s="32"/>
      <c r="D928" s="32"/>
      <c r="E928" s="32"/>
    </row>
    <row r="929" spans="1:5">
      <c r="A929" s="67"/>
      <c r="B929" s="67"/>
      <c r="C929" s="32"/>
      <c r="D929" s="32"/>
      <c r="E929" s="32"/>
    </row>
    <row r="930" spans="1:5">
      <c r="A930" s="67"/>
      <c r="B930" s="67"/>
      <c r="C930" s="32"/>
      <c r="D930" s="32"/>
      <c r="E930" s="32"/>
    </row>
    <row r="931" spans="1:5">
      <c r="A931" s="67"/>
      <c r="B931" s="67"/>
      <c r="C931" s="32"/>
      <c r="D931" s="32"/>
      <c r="E931" s="32"/>
    </row>
    <row r="932" spans="1:5">
      <c r="A932" s="67"/>
      <c r="B932" s="67"/>
      <c r="C932" s="32"/>
      <c r="D932" s="32"/>
      <c r="E932" s="32"/>
    </row>
    <row r="933" spans="1:5">
      <c r="A933" s="67"/>
      <c r="B933" s="67"/>
      <c r="C933" s="32"/>
      <c r="D933" s="32"/>
      <c r="E933" s="32"/>
    </row>
    <row r="934" spans="1:5">
      <c r="A934" s="67"/>
      <c r="B934" s="67"/>
      <c r="C934" s="32"/>
      <c r="D934" s="32"/>
      <c r="E934" s="32"/>
    </row>
    <row r="935" spans="1:5">
      <c r="A935" s="67"/>
      <c r="B935" s="67"/>
      <c r="C935" s="32"/>
      <c r="D935" s="32"/>
      <c r="E935" s="32"/>
    </row>
    <row r="936" spans="1:5">
      <c r="A936" s="67"/>
      <c r="B936" s="67"/>
      <c r="C936" s="32"/>
      <c r="D936" s="32"/>
      <c r="E936" s="32"/>
    </row>
    <row r="937" spans="1:5">
      <c r="A937" s="67"/>
      <c r="B937" s="67"/>
      <c r="C937" s="32"/>
      <c r="D937" s="32"/>
      <c r="E937" s="32"/>
    </row>
    <row r="938" spans="1:5">
      <c r="A938" s="67"/>
      <c r="B938" s="67"/>
      <c r="C938" s="32"/>
      <c r="D938" s="32"/>
      <c r="E938" s="32"/>
    </row>
    <row r="939" spans="1:5">
      <c r="A939" s="67"/>
      <c r="B939" s="67"/>
      <c r="C939" s="32"/>
      <c r="D939" s="32"/>
      <c r="E939" s="32"/>
    </row>
    <row r="940" spans="1:5">
      <c r="A940" s="67"/>
      <c r="B940" s="67"/>
      <c r="C940" s="32"/>
      <c r="D940" s="32"/>
      <c r="E940" s="32"/>
    </row>
    <row r="941" spans="1:5">
      <c r="A941" s="67"/>
      <c r="B941" s="67"/>
      <c r="C941" s="32"/>
      <c r="D941" s="32"/>
      <c r="E941" s="32"/>
    </row>
    <row r="942" spans="1:5">
      <c r="A942" s="67"/>
      <c r="B942" s="67"/>
      <c r="C942" s="32"/>
      <c r="D942" s="32"/>
      <c r="E942" s="32"/>
    </row>
    <row r="943" spans="1:5">
      <c r="A943" s="67"/>
      <c r="B943" s="67"/>
      <c r="C943" s="32"/>
      <c r="D943" s="32"/>
      <c r="E943" s="32"/>
    </row>
    <row r="944" spans="1:5">
      <c r="A944" s="67"/>
      <c r="B944" s="67"/>
      <c r="C944" s="32"/>
      <c r="D944" s="32"/>
      <c r="E944" s="32"/>
    </row>
    <row r="945" spans="1:5">
      <c r="A945" s="67"/>
      <c r="B945" s="67"/>
      <c r="C945" s="32"/>
      <c r="D945" s="32"/>
      <c r="E945" s="32"/>
    </row>
    <row r="946" spans="1:5">
      <c r="A946" s="67"/>
      <c r="B946" s="67"/>
      <c r="C946" s="32"/>
      <c r="D946" s="32"/>
      <c r="E946" s="32"/>
    </row>
    <row r="947" spans="1:5">
      <c r="A947" s="67"/>
      <c r="B947" s="67"/>
      <c r="C947" s="32"/>
      <c r="D947" s="32"/>
      <c r="E947" s="32"/>
    </row>
    <row r="948" spans="1:5">
      <c r="A948" s="67"/>
      <c r="B948" s="67"/>
      <c r="C948" s="32"/>
      <c r="D948" s="32"/>
      <c r="E948" s="32"/>
    </row>
    <row r="949" spans="1:5">
      <c r="A949" s="67"/>
      <c r="B949" s="67"/>
      <c r="C949" s="32"/>
      <c r="D949" s="32"/>
      <c r="E949" s="32"/>
    </row>
    <row r="950" spans="1:5">
      <c r="A950" s="67"/>
      <c r="B950" s="67"/>
      <c r="C950" s="32"/>
      <c r="D950" s="32"/>
      <c r="E950" s="32"/>
    </row>
    <row r="951" spans="1:5">
      <c r="A951" s="67"/>
      <c r="B951" s="67"/>
      <c r="C951" s="32"/>
      <c r="D951" s="32"/>
      <c r="E951" s="32"/>
    </row>
    <row r="952" spans="1:5">
      <c r="A952" s="67"/>
      <c r="B952" s="67"/>
      <c r="C952" s="32"/>
      <c r="D952" s="32"/>
      <c r="E952" s="32"/>
    </row>
    <row r="953" spans="1:5">
      <c r="A953" s="67"/>
      <c r="B953" s="67"/>
      <c r="C953" s="32"/>
      <c r="D953" s="32"/>
      <c r="E953" s="32"/>
    </row>
    <row r="954" spans="1:5">
      <c r="A954" s="67"/>
      <c r="B954" s="67"/>
      <c r="C954" s="32"/>
      <c r="D954" s="32"/>
      <c r="E954" s="32"/>
    </row>
    <row r="955" spans="1:5">
      <c r="A955" s="67"/>
      <c r="B955" s="67"/>
      <c r="C955" s="32"/>
      <c r="D955" s="32"/>
      <c r="E955" s="32"/>
    </row>
    <row r="956" spans="1:5">
      <c r="A956" s="67"/>
      <c r="B956" s="67"/>
      <c r="C956" s="32"/>
      <c r="D956" s="32"/>
      <c r="E956" s="32"/>
    </row>
    <row r="957" spans="1:5">
      <c r="A957" s="67"/>
      <c r="B957" s="67"/>
      <c r="C957" s="32"/>
      <c r="D957" s="32"/>
      <c r="E957" s="32"/>
    </row>
    <row r="958" spans="1:5">
      <c r="A958" s="67"/>
      <c r="B958" s="67"/>
      <c r="C958" s="32"/>
      <c r="D958" s="32"/>
      <c r="E958" s="32"/>
    </row>
    <row r="959" spans="1:5">
      <c r="A959" s="67"/>
      <c r="B959" s="67"/>
      <c r="C959" s="32"/>
      <c r="D959" s="32"/>
      <c r="E959" s="32"/>
    </row>
    <row r="960" spans="1:5">
      <c r="A960" s="67"/>
      <c r="B960" s="67"/>
      <c r="C960" s="32"/>
      <c r="D960" s="32"/>
      <c r="E960" s="32"/>
    </row>
    <row r="961" spans="1:5">
      <c r="A961" s="67"/>
      <c r="B961" s="67"/>
      <c r="C961" s="32"/>
      <c r="D961" s="32"/>
      <c r="E961" s="32"/>
    </row>
    <row r="962" spans="1:5">
      <c r="A962" s="67"/>
      <c r="B962" s="67"/>
      <c r="C962" s="32"/>
      <c r="D962" s="32"/>
      <c r="E962" s="32"/>
    </row>
    <row r="963" spans="1:5">
      <c r="A963" s="67"/>
      <c r="B963" s="67"/>
      <c r="C963" s="32"/>
      <c r="D963" s="32"/>
      <c r="E963" s="32"/>
    </row>
    <row r="964" spans="1:5">
      <c r="A964" s="67"/>
      <c r="B964" s="67"/>
      <c r="C964" s="32"/>
      <c r="D964" s="32"/>
      <c r="E964" s="32"/>
    </row>
    <row r="965" spans="1:5">
      <c r="A965" s="67"/>
      <c r="B965" s="67"/>
      <c r="C965" s="32"/>
      <c r="D965" s="32"/>
      <c r="E965" s="32"/>
    </row>
    <row r="966" spans="1:5">
      <c r="A966" s="67"/>
      <c r="B966" s="67"/>
      <c r="C966" s="32"/>
      <c r="D966" s="32"/>
      <c r="E966" s="32"/>
    </row>
    <row r="967" spans="1:5">
      <c r="A967" s="67"/>
      <c r="B967" s="67"/>
      <c r="C967" s="32"/>
      <c r="D967" s="32"/>
      <c r="E967" s="32"/>
    </row>
    <row r="968" spans="1:5">
      <c r="A968" s="67"/>
      <c r="B968" s="67"/>
      <c r="C968" s="32"/>
      <c r="D968" s="32"/>
      <c r="E968" s="32"/>
    </row>
    <row r="969" spans="1:5">
      <c r="A969" s="67"/>
      <c r="B969" s="67"/>
      <c r="C969" s="32"/>
      <c r="D969" s="32"/>
      <c r="E969" s="32"/>
    </row>
    <row r="970" spans="1:5">
      <c r="A970" s="67"/>
      <c r="B970" s="67"/>
      <c r="C970" s="32"/>
      <c r="D970" s="32"/>
      <c r="E970" s="32"/>
    </row>
    <row r="971" spans="1:5">
      <c r="A971" s="67"/>
      <c r="B971" s="67"/>
      <c r="C971" s="32"/>
      <c r="D971" s="32"/>
      <c r="E971" s="32"/>
    </row>
    <row r="972" spans="1:5">
      <c r="A972" s="67"/>
      <c r="B972" s="67"/>
      <c r="C972" s="32"/>
      <c r="D972" s="32"/>
      <c r="E972" s="32"/>
    </row>
    <row r="973" spans="1:5">
      <c r="A973" s="67"/>
      <c r="B973" s="67"/>
      <c r="C973" s="32"/>
      <c r="D973" s="32"/>
      <c r="E973" s="32"/>
    </row>
    <row r="974" spans="1:5">
      <c r="A974" s="67"/>
      <c r="B974" s="67"/>
      <c r="C974" s="32"/>
      <c r="D974" s="32"/>
      <c r="E974" s="32"/>
    </row>
    <row r="975" spans="1:5">
      <c r="A975" s="67"/>
      <c r="B975" s="67"/>
      <c r="C975" s="32"/>
      <c r="D975" s="32"/>
      <c r="E975" s="32"/>
    </row>
    <row r="976" spans="1:5">
      <c r="A976" s="67"/>
      <c r="B976" s="67"/>
      <c r="C976" s="32"/>
      <c r="D976" s="32"/>
      <c r="E976" s="32"/>
    </row>
    <row r="977" spans="1:5">
      <c r="A977" s="67"/>
      <c r="B977" s="67"/>
      <c r="C977" s="32"/>
      <c r="D977" s="32"/>
      <c r="E977" s="32"/>
    </row>
    <row r="978" spans="1:5">
      <c r="A978" s="67"/>
      <c r="B978" s="67"/>
      <c r="C978" s="32"/>
      <c r="D978" s="32"/>
      <c r="E978" s="32"/>
    </row>
    <row r="979" spans="1:5">
      <c r="A979" s="67"/>
      <c r="B979" s="67"/>
      <c r="C979" s="32"/>
      <c r="D979" s="32"/>
      <c r="E979" s="32"/>
    </row>
    <row r="980" spans="1:5">
      <c r="A980" s="67"/>
      <c r="B980" s="67"/>
      <c r="C980" s="32"/>
      <c r="D980" s="32"/>
      <c r="E980" s="32"/>
    </row>
    <row r="981" spans="1:5">
      <c r="A981" s="67"/>
      <c r="B981" s="67"/>
      <c r="C981" s="32"/>
      <c r="D981" s="32"/>
      <c r="E981" s="32"/>
    </row>
    <row r="982" spans="1:5">
      <c r="A982" s="67"/>
      <c r="B982" s="67"/>
      <c r="C982" s="32"/>
      <c r="D982" s="32"/>
      <c r="E982" s="32"/>
    </row>
    <row r="983" spans="1:5">
      <c r="A983" s="67"/>
      <c r="B983" s="67"/>
      <c r="C983" s="32"/>
      <c r="D983" s="32"/>
      <c r="E983" s="32"/>
    </row>
    <row r="984" spans="1:5">
      <c r="A984" s="67"/>
      <c r="B984" s="67"/>
      <c r="C984" s="32"/>
      <c r="D984" s="32"/>
      <c r="E984" s="32"/>
    </row>
    <row r="985" spans="1:5">
      <c r="A985" s="67"/>
      <c r="B985" s="67"/>
      <c r="C985" s="32"/>
      <c r="D985" s="32"/>
      <c r="E985" s="32"/>
    </row>
    <row r="986" spans="1:5">
      <c r="A986" s="67"/>
      <c r="B986" s="67"/>
      <c r="C986" s="32"/>
      <c r="D986" s="32"/>
      <c r="E986" s="32"/>
    </row>
    <row r="987" spans="1:5">
      <c r="A987" s="67"/>
      <c r="B987" s="67"/>
      <c r="C987" s="32"/>
      <c r="D987" s="32"/>
      <c r="E987" s="32"/>
    </row>
    <row r="988" spans="1:5">
      <c r="A988" s="67"/>
      <c r="B988" s="67"/>
      <c r="C988" s="32"/>
      <c r="D988" s="32"/>
      <c r="E988" s="32"/>
    </row>
    <row r="989" spans="1:5">
      <c r="A989" s="67"/>
      <c r="B989" s="67"/>
      <c r="C989" s="32"/>
      <c r="D989" s="32"/>
      <c r="E989" s="32"/>
    </row>
    <row r="990" spans="1:5">
      <c r="A990" s="67"/>
      <c r="B990" s="67"/>
      <c r="C990" s="32"/>
      <c r="D990" s="32"/>
      <c r="E990" s="32"/>
    </row>
    <row r="991" spans="1:5">
      <c r="A991" s="67"/>
      <c r="B991" s="67"/>
      <c r="C991" s="32"/>
      <c r="D991" s="32"/>
      <c r="E991" s="32"/>
    </row>
    <row r="992" spans="1:5">
      <c r="A992" s="67"/>
      <c r="B992" s="67"/>
      <c r="C992" s="32"/>
      <c r="D992" s="32"/>
      <c r="E992" s="32"/>
    </row>
    <row r="993" spans="1:5">
      <c r="A993" s="67"/>
      <c r="B993" s="67"/>
      <c r="C993" s="32"/>
      <c r="D993" s="32"/>
      <c r="E993" s="32"/>
    </row>
    <row r="994" spans="1:5">
      <c r="A994" s="67"/>
      <c r="B994" s="67"/>
      <c r="C994" s="32"/>
      <c r="D994" s="32"/>
      <c r="E994" s="32"/>
    </row>
    <row r="995" spans="1:5">
      <c r="A995" s="67"/>
      <c r="B995" s="67"/>
      <c r="C995" s="32"/>
      <c r="D995" s="32"/>
      <c r="E995" s="32"/>
    </row>
    <row r="996" spans="1:5">
      <c r="A996" s="67"/>
      <c r="B996" s="67"/>
      <c r="C996" s="32"/>
      <c r="D996" s="32"/>
      <c r="E996" s="32"/>
    </row>
    <row r="997" spans="1:5">
      <c r="A997" s="67"/>
      <c r="B997" s="67"/>
      <c r="C997" s="32"/>
      <c r="D997" s="32"/>
      <c r="E997" s="32"/>
    </row>
    <row r="998" spans="1:5">
      <c r="A998" s="67"/>
      <c r="B998" s="67"/>
      <c r="C998" s="32"/>
      <c r="D998" s="32"/>
      <c r="E998" s="32"/>
    </row>
    <row r="999" spans="1:5">
      <c r="A999" s="67"/>
      <c r="B999" s="67"/>
      <c r="C999" s="32"/>
      <c r="D999" s="32"/>
      <c r="E999" s="32"/>
    </row>
    <row r="1000" spans="1:5">
      <c r="A1000" s="67"/>
      <c r="B1000" s="67"/>
      <c r="C1000" s="32"/>
      <c r="D1000" s="32"/>
      <c r="E1000" s="32"/>
    </row>
    <row r="1001" spans="1:5">
      <c r="A1001" s="67"/>
      <c r="B1001" s="67"/>
      <c r="C1001" s="32"/>
      <c r="D1001" s="32"/>
      <c r="E1001" s="32"/>
    </row>
    <row r="1002" spans="1:5">
      <c r="A1002" s="67"/>
      <c r="B1002" s="67"/>
      <c r="C1002" s="32"/>
      <c r="D1002" s="32"/>
      <c r="E1002" s="32"/>
    </row>
    <row r="1003" spans="1:5">
      <c r="A1003" s="67"/>
      <c r="B1003" s="67"/>
      <c r="C1003" s="32"/>
      <c r="D1003" s="32"/>
      <c r="E1003" s="32"/>
    </row>
    <row r="1004" spans="1:5">
      <c r="A1004" s="67"/>
      <c r="B1004" s="67"/>
      <c r="C1004" s="32"/>
      <c r="D1004" s="32"/>
      <c r="E1004" s="32"/>
    </row>
    <row r="1005" spans="1:5">
      <c r="A1005" s="67"/>
      <c r="B1005" s="67"/>
      <c r="C1005" s="32"/>
      <c r="D1005" s="32"/>
      <c r="E1005" s="32"/>
    </row>
    <row r="1006" spans="1:5">
      <c r="A1006" s="67"/>
      <c r="B1006" s="67"/>
      <c r="C1006" s="32"/>
      <c r="D1006" s="32"/>
      <c r="E1006" s="32"/>
    </row>
    <row r="1007" spans="1:5">
      <c r="A1007" s="67"/>
      <c r="B1007" s="67"/>
      <c r="C1007" s="32"/>
      <c r="D1007" s="32"/>
      <c r="E1007" s="32"/>
    </row>
    <row r="1008" spans="1:5">
      <c r="A1008" s="67"/>
      <c r="B1008" s="67"/>
      <c r="C1008" s="32"/>
      <c r="D1008" s="32"/>
      <c r="E1008" s="32"/>
    </row>
    <row r="1009" spans="1:5">
      <c r="A1009" s="67"/>
      <c r="B1009" s="67"/>
      <c r="C1009" s="32"/>
      <c r="D1009" s="32"/>
      <c r="E1009" s="32"/>
    </row>
    <row r="1010" spans="1:5">
      <c r="A1010" s="67"/>
      <c r="B1010" s="67"/>
      <c r="C1010" s="32"/>
      <c r="D1010" s="32"/>
      <c r="E1010" s="32"/>
    </row>
    <row r="1011" spans="1:5">
      <c r="A1011" s="67"/>
      <c r="B1011" s="67"/>
      <c r="C1011" s="32"/>
      <c r="D1011" s="32"/>
      <c r="E1011" s="32"/>
    </row>
    <row r="1012" spans="1:5">
      <c r="A1012" s="67"/>
      <c r="B1012" s="67"/>
      <c r="C1012" s="32"/>
      <c r="D1012" s="32"/>
      <c r="E1012" s="32"/>
    </row>
    <row r="1013" spans="1:5">
      <c r="A1013" s="67"/>
      <c r="B1013" s="67"/>
      <c r="C1013" s="32"/>
      <c r="D1013" s="32"/>
      <c r="E1013" s="32"/>
    </row>
    <row r="1014" spans="1:5">
      <c r="A1014" s="67"/>
      <c r="B1014" s="67"/>
      <c r="C1014" s="32"/>
      <c r="D1014" s="32"/>
      <c r="E1014" s="32"/>
    </row>
    <row r="1015" spans="1:5">
      <c r="A1015" s="67"/>
      <c r="B1015" s="67"/>
      <c r="C1015" s="32"/>
      <c r="D1015" s="32"/>
      <c r="E1015" s="32"/>
    </row>
    <row r="1016" spans="1:5">
      <c r="A1016" s="67"/>
      <c r="B1016" s="67"/>
      <c r="C1016" s="32"/>
      <c r="D1016" s="32"/>
      <c r="E1016" s="32"/>
    </row>
    <row r="1017" spans="1:5">
      <c r="A1017" s="67"/>
      <c r="B1017" s="67"/>
      <c r="C1017" s="32"/>
      <c r="D1017" s="32"/>
      <c r="E1017" s="32"/>
    </row>
    <row r="1018" spans="1:5">
      <c r="A1018" s="67"/>
      <c r="B1018" s="67"/>
      <c r="C1018" s="32"/>
      <c r="D1018" s="32"/>
      <c r="E1018" s="32"/>
    </row>
    <row r="1019" spans="1:5">
      <c r="A1019" s="67"/>
      <c r="B1019" s="67"/>
      <c r="C1019" s="32"/>
      <c r="D1019" s="32"/>
      <c r="E1019" s="32"/>
    </row>
    <row r="1020" spans="1:5">
      <c r="A1020" s="67"/>
      <c r="B1020" s="67"/>
      <c r="C1020" s="32"/>
      <c r="D1020" s="32"/>
      <c r="E1020" s="32"/>
    </row>
    <row r="1021" spans="1:5">
      <c r="A1021" s="67"/>
      <c r="B1021" s="67"/>
      <c r="C1021" s="32"/>
      <c r="D1021" s="32"/>
      <c r="E1021" s="32"/>
    </row>
    <row r="1022" spans="1:5">
      <c r="A1022" s="67"/>
      <c r="B1022" s="67"/>
      <c r="C1022" s="32"/>
      <c r="D1022" s="32"/>
      <c r="E1022" s="32"/>
    </row>
    <row r="1023" spans="1:5">
      <c r="A1023" s="67"/>
      <c r="B1023" s="67"/>
      <c r="C1023" s="32"/>
      <c r="D1023" s="32"/>
      <c r="E1023" s="32"/>
    </row>
    <row r="1024" spans="1:5">
      <c r="A1024" s="67"/>
      <c r="B1024" s="67"/>
      <c r="C1024" s="32"/>
      <c r="D1024" s="32"/>
      <c r="E1024" s="32"/>
    </row>
    <row r="1025" spans="1:5">
      <c r="A1025" s="67"/>
      <c r="B1025" s="67"/>
      <c r="C1025" s="32"/>
      <c r="D1025" s="32"/>
      <c r="E1025" s="32"/>
    </row>
    <row r="1026" spans="1:5">
      <c r="A1026" s="67"/>
      <c r="B1026" s="67"/>
      <c r="C1026" s="32"/>
      <c r="D1026" s="32"/>
      <c r="E1026" s="32"/>
    </row>
    <row r="1027" spans="1:5">
      <c r="A1027" s="67"/>
      <c r="B1027" s="67"/>
      <c r="C1027" s="32"/>
      <c r="D1027" s="32"/>
      <c r="E1027" s="32"/>
    </row>
    <row r="1028" spans="1:5">
      <c r="A1028" s="67"/>
      <c r="B1028" s="67"/>
      <c r="C1028" s="32"/>
      <c r="D1028" s="32"/>
      <c r="E1028" s="32"/>
    </row>
    <row r="1029" spans="1:5">
      <c r="A1029" s="67"/>
      <c r="B1029" s="67"/>
      <c r="C1029" s="32"/>
      <c r="D1029" s="32"/>
      <c r="E1029" s="32"/>
    </row>
    <row r="1030" spans="1:5">
      <c r="A1030" s="67"/>
      <c r="B1030" s="67"/>
      <c r="C1030" s="32"/>
      <c r="D1030" s="32"/>
      <c r="E1030" s="32"/>
    </row>
    <row r="1031" spans="1:5">
      <c r="A1031" s="67"/>
      <c r="B1031" s="67"/>
      <c r="C1031" s="32"/>
      <c r="D1031" s="32"/>
      <c r="E1031" s="32"/>
    </row>
    <row r="1032" spans="1:5">
      <c r="A1032" s="67"/>
      <c r="B1032" s="67"/>
      <c r="C1032" s="32"/>
      <c r="D1032" s="32"/>
      <c r="E1032" s="32"/>
    </row>
    <row r="1033" spans="1:5">
      <c r="A1033" s="67"/>
      <c r="B1033" s="67"/>
      <c r="C1033" s="32"/>
      <c r="D1033" s="32"/>
      <c r="E1033" s="32"/>
    </row>
    <row r="1034" spans="1:5">
      <c r="A1034" s="67"/>
      <c r="B1034" s="67"/>
      <c r="C1034" s="32"/>
      <c r="D1034" s="32"/>
      <c r="E1034" s="32"/>
    </row>
    <row r="1035" spans="1:5">
      <c r="A1035" s="67"/>
      <c r="B1035" s="67"/>
      <c r="C1035" s="32"/>
      <c r="D1035" s="32"/>
      <c r="E1035" s="32"/>
    </row>
    <row r="1036" spans="1:5">
      <c r="A1036" s="67"/>
      <c r="B1036" s="67"/>
      <c r="C1036" s="32"/>
      <c r="D1036" s="32"/>
      <c r="E1036" s="32"/>
    </row>
    <row r="1037" spans="1:5">
      <c r="A1037" s="67"/>
      <c r="B1037" s="67"/>
      <c r="C1037" s="32"/>
      <c r="D1037" s="32"/>
      <c r="E1037" s="32"/>
    </row>
    <row r="1038" spans="1:5">
      <c r="A1038" s="67"/>
      <c r="B1038" s="67"/>
      <c r="C1038" s="32"/>
      <c r="D1038" s="32"/>
      <c r="E1038" s="32"/>
    </row>
    <row r="1039" spans="1:5">
      <c r="A1039" s="67"/>
      <c r="B1039" s="67"/>
      <c r="C1039" s="32"/>
      <c r="D1039" s="32"/>
      <c r="E1039" s="32"/>
    </row>
    <row r="1040" spans="1:5">
      <c r="A1040" s="67"/>
      <c r="B1040" s="67"/>
      <c r="C1040" s="32"/>
      <c r="D1040" s="32"/>
      <c r="E1040" s="32"/>
    </row>
    <row r="1041" spans="1:5">
      <c r="A1041" s="67"/>
      <c r="B1041" s="67"/>
      <c r="C1041" s="32"/>
      <c r="D1041" s="32"/>
      <c r="E1041" s="32"/>
    </row>
    <row r="1042" spans="1:5">
      <c r="A1042" s="67"/>
      <c r="B1042" s="67"/>
      <c r="C1042" s="32"/>
      <c r="D1042" s="32"/>
      <c r="E1042" s="32"/>
    </row>
    <row r="1043" spans="1:5">
      <c r="A1043" s="67"/>
      <c r="B1043" s="67"/>
      <c r="C1043" s="32"/>
      <c r="D1043" s="32"/>
      <c r="E1043" s="32"/>
    </row>
    <row r="1044" spans="1:5">
      <c r="A1044" s="67"/>
      <c r="B1044" s="67"/>
      <c r="C1044" s="32"/>
      <c r="D1044" s="32"/>
      <c r="E1044" s="32"/>
    </row>
    <row r="1045" spans="1:5">
      <c r="A1045" s="67"/>
      <c r="B1045" s="67"/>
      <c r="C1045" s="32"/>
      <c r="D1045" s="32"/>
      <c r="E1045" s="32"/>
    </row>
    <row r="1046" spans="1:5">
      <c r="A1046" s="67"/>
      <c r="B1046" s="67"/>
      <c r="C1046" s="32"/>
      <c r="D1046" s="32"/>
      <c r="E1046" s="32"/>
    </row>
    <row r="1047" spans="1:5">
      <c r="A1047" s="67"/>
      <c r="B1047" s="67"/>
      <c r="C1047" s="32"/>
      <c r="D1047" s="32"/>
      <c r="E1047" s="32"/>
    </row>
    <row r="1048" spans="1:5">
      <c r="A1048" s="67"/>
      <c r="B1048" s="67"/>
      <c r="C1048" s="32"/>
      <c r="D1048" s="32"/>
      <c r="E1048" s="32"/>
    </row>
    <row r="1049" spans="1:5">
      <c r="A1049" s="67"/>
      <c r="B1049" s="67"/>
      <c r="C1049" s="32"/>
      <c r="D1049" s="32"/>
      <c r="E1049" s="32"/>
    </row>
    <row r="1050" spans="1:5">
      <c r="A1050" s="67"/>
      <c r="B1050" s="67"/>
      <c r="C1050" s="32"/>
      <c r="D1050" s="32"/>
      <c r="E1050" s="32"/>
    </row>
    <row r="1051" spans="1:5">
      <c r="A1051" s="67"/>
      <c r="B1051" s="67"/>
      <c r="C1051" s="32"/>
      <c r="D1051" s="32"/>
      <c r="E1051" s="32"/>
    </row>
    <row r="1052" spans="1:5">
      <c r="A1052" s="67"/>
      <c r="B1052" s="67"/>
      <c r="C1052" s="32"/>
      <c r="D1052" s="32"/>
      <c r="E1052" s="32"/>
    </row>
    <row r="1053" spans="1:5">
      <c r="A1053" s="67"/>
      <c r="B1053" s="67"/>
      <c r="C1053" s="32"/>
      <c r="D1053" s="32"/>
      <c r="E1053" s="32"/>
    </row>
    <row r="1054" spans="1:5">
      <c r="A1054" s="67"/>
      <c r="B1054" s="67"/>
      <c r="C1054" s="32"/>
      <c r="D1054" s="32"/>
      <c r="E1054" s="32"/>
    </row>
    <row r="1055" spans="1:5">
      <c r="A1055" s="67"/>
      <c r="B1055" s="67"/>
      <c r="C1055" s="32"/>
      <c r="D1055" s="32"/>
      <c r="E1055" s="32"/>
    </row>
    <row r="1056" spans="1:5">
      <c r="A1056" s="67"/>
      <c r="B1056" s="67"/>
      <c r="C1056" s="32"/>
      <c r="D1056" s="32"/>
      <c r="E1056" s="32"/>
    </row>
    <row r="1057" spans="1:5">
      <c r="A1057" s="67"/>
      <c r="B1057" s="67"/>
      <c r="C1057" s="32"/>
      <c r="D1057" s="32"/>
      <c r="E1057" s="32"/>
    </row>
    <row r="1058" spans="1:5">
      <c r="A1058" s="67"/>
      <c r="B1058" s="67"/>
      <c r="C1058" s="32"/>
      <c r="D1058" s="32"/>
      <c r="E1058" s="32"/>
    </row>
    <row r="1059" spans="1:5">
      <c r="A1059" s="67"/>
      <c r="B1059" s="67"/>
      <c r="C1059" s="32"/>
      <c r="D1059" s="32"/>
      <c r="E1059" s="32"/>
    </row>
    <row r="1060" spans="1:5">
      <c r="A1060" s="67"/>
      <c r="B1060" s="67"/>
      <c r="C1060" s="32"/>
      <c r="D1060" s="32"/>
      <c r="E1060" s="32"/>
    </row>
    <row r="1061" spans="1:5">
      <c r="A1061" s="67"/>
      <c r="B1061" s="67"/>
      <c r="C1061" s="32"/>
      <c r="D1061" s="32"/>
      <c r="E1061" s="32"/>
    </row>
    <row r="1062" spans="1:5">
      <c r="A1062" s="67"/>
      <c r="B1062" s="67"/>
      <c r="C1062" s="32"/>
      <c r="D1062" s="32"/>
      <c r="E1062" s="32"/>
    </row>
    <row r="1063" spans="1:5">
      <c r="A1063" s="67"/>
      <c r="B1063" s="67"/>
      <c r="C1063" s="32"/>
      <c r="D1063" s="32"/>
      <c r="E1063" s="32"/>
    </row>
    <row r="1064" spans="1:5">
      <c r="A1064" s="67"/>
      <c r="B1064" s="67"/>
      <c r="C1064" s="32"/>
      <c r="D1064" s="32"/>
      <c r="E1064" s="32"/>
    </row>
    <row r="1065" spans="1:5">
      <c r="A1065" s="67"/>
      <c r="B1065" s="67"/>
      <c r="C1065" s="32"/>
      <c r="D1065" s="32"/>
      <c r="E1065" s="32"/>
    </row>
    <row r="1066" spans="1:5">
      <c r="A1066" s="67"/>
      <c r="B1066" s="67"/>
      <c r="C1066" s="32"/>
      <c r="D1066" s="32"/>
      <c r="E1066" s="32"/>
    </row>
    <row r="1067" spans="1:5">
      <c r="A1067" s="67"/>
      <c r="B1067" s="67"/>
      <c r="C1067" s="32"/>
      <c r="D1067" s="32"/>
      <c r="E1067" s="32"/>
    </row>
    <row r="1068" spans="1:5">
      <c r="A1068" s="67"/>
      <c r="B1068" s="67"/>
      <c r="C1068" s="32"/>
      <c r="D1068" s="32"/>
      <c r="E1068" s="32"/>
    </row>
    <row r="1069" spans="1:5">
      <c r="A1069" s="67"/>
      <c r="B1069" s="67"/>
      <c r="C1069" s="32"/>
      <c r="D1069" s="32"/>
      <c r="E1069" s="32"/>
    </row>
    <row r="1070" spans="1:5">
      <c r="A1070" s="67"/>
      <c r="B1070" s="67"/>
      <c r="C1070" s="32"/>
      <c r="D1070" s="32"/>
      <c r="E1070" s="32"/>
    </row>
    <row r="1071" spans="1:5">
      <c r="A1071" s="67"/>
      <c r="B1071" s="67"/>
      <c r="C1071" s="32"/>
      <c r="D1071" s="32"/>
      <c r="E1071" s="32"/>
    </row>
    <row r="1072" spans="1:5">
      <c r="A1072" s="67"/>
      <c r="B1072" s="67"/>
      <c r="C1072" s="32"/>
      <c r="D1072" s="32"/>
      <c r="E1072" s="32"/>
    </row>
    <row r="1073" spans="1:5">
      <c r="A1073" s="67"/>
      <c r="B1073" s="67"/>
      <c r="C1073" s="32"/>
      <c r="D1073" s="32"/>
      <c r="E1073" s="32"/>
    </row>
    <row r="1074" spans="1:5">
      <c r="A1074" s="67"/>
      <c r="B1074" s="67"/>
      <c r="C1074" s="32"/>
      <c r="D1074" s="32"/>
      <c r="E1074" s="32"/>
    </row>
    <row r="1075" spans="1:5">
      <c r="A1075" s="67"/>
      <c r="B1075" s="67"/>
      <c r="C1075" s="32"/>
      <c r="D1075" s="32"/>
      <c r="E1075" s="32"/>
    </row>
    <row r="1076" spans="1:5">
      <c r="A1076" s="67"/>
      <c r="B1076" s="67"/>
      <c r="C1076" s="32"/>
      <c r="D1076" s="32"/>
      <c r="E1076" s="32"/>
    </row>
    <row r="1077" spans="1:5">
      <c r="A1077" s="67"/>
      <c r="B1077" s="67"/>
      <c r="C1077" s="32"/>
      <c r="D1077" s="32"/>
      <c r="E1077" s="32"/>
    </row>
    <row r="1078" spans="1:5">
      <c r="A1078" s="67"/>
      <c r="B1078" s="67"/>
      <c r="C1078" s="32"/>
      <c r="D1078" s="32"/>
      <c r="E1078" s="32"/>
    </row>
    <row r="1079" spans="1:5">
      <c r="A1079" s="67"/>
      <c r="B1079" s="67"/>
      <c r="C1079" s="32"/>
      <c r="D1079" s="32"/>
      <c r="E1079" s="32"/>
    </row>
    <row r="1080" spans="1:5">
      <c r="A1080" s="67"/>
      <c r="B1080" s="67"/>
      <c r="C1080" s="32"/>
      <c r="D1080" s="32"/>
      <c r="E1080" s="32"/>
    </row>
    <row r="1081" spans="1:5">
      <c r="A1081" s="67"/>
      <c r="B1081" s="67"/>
      <c r="C1081" s="32"/>
      <c r="D1081" s="32"/>
      <c r="E1081" s="32"/>
    </row>
    <row r="1082" spans="1:5">
      <c r="A1082" s="67"/>
      <c r="B1082" s="67"/>
      <c r="C1082" s="32"/>
      <c r="D1082" s="32"/>
      <c r="E1082" s="32"/>
    </row>
    <row r="1083" spans="1:5">
      <c r="A1083" s="67"/>
      <c r="B1083" s="67"/>
      <c r="C1083" s="32"/>
      <c r="D1083" s="32"/>
      <c r="E1083" s="32"/>
    </row>
    <row r="1084" spans="1:5">
      <c r="A1084" s="67"/>
      <c r="B1084" s="67"/>
      <c r="C1084" s="32"/>
      <c r="D1084" s="32"/>
      <c r="E1084" s="32"/>
    </row>
    <row r="1085" spans="1:5">
      <c r="A1085" s="67"/>
      <c r="B1085" s="67"/>
      <c r="C1085" s="32"/>
      <c r="D1085" s="32"/>
      <c r="E1085" s="32"/>
    </row>
    <row r="1086" spans="1:5">
      <c r="A1086" s="67"/>
      <c r="B1086" s="67"/>
      <c r="C1086" s="32"/>
      <c r="D1086" s="32"/>
      <c r="E1086" s="32"/>
    </row>
    <row r="1087" spans="1:5">
      <c r="A1087" s="67"/>
      <c r="B1087" s="67"/>
      <c r="C1087" s="32"/>
      <c r="D1087" s="32"/>
      <c r="E1087" s="32"/>
    </row>
    <row r="1088" spans="1:5">
      <c r="A1088" s="67"/>
      <c r="B1088" s="67"/>
      <c r="C1088" s="32"/>
      <c r="D1088" s="32"/>
      <c r="E1088" s="32"/>
    </row>
    <row r="1089" spans="1:5">
      <c r="A1089" s="67"/>
      <c r="B1089" s="67"/>
      <c r="C1089" s="32"/>
      <c r="D1089" s="32"/>
      <c r="E1089" s="32"/>
    </row>
    <row r="1090" spans="1:5">
      <c r="A1090" s="67"/>
      <c r="B1090" s="67"/>
      <c r="C1090" s="32"/>
      <c r="D1090" s="32"/>
      <c r="E1090" s="32"/>
    </row>
    <row r="1091" spans="1:5">
      <c r="A1091" s="67"/>
      <c r="B1091" s="67"/>
      <c r="C1091" s="32"/>
      <c r="D1091" s="32"/>
      <c r="E1091" s="32"/>
    </row>
    <row r="1092" spans="1:5">
      <c r="A1092" s="67"/>
      <c r="B1092" s="67"/>
      <c r="C1092" s="32"/>
      <c r="D1092" s="32"/>
      <c r="E1092" s="32"/>
    </row>
    <row r="1093" spans="1:5">
      <c r="A1093" s="67"/>
      <c r="B1093" s="67"/>
      <c r="C1093" s="32"/>
      <c r="D1093" s="32"/>
      <c r="E1093" s="32"/>
    </row>
    <row r="1094" spans="1:5">
      <c r="A1094" s="67"/>
      <c r="B1094" s="67"/>
      <c r="C1094" s="32"/>
      <c r="D1094" s="32"/>
      <c r="E1094" s="32"/>
    </row>
    <row r="1095" spans="1:5">
      <c r="A1095" s="67"/>
      <c r="B1095" s="67"/>
      <c r="C1095" s="32"/>
      <c r="D1095" s="32"/>
      <c r="E1095" s="32"/>
    </row>
    <row r="1096" spans="1:5">
      <c r="A1096" s="67"/>
      <c r="B1096" s="67"/>
      <c r="C1096" s="32"/>
      <c r="D1096" s="32"/>
      <c r="E1096" s="32"/>
    </row>
    <row r="1097" spans="1:5">
      <c r="A1097" s="67"/>
      <c r="B1097" s="67"/>
      <c r="C1097" s="32"/>
      <c r="D1097" s="32"/>
      <c r="E1097" s="32"/>
    </row>
    <row r="1098" spans="1:5">
      <c r="A1098" s="67"/>
      <c r="B1098" s="67"/>
      <c r="C1098" s="32"/>
      <c r="D1098" s="32"/>
      <c r="E1098" s="32"/>
    </row>
    <row r="1099" spans="1:5">
      <c r="A1099" s="67"/>
      <c r="B1099" s="67"/>
      <c r="C1099" s="32"/>
      <c r="D1099" s="32"/>
      <c r="E1099" s="32"/>
    </row>
    <row r="1100" spans="1:5">
      <c r="A1100" s="67"/>
      <c r="B1100" s="67"/>
      <c r="C1100" s="32"/>
      <c r="D1100" s="32"/>
      <c r="E1100" s="32"/>
    </row>
    <row r="1101" spans="1:5">
      <c r="A1101" s="67"/>
      <c r="B1101" s="67"/>
      <c r="C1101" s="32"/>
      <c r="D1101" s="32"/>
      <c r="E1101" s="32"/>
    </row>
    <row r="1102" spans="1:5">
      <c r="A1102" s="67"/>
      <c r="B1102" s="67"/>
      <c r="C1102" s="32"/>
      <c r="D1102" s="32"/>
      <c r="E1102" s="32"/>
    </row>
    <row r="1103" spans="1:5">
      <c r="A1103" s="67"/>
      <c r="B1103" s="67"/>
      <c r="C1103" s="32"/>
      <c r="D1103" s="32"/>
      <c r="E1103" s="32"/>
    </row>
    <row r="1104" spans="1:5">
      <c r="A1104" s="67"/>
      <c r="B1104" s="67"/>
      <c r="C1104" s="32"/>
      <c r="D1104" s="32"/>
      <c r="E1104" s="32"/>
    </row>
    <row r="1105" spans="1:5">
      <c r="A1105" s="67"/>
      <c r="B1105" s="67"/>
      <c r="C1105" s="32"/>
      <c r="D1105" s="32"/>
      <c r="E1105" s="32"/>
    </row>
    <row r="1106" spans="1:5">
      <c r="A1106" s="67"/>
      <c r="B1106" s="67"/>
      <c r="C1106" s="32"/>
      <c r="D1106" s="32"/>
      <c r="E1106" s="32"/>
    </row>
    <row r="1107" spans="1:5">
      <c r="A1107" s="67"/>
      <c r="B1107" s="67"/>
      <c r="C1107" s="32"/>
      <c r="D1107" s="32"/>
      <c r="E1107" s="32"/>
    </row>
    <row r="1108" spans="1:5">
      <c r="A1108" s="67"/>
      <c r="B1108" s="67"/>
      <c r="C1108" s="32"/>
      <c r="D1108" s="32"/>
      <c r="E1108" s="32"/>
    </row>
    <row r="1109" spans="1:5">
      <c r="A1109" s="67"/>
      <c r="B1109" s="67"/>
      <c r="C1109" s="32"/>
      <c r="D1109" s="32"/>
      <c r="E1109" s="32"/>
    </row>
    <row r="1110" spans="1:5">
      <c r="A1110" s="67"/>
      <c r="B1110" s="67"/>
      <c r="C1110" s="32"/>
      <c r="D1110" s="32"/>
      <c r="E1110" s="32"/>
    </row>
    <row r="1111" spans="1:5">
      <c r="A1111" s="67"/>
      <c r="B1111" s="67"/>
      <c r="C1111" s="32"/>
      <c r="D1111" s="32"/>
      <c r="E1111" s="32"/>
    </row>
    <row r="1112" spans="1:5">
      <c r="A1112" s="67"/>
      <c r="B1112" s="67"/>
      <c r="C1112" s="32"/>
      <c r="D1112" s="32"/>
      <c r="E1112" s="32"/>
    </row>
    <row r="1113" spans="1:5">
      <c r="A1113" s="67"/>
      <c r="B1113" s="67"/>
      <c r="C1113" s="32"/>
      <c r="D1113" s="32"/>
      <c r="E1113" s="32"/>
    </row>
    <row r="1114" spans="1:5">
      <c r="A1114" s="67"/>
      <c r="B1114" s="67"/>
      <c r="C1114" s="32"/>
      <c r="D1114" s="32"/>
      <c r="E1114" s="32"/>
    </row>
    <row r="1115" spans="1:5">
      <c r="A1115" s="67"/>
      <c r="B1115" s="67"/>
      <c r="C1115" s="32"/>
      <c r="D1115" s="32"/>
      <c r="E1115" s="32"/>
    </row>
    <row r="1116" spans="1:5">
      <c r="A1116" s="67"/>
      <c r="B1116" s="67"/>
      <c r="C1116" s="32"/>
      <c r="D1116" s="32"/>
      <c r="E1116" s="32"/>
    </row>
    <row r="1117" spans="1:5">
      <c r="A1117" s="67"/>
      <c r="B1117" s="67"/>
      <c r="C1117" s="32"/>
      <c r="D1117" s="32"/>
      <c r="E1117" s="32"/>
    </row>
    <row r="1118" spans="1:5">
      <c r="A1118" s="67"/>
      <c r="B1118" s="67"/>
      <c r="C1118" s="32"/>
      <c r="D1118" s="32"/>
      <c r="E1118" s="32"/>
    </row>
    <row r="1119" spans="1:5">
      <c r="A1119" s="67"/>
      <c r="B1119" s="67"/>
      <c r="C1119" s="32"/>
      <c r="D1119" s="32"/>
      <c r="E1119" s="32"/>
    </row>
    <row r="1120" spans="1:5">
      <c r="A1120" s="67"/>
      <c r="B1120" s="67"/>
      <c r="C1120" s="32"/>
      <c r="D1120" s="32"/>
      <c r="E1120" s="32"/>
    </row>
    <row r="1121" spans="1:5">
      <c r="A1121" s="67"/>
      <c r="B1121" s="67"/>
      <c r="C1121" s="32"/>
      <c r="D1121" s="32"/>
      <c r="E1121" s="32"/>
    </row>
    <row r="1122" spans="1:5">
      <c r="A1122" s="67"/>
      <c r="B1122" s="67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N2"/>
  <sheetViews>
    <sheetView workbookViewId="0">
      <selection activeCell="E3" sqref="E3"/>
    </sheetView>
  </sheetViews>
  <sheetFormatPr defaultRowHeight="14"/>
  <cols>
    <col min="1" max="1" width="20.36328125" customWidth="1"/>
  </cols>
  <sheetData>
    <row r="1" spans="1:14">
      <c r="A1" s="89" t="s">
        <v>397</v>
      </c>
      <c r="B1" s="89" t="s">
        <v>475</v>
      </c>
      <c r="C1" s="89" t="s">
        <v>477</v>
      </c>
      <c r="D1" s="89" t="s">
        <v>478</v>
      </c>
      <c r="E1" s="89" t="s">
        <v>479</v>
      </c>
      <c r="F1" s="89" t="s">
        <v>347</v>
      </c>
      <c r="G1" s="89" t="s">
        <v>348</v>
      </c>
      <c r="H1" s="89" t="s">
        <v>480</v>
      </c>
      <c r="I1" s="89" t="s">
        <v>481</v>
      </c>
      <c r="J1" s="89" t="s">
        <v>482</v>
      </c>
      <c r="K1" s="89" t="s">
        <v>483</v>
      </c>
      <c r="L1" s="89" t="s">
        <v>484</v>
      </c>
      <c r="M1" s="89" t="s">
        <v>485</v>
      </c>
      <c r="N1" s="65"/>
    </row>
    <row r="2" spans="1:14">
      <c r="A2" s="74">
        <v>43609.539664351854</v>
      </c>
      <c r="B2" s="89" t="s">
        <v>476</v>
      </c>
      <c r="C2" s="65"/>
      <c r="D2" s="65"/>
      <c r="E2" s="65">
        <v>4.8913000000000002</v>
      </c>
      <c r="F2" s="65">
        <v>1.88215</v>
      </c>
      <c r="G2" s="65">
        <v>0.92558200000000002</v>
      </c>
      <c r="H2" s="65">
        <v>0</v>
      </c>
      <c r="I2" s="65">
        <v>53746</v>
      </c>
      <c r="J2" s="65">
        <v>62</v>
      </c>
      <c r="K2" s="65">
        <v>62</v>
      </c>
      <c r="L2" s="65">
        <v>0</v>
      </c>
      <c r="M2" s="89" t="s">
        <v>486</v>
      </c>
      <c r="N2" s="65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L100"/>
  <sheetViews>
    <sheetView workbookViewId="0">
      <selection activeCell="E6" sqref="E6"/>
    </sheetView>
  </sheetViews>
  <sheetFormatPr defaultColWidth="9.08984375" defaultRowHeight="14"/>
  <cols>
    <col min="1" max="1" width="9.08984375" style="69"/>
    <col min="2" max="2" width="28" style="69" customWidth="1"/>
    <col min="3" max="3" width="38.7265625" style="69" customWidth="1"/>
    <col min="4" max="4" width="15.7265625" style="69" customWidth="1"/>
    <col min="5" max="9" width="19.6328125" style="69" customWidth="1"/>
    <col min="10" max="12" width="9.08984375" style="69"/>
    <col min="13" max="16384" width="9.08984375" style="68"/>
  </cols>
  <sheetData>
    <row r="1" spans="1:9">
      <c r="A1" s="69">
        <f>IF(E2="","",1)</f>
        <v>1</v>
      </c>
      <c r="B1" s="69" t="s">
        <v>99</v>
      </c>
      <c r="C1" s="69" t="str">
        <f>IF(E1="","",HLOOKUP(FH_info!$M$2,lang!$E$1:$AA1,A1,FALSE))</f>
        <v>cn</v>
      </c>
      <c r="E1" s="69" t="s">
        <v>100</v>
      </c>
      <c r="F1" s="69" t="s">
        <v>102</v>
      </c>
      <c r="G1" s="69" t="s">
        <v>104</v>
      </c>
      <c r="H1" s="69" t="s">
        <v>103</v>
      </c>
      <c r="I1" s="69" t="s">
        <v>101</v>
      </c>
    </row>
    <row r="2" spans="1:9" ht="15" customHeight="1">
      <c r="A2" s="69">
        <f>IF(E2="","",A1+1)</f>
        <v>2</v>
      </c>
      <c r="B2" s="69" t="str">
        <f>IFERROR(C2,E2)</f>
        <v>心理生理状态分析结果</v>
      </c>
      <c r="C2" s="69" t="str">
        <f>IF(E2="","",HLOOKUP(FH_info!$M$2,lang!$E$1:$AA2,A2,FALSE))</f>
        <v>心理生理状态分析结果</v>
      </c>
      <c r="E2" s="69" t="s">
        <v>0</v>
      </c>
      <c r="F2" s="69" t="s">
        <v>105</v>
      </c>
      <c r="G2" s="69" t="s">
        <v>106</v>
      </c>
      <c r="H2" s="69" t="s">
        <v>107</v>
      </c>
      <c r="I2" s="69" t="s">
        <v>108</v>
      </c>
    </row>
    <row r="3" spans="1:9" ht="15.75" customHeight="1">
      <c r="A3" s="69">
        <f>IF(E3="","",A2+1)</f>
        <v>3</v>
      </c>
      <c r="B3" s="69" t="str">
        <f t="shared" ref="B3:B66" si="0">IFERROR(C3,E3)</f>
        <v>参数表</v>
      </c>
      <c r="C3" s="69" t="str">
        <f>IF(E3="","",HLOOKUP(FH_info!$M$2,lang!$E$1:$AA3,A3,FALSE))</f>
        <v>参数表</v>
      </c>
      <c r="E3" s="69" t="s">
        <v>28</v>
      </c>
      <c r="F3" s="69" t="s">
        <v>109</v>
      </c>
      <c r="G3" s="69" t="s">
        <v>113</v>
      </c>
      <c r="H3" s="69" t="s">
        <v>194</v>
      </c>
      <c r="I3" s="69" t="s">
        <v>195</v>
      </c>
    </row>
    <row r="4" spans="1:9" ht="28">
      <c r="A4" s="69">
        <f t="shared" ref="A4:A67" si="1">IF(E4="","",A3+1)</f>
        <v>4</v>
      </c>
      <c r="B4" s="69" t="str">
        <f t="shared" si="0"/>
        <v>情感状态分布图</v>
      </c>
      <c r="C4" s="69" t="str">
        <f>IF(E4="","",HLOOKUP(FH_info!$M$2,lang!$E$1:$AA4,A4,FALSE))</f>
        <v>情感状态分布图</v>
      </c>
      <c r="E4" s="69" t="s">
        <v>29</v>
      </c>
      <c r="F4" s="69" t="s">
        <v>110</v>
      </c>
      <c r="G4" s="69" t="s">
        <v>114</v>
      </c>
      <c r="H4" s="69" t="s">
        <v>196</v>
      </c>
      <c r="I4" s="69" t="s">
        <v>197</v>
      </c>
    </row>
    <row r="5" spans="1:9" ht="42">
      <c r="A5" s="69">
        <f t="shared" ref="A5:A9" si="2">IF(E5="","",A4+1)</f>
        <v>5</v>
      </c>
      <c r="B5" s="69" t="str">
        <f t="shared" si="0"/>
        <v>频率分布直方图</v>
      </c>
      <c r="C5" s="69" t="str">
        <f>IF(E5="","",HLOOKUP(FH_info!$M$2,lang!$E$1:$AA5,A5,FALSE))</f>
        <v>频率分布直方图</v>
      </c>
      <c r="E5" s="69" t="s">
        <v>289</v>
      </c>
      <c r="F5" s="69" t="s">
        <v>111</v>
      </c>
      <c r="G5" s="69" t="s">
        <v>115</v>
      </c>
      <c r="H5" s="69" t="s">
        <v>198</v>
      </c>
      <c r="I5" s="69" t="s">
        <v>200</v>
      </c>
    </row>
    <row r="6" spans="1:9" ht="56">
      <c r="A6" s="69">
        <f t="shared" si="2"/>
        <v>6</v>
      </c>
      <c r="B6" s="69" t="str">
        <f t="shared" si="0"/>
        <v xml:space="preserve">心理变化 - 心理基础代谢 </v>
      </c>
      <c r="C6" s="69" t="str">
        <f>IF(E6="","",HLOOKUP(FH_info!$M$2,lang!$E$1:$AA6,A6,FALSE))</f>
        <v xml:space="preserve">心理变化 - 心理基础代谢 </v>
      </c>
      <c r="E6" s="69" t="s">
        <v>36</v>
      </c>
      <c r="F6" s="69" t="s">
        <v>112</v>
      </c>
      <c r="G6" s="69" t="s">
        <v>116</v>
      </c>
      <c r="H6" s="69" t="s">
        <v>235</v>
      </c>
      <c r="I6" s="69" t="s">
        <v>199</v>
      </c>
    </row>
    <row r="7" spans="1:9" ht="28">
      <c r="A7" s="69">
        <f t="shared" si="2"/>
        <v>7</v>
      </c>
      <c r="B7" s="69" t="str">
        <f t="shared" si="0"/>
        <v>Positive</v>
      </c>
      <c r="C7" s="69" t="str">
        <f>IF(E7="","",HLOOKUP(FH_info!$M$2,lang!$E$1:$AA7,A7,FALSE))</f>
        <v>Positive</v>
      </c>
      <c r="E7" s="69" t="s">
        <v>33</v>
      </c>
      <c r="F7" s="69" t="s">
        <v>33</v>
      </c>
      <c r="G7" s="69" t="s">
        <v>261</v>
      </c>
      <c r="H7" s="69" t="s">
        <v>156</v>
      </c>
      <c r="I7" s="69" t="s">
        <v>153</v>
      </c>
    </row>
    <row r="8" spans="1:9" ht="28">
      <c r="A8" s="69">
        <f t="shared" si="2"/>
        <v>8</v>
      </c>
      <c r="B8" s="69" t="str">
        <f t="shared" si="0"/>
        <v>Negative</v>
      </c>
      <c r="C8" s="69" t="str">
        <f>IF(E8="","",HLOOKUP(FH_info!$M$2,lang!$E$1:$AA8,A8,FALSE))</f>
        <v>Negative</v>
      </c>
      <c r="E8" s="69" t="s">
        <v>34</v>
      </c>
      <c r="F8" s="69" t="s">
        <v>34</v>
      </c>
      <c r="G8" s="69" t="s">
        <v>262</v>
      </c>
      <c r="H8" s="69" t="s">
        <v>157</v>
      </c>
      <c r="I8" s="69" t="s">
        <v>154</v>
      </c>
    </row>
    <row r="9" spans="1:9" ht="28">
      <c r="A9" s="69">
        <f t="shared" si="2"/>
        <v>9</v>
      </c>
      <c r="B9" s="69" t="str">
        <f t="shared" si="0"/>
        <v>Physiological</v>
      </c>
      <c r="C9" s="69" t="str">
        <f>IF(E9="","",HLOOKUP(FH_info!$M$2,lang!$E$1:$AA9,A9,FALSE))</f>
        <v>Physiological</v>
      </c>
      <c r="E9" s="69" t="s">
        <v>35</v>
      </c>
      <c r="F9" s="69" t="s">
        <v>35</v>
      </c>
      <c r="G9" s="69" t="s">
        <v>263</v>
      </c>
      <c r="H9" s="69" t="s">
        <v>158</v>
      </c>
      <c r="I9" s="69" t="s">
        <v>155</v>
      </c>
    </row>
    <row r="10" spans="1:9" ht="30" customHeight="1">
      <c r="A10" s="69">
        <f t="shared" si="1"/>
        <v>10</v>
      </c>
      <c r="B10" s="69" t="str">
        <f t="shared" si="0"/>
        <v>平均频率</v>
      </c>
      <c r="C10" s="69" t="str">
        <f>IF(E10="","",HLOOKUP(FH_info!$M$2,lang!$E$1:$AA10,A10,FALSE))</f>
        <v>平均频率</v>
      </c>
      <c r="E10" s="69" t="s">
        <v>37</v>
      </c>
      <c r="F10" s="69" t="s">
        <v>117</v>
      </c>
      <c r="G10" s="69" t="s">
        <v>37</v>
      </c>
      <c r="H10" s="69" t="s">
        <v>138</v>
      </c>
      <c r="I10" s="69" t="s">
        <v>37</v>
      </c>
    </row>
    <row r="11" spans="1:9">
      <c r="A11" s="69">
        <f t="shared" si="1"/>
        <v>11</v>
      </c>
      <c r="B11" s="69" t="str">
        <f t="shared" si="0"/>
        <v>频率方差</v>
      </c>
      <c r="C11" s="69" t="str">
        <f>T(IF(E11="","",HLOOKUP(FH_info!$M$2,lang!$E$1:$AA11,A11,FALSE)))</f>
        <v>频率方差</v>
      </c>
      <c r="E11" s="69" t="s">
        <v>9</v>
      </c>
      <c r="F11" s="69" t="s">
        <v>118</v>
      </c>
      <c r="G11" s="69" t="s">
        <v>9</v>
      </c>
      <c r="H11" s="69" t="s">
        <v>139</v>
      </c>
      <c r="I11" s="69" t="s">
        <v>9</v>
      </c>
    </row>
    <row r="12" spans="1:9">
      <c r="A12" s="69">
        <f t="shared" si="1"/>
        <v>12</v>
      </c>
      <c r="B12" s="69" t="str">
        <f t="shared" si="0"/>
        <v>生理变化率</v>
      </c>
      <c r="C12" s="69" t="str">
        <f>T(IF(E12="","",HLOOKUP(FH_info!$M$2,lang!$E$1:$AA12,A12,FALSE)))</f>
        <v>生理变化率</v>
      </c>
      <c r="E12" s="69" t="s">
        <v>38</v>
      </c>
      <c r="F12" s="69" t="s">
        <v>119</v>
      </c>
      <c r="G12" s="69" t="s">
        <v>137</v>
      </c>
      <c r="H12" s="69" t="s">
        <v>236</v>
      </c>
      <c r="I12" s="69" t="s">
        <v>142</v>
      </c>
    </row>
    <row r="13" spans="1:9">
      <c r="A13" s="69">
        <f t="shared" si="1"/>
        <v>13</v>
      </c>
      <c r="B13" s="69" t="str">
        <f t="shared" si="0"/>
        <v>千卡l/分钟</v>
      </c>
      <c r="C13" s="69" t="str">
        <f>T(IF(E13="","",HLOOKUP(FH_info!$M$2,lang!$E$1:$AA13,A13,FALSE)))</f>
        <v>千卡l/分钟</v>
      </c>
      <c r="E13" s="69" t="s">
        <v>39</v>
      </c>
      <c r="F13" s="69" t="s">
        <v>120</v>
      </c>
      <c r="G13" s="69" t="s">
        <v>39</v>
      </c>
      <c r="H13" s="69" t="s">
        <v>140</v>
      </c>
      <c r="I13" s="69" t="s">
        <v>141</v>
      </c>
    </row>
    <row r="14" spans="1:9">
      <c r="A14" s="69">
        <f t="shared" si="1"/>
        <v>14</v>
      </c>
      <c r="B14" s="69" t="str">
        <f t="shared" si="0"/>
        <v>攻击性</v>
      </c>
      <c r="C14" s="69" t="str">
        <f>T(IF(E14="","",HLOOKUP(FH_info!$M$2,lang!$E$1:$AA14,A14,FALSE)))</f>
        <v>攻击性</v>
      </c>
      <c r="E14" s="69" t="s">
        <v>16</v>
      </c>
      <c r="F14" s="69" t="s">
        <v>121</v>
      </c>
      <c r="G14" s="69" t="s">
        <v>131</v>
      </c>
      <c r="H14" s="69" t="s">
        <v>159</v>
      </c>
      <c r="I14" s="69" t="s">
        <v>143</v>
      </c>
    </row>
    <row r="15" spans="1:9">
      <c r="A15" s="69">
        <f t="shared" si="1"/>
        <v>15</v>
      </c>
      <c r="B15" s="69" t="str">
        <f t="shared" si="0"/>
        <v>压力</v>
      </c>
      <c r="C15" s="69" t="str">
        <f>T(IF(E15="","",HLOOKUP(FH_info!$M$2,lang!$E$1:$AA15,A15,FALSE)))</f>
        <v>压力</v>
      </c>
      <c r="E15" s="69" t="s">
        <v>22</v>
      </c>
      <c r="F15" s="69" t="s">
        <v>122</v>
      </c>
      <c r="G15" s="69" t="s">
        <v>264</v>
      </c>
      <c r="H15" s="69" t="s">
        <v>160</v>
      </c>
      <c r="I15" s="69" t="s">
        <v>144</v>
      </c>
    </row>
    <row r="16" spans="1:9" ht="28">
      <c r="A16" s="69">
        <f t="shared" si="1"/>
        <v>16</v>
      </c>
      <c r="B16" s="69" t="str">
        <f t="shared" si="0"/>
        <v>焦虑</v>
      </c>
      <c r="C16" s="69" t="str">
        <f>T(IF(E16="","",HLOOKUP(FH_info!$M$2,lang!$E$1:$AA16,A16,FALSE)))</f>
        <v>焦虑</v>
      </c>
      <c r="E16" s="69" t="s">
        <v>23</v>
      </c>
      <c r="F16" s="69" t="s">
        <v>123</v>
      </c>
      <c r="G16" s="69" t="s">
        <v>132</v>
      </c>
      <c r="H16" s="69" t="s">
        <v>161</v>
      </c>
      <c r="I16" s="69" t="s">
        <v>145</v>
      </c>
    </row>
    <row r="17" spans="1:9">
      <c r="A17" s="69">
        <f t="shared" si="1"/>
        <v>17</v>
      </c>
      <c r="B17" s="69" t="str">
        <f t="shared" si="0"/>
        <v>可疑</v>
      </c>
      <c r="C17" s="69" t="str">
        <f>T(IF(E17="","",HLOOKUP(FH_info!$M$2,lang!$E$1:$AA17,A17,FALSE)))</f>
        <v>可疑</v>
      </c>
      <c r="E17" s="69" t="s">
        <v>24</v>
      </c>
      <c r="F17" s="69" t="s">
        <v>124</v>
      </c>
      <c r="G17" s="69" t="s">
        <v>133</v>
      </c>
      <c r="H17" s="69" t="s">
        <v>162</v>
      </c>
      <c r="I17" s="69" t="s">
        <v>146</v>
      </c>
    </row>
    <row r="18" spans="1:9" ht="28">
      <c r="A18" s="69">
        <f t="shared" si="1"/>
        <v>18</v>
      </c>
      <c r="B18" s="69" t="str">
        <f t="shared" si="0"/>
        <v>平衡</v>
      </c>
      <c r="C18" s="69" t="str">
        <f>T(IF(E18="","",HLOOKUP(FH_info!$M$2,lang!$E$1:$AA18,A18,FALSE)))</f>
        <v>平衡</v>
      </c>
      <c r="E18" s="69" t="s">
        <v>25</v>
      </c>
      <c r="F18" s="69" t="s">
        <v>125</v>
      </c>
      <c r="G18" s="69" t="s">
        <v>134</v>
      </c>
      <c r="H18" s="69" t="s">
        <v>163</v>
      </c>
      <c r="I18" s="69" t="s">
        <v>147</v>
      </c>
    </row>
    <row r="19" spans="1:9" ht="28">
      <c r="A19" s="69">
        <f t="shared" si="1"/>
        <v>19</v>
      </c>
      <c r="B19" s="69" t="str">
        <f t="shared" si="0"/>
        <v>自信</v>
      </c>
      <c r="C19" s="69" t="str">
        <f>T(IF(E19="","",HLOOKUP(FH_info!$M$2,lang!$E$1:$AA19,A19,FALSE)))</f>
        <v>自信</v>
      </c>
      <c r="E19" s="69" t="s">
        <v>26</v>
      </c>
      <c r="F19" s="69" t="s">
        <v>126</v>
      </c>
      <c r="G19" s="69" t="s">
        <v>135</v>
      </c>
      <c r="H19" s="69" t="s">
        <v>164</v>
      </c>
      <c r="I19" s="69" t="s">
        <v>148</v>
      </c>
    </row>
    <row r="20" spans="1:9" ht="28">
      <c r="A20" s="69">
        <f t="shared" si="1"/>
        <v>20</v>
      </c>
      <c r="B20" s="69" t="str">
        <f t="shared" si="0"/>
        <v>活力</v>
      </c>
      <c r="C20" s="69" t="str">
        <f>T(IF(E20="","",HLOOKUP(FH_info!$M$2,lang!$E$1:$AA20,A20,FALSE)))</f>
        <v>活力</v>
      </c>
      <c r="E20" s="69" t="s">
        <v>27</v>
      </c>
      <c r="F20" s="69" t="s">
        <v>127</v>
      </c>
      <c r="G20" s="69" t="s">
        <v>265</v>
      </c>
      <c r="H20" s="69" t="s">
        <v>165</v>
      </c>
      <c r="I20" s="69" t="s">
        <v>149</v>
      </c>
    </row>
    <row r="21" spans="1:9" ht="28">
      <c r="A21" s="69">
        <f t="shared" si="1"/>
        <v>21</v>
      </c>
      <c r="B21" s="69" t="str">
        <f t="shared" si="0"/>
        <v>自我调节</v>
      </c>
      <c r="C21" s="69" t="str">
        <f>T(IF(E21="","",HLOOKUP(FH_info!$M$2,lang!$E$1:$AA21,A21,FALSE)))</f>
        <v>自我调节</v>
      </c>
      <c r="E21" s="69" t="s">
        <v>30</v>
      </c>
      <c r="F21" s="69" t="s">
        <v>128</v>
      </c>
      <c r="G21" s="69" t="s">
        <v>136</v>
      </c>
      <c r="H21" s="69" t="s">
        <v>166</v>
      </c>
      <c r="I21" s="69" t="s">
        <v>150</v>
      </c>
    </row>
    <row r="22" spans="1:9" ht="28">
      <c r="A22" s="69">
        <f t="shared" si="1"/>
        <v>22</v>
      </c>
      <c r="B22" s="69" t="str">
        <f t="shared" si="0"/>
        <v>抑郁</v>
      </c>
      <c r="C22" s="69" t="str">
        <f>T(IF(E22="","",HLOOKUP(FH_info!$M$2,lang!$E$1:$AA22,A22,FALSE)))</f>
        <v>抑郁</v>
      </c>
      <c r="E22" s="69" t="s">
        <v>31</v>
      </c>
      <c r="F22" s="69" t="s">
        <v>129</v>
      </c>
      <c r="G22" s="69" t="s">
        <v>266</v>
      </c>
      <c r="H22" s="69" t="s">
        <v>167</v>
      </c>
      <c r="I22" s="69" t="s">
        <v>151</v>
      </c>
    </row>
    <row r="23" spans="1:9">
      <c r="A23" s="69">
        <f t="shared" si="1"/>
        <v>23</v>
      </c>
      <c r="B23" s="69" t="str">
        <f t="shared" si="0"/>
        <v>神经质</v>
      </c>
      <c r="C23" s="69" t="str">
        <f>T(IF(E23="","",HLOOKUP(FH_info!$M$2,lang!$E$1:$AA23,A23,FALSE)))</f>
        <v>神经质</v>
      </c>
      <c r="E23" s="69" t="s">
        <v>32</v>
      </c>
      <c r="F23" s="69" t="s">
        <v>130</v>
      </c>
      <c r="G23" s="69" t="s">
        <v>267</v>
      </c>
      <c r="H23" s="69" t="s">
        <v>168</v>
      </c>
      <c r="I23" s="69" t="s">
        <v>152</v>
      </c>
    </row>
    <row r="24" spans="1:9">
      <c r="A24" s="69">
        <f t="shared" si="1"/>
        <v>24</v>
      </c>
      <c r="B24" s="69" t="str">
        <f t="shared" si="0"/>
        <v>姓名</v>
      </c>
      <c r="C24" s="69" t="str">
        <f>T(IF(E24="","",HLOOKUP(FH_info!$M$2,lang!$E$1:$AA24,A24,FALSE)))</f>
        <v>姓名</v>
      </c>
      <c r="E24" s="69" t="s">
        <v>1</v>
      </c>
      <c r="F24" s="69" t="s">
        <v>169</v>
      </c>
      <c r="G24" s="69" t="s">
        <v>268</v>
      </c>
      <c r="H24" s="69" t="s">
        <v>215</v>
      </c>
      <c r="I24" s="69" t="s">
        <v>178</v>
      </c>
    </row>
    <row r="25" spans="1:9">
      <c r="A25" s="69">
        <f t="shared" si="1"/>
        <v>25</v>
      </c>
      <c r="B25" s="69" t="str">
        <f t="shared" si="0"/>
        <v>性别</v>
      </c>
      <c r="C25" s="69" t="str">
        <f>T(IF(E25="","",HLOOKUP(FH_info!$M$2,lang!$E$1:$AA25,A25,FALSE)))</f>
        <v>性别</v>
      </c>
      <c r="E25" s="69" t="s">
        <v>3</v>
      </c>
      <c r="F25" s="69" t="s">
        <v>170</v>
      </c>
      <c r="G25" s="69" t="s">
        <v>269</v>
      </c>
      <c r="H25" s="69" t="s">
        <v>216</v>
      </c>
      <c r="I25" s="69" t="s">
        <v>179</v>
      </c>
    </row>
    <row r="26" spans="1:9">
      <c r="A26" s="69">
        <f t="shared" si="1"/>
        <v>26</v>
      </c>
      <c r="B26" s="69" t="str">
        <f t="shared" si="0"/>
        <v>年龄</v>
      </c>
      <c r="C26" s="69" t="str">
        <f>T(IF(E26="","",HLOOKUP(FH_info!$M$2,lang!$E$1:$AA26,A26,FALSE)))</f>
        <v>年龄</v>
      </c>
      <c r="E26" s="69" t="s">
        <v>6</v>
      </c>
      <c r="F26" s="69" t="s">
        <v>171</v>
      </c>
      <c r="G26" s="69" t="s">
        <v>270</v>
      </c>
      <c r="H26" s="69" t="s">
        <v>217</v>
      </c>
      <c r="I26" s="69" t="s">
        <v>180</v>
      </c>
    </row>
    <row r="27" spans="1:9">
      <c r="A27" s="69">
        <f t="shared" si="1"/>
        <v>27</v>
      </c>
      <c r="B27" s="69" t="str">
        <f t="shared" si="0"/>
        <v>编号</v>
      </c>
      <c r="C27" s="69" t="str">
        <f>T(IF(E27="","",HLOOKUP(FH_info!$M$2,lang!$E$1:$AA27,A27,FALSE)))</f>
        <v>编号</v>
      </c>
      <c r="E27" s="69" t="s">
        <v>2</v>
      </c>
      <c r="F27" s="69" t="s">
        <v>172</v>
      </c>
      <c r="G27" s="69" t="s">
        <v>2</v>
      </c>
      <c r="H27" s="69" t="s">
        <v>2</v>
      </c>
      <c r="I27" s="69" t="s">
        <v>2</v>
      </c>
    </row>
    <row r="28" spans="1:9">
      <c r="A28" s="69">
        <f t="shared" si="1"/>
        <v>28</v>
      </c>
      <c r="B28" s="69" t="str">
        <f t="shared" si="0"/>
        <v xml:space="preserve"> 日期</v>
      </c>
      <c r="C28" s="69" t="str">
        <f>T(IF(E28="","",HLOOKUP(FH_info!$M$2,lang!$E$1:$AA28,A28,FALSE)))</f>
        <v xml:space="preserve"> 日期</v>
      </c>
      <c r="E28" s="69" t="s">
        <v>4</v>
      </c>
      <c r="F28" s="69" t="s">
        <v>173</v>
      </c>
      <c r="G28" s="69" t="s">
        <v>176</v>
      </c>
      <c r="H28" s="69" t="s">
        <v>218</v>
      </c>
      <c r="I28" s="69" t="s">
        <v>181</v>
      </c>
    </row>
    <row r="29" spans="1:9">
      <c r="A29" s="69">
        <f t="shared" si="1"/>
        <v>29</v>
      </c>
      <c r="B29" s="69" t="str">
        <f t="shared" si="0"/>
        <v>误差率（%）</v>
      </c>
      <c r="C29" s="69" t="str">
        <f>T(IF(E29="","",HLOOKUP(FH_info!$M$2,lang!$E$1:$AA29,A29,FALSE)))</f>
        <v>误差率（%）</v>
      </c>
      <c r="E29" s="69" t="s">
        <v>7</v>
      </c>
      <c r="F29" s="69" t="s">
        <v>174</v>
      </c>
      <c r="G29" s="69" t="s">
        <v>7</v>
      </c>
      <c r="H29" s="69" t="s">
        <v>7</v>
      </c>
      <c r="I29" s="69" t="s">
        <v>7</v>
      </c>
    </row>
    <row r="30" spans="1:9" ht="42">
      <c r="A30" s="69">
        <f t="shared" si="1"/>
        <v>30</v>
      </c>
      <c r="B30" s="69" t="str">
        <f t="shared" si="0"/>
        <v>10项参数结果</v>
      </c>
      <c r="C30" s="69" t="str">
        <f>T(IF(E30="","",HLOOKUP(FH_info!$M$2,lang!$E$1:$AA30,A30,FALSE)))</f>
        <v>10项参数结果</v>
      </c>
      <c r="E30" s="69" t="s">
        <v>15</v>
      </c>
      <c r="F30" s="69" t="s">
        <v>175</v>
      </c>
      <c r="G30" s="69" t="s">
        <v>177</v>
      </c>
      <c r="H30" s="69" t="s">
        <v>239</v>
      </c>
      <c r="I30" s="69" t="s">
        <v>182</v>
      </c>
    </row>
    <row r="31" spans="1:9" ht="15" customHeight="1">
      <c r="A31" s="69">
        <f t="shared" si="1"/>
        <v>31</v>
      </c>
      <c r="B31" s="69" t="str">
        <f t="shared" si="0"/>
        <v>Result [Quality</v>
      </c>
      <c r="C31" s="69" t="str">
        <f>T(IF(E31="","",HLOOKUP(FH_info!$M$2,lang!$E$1:$AA31,A31,FALSE)))</f>
        <v>Result [Quality</v>
      </c>
      <c r="E31" s="69" t="s">
        <v>183</v>
      </c>
      <c r="F31" s="69" t="s">
        <v>183</v>
      </c>
      <c r="G31" s="69" t="s">
        <v>271</v>
      </c>
      <c r="H31" s="69" t="s">
        <v>185</v>
      </c>
      <c r="I31" s="69" t="s">
        <v>184</v>
      </c>
    </row>
    <row r="32" spans="1:9" ht="28">
      <c r="A32" s="69">
        <f t="shared" si="1"/>
        <v>32</v>
      </c>
      <c r="B32" s="69" t="str">
        <f t="shared" si="0"/>
        <v>外向性</v>
      </c>
      <c r="C32" s="69" t="str">
        <f>T(IF(E32="","",HLOOKUP(FH_info!$M$2,lang!$E$1:$AA32,A32,FALSE)))</f>
        <v>外向性</v>
      </c>
      <c r="E32" s="69" t="s">
        <v>186</v>
      </c>
      <c r="F32" s="69" t="s">
        <v>188</v>
      </c>
      <c r="G32" s="69" t="s">
        <v>188</v>
      </c>
      <c r="H32" s="69" t="s">
        <v>238</v>
      </c>
      <c r="I32" s="69" t="s">
        <v>210</v>
      </c>
    </row>
    <row r="33" spans="1:9" ht="28">
      <c r="A33" s="69">
        <f t="shared" si="1"/>
        <v>33</v>
      </c>
      <c r="B33" s="69" t="str">
        <f t="shared" si="0"/>
        <v>稳定性</v>
      </c>
      <c r="C33" s="69" t="str">
        <f>T(IF(E33="","",HLOOKUP(FH_info!$M$2,lang!$E$1:$AA33,A33,FALSE)))</f>
        <v>稳定性</v>
      </c>
      <c r="E33" s="69" t="s">
        <v>187</v>
      </c>
      <c r="F33" s="69" t="s">
        <v>189</v>
      </c>
      <c r="G33" s="69" t="s">
        <v>201</v>
      </c>
      <c r="H33" s="69" t="s">
        <v>237</v>
      </c>
      <c r="I33" s="69" t="s">
        <v>211</v>
      </c>
    </row>
    <row r="34" spans="1:9" ht="42">
      <c r="A34" s="69">
        <f t="shared" si="1"/>
        <v>34</v>
      </c>
      <c r="B34" s="69" t="str">
        <f t="shared" si="0"/>
        <v xml:space="preserve">心理生理状态分析结果： </v>
      </c>
      <c r="C34" s="69" t="str">
        <f>T(IF(E34="","",HLOOKUP(FH_info!$M$2,lang!$E$1:$AA34,A34,FALSE)))</f>
        <v xml:space="preserve">心理生理状态分析结果： </v>
      </c>
      <c r="E34" s="69" t="s">
        <v>40</v>
      </c>
      <c r="F34" s="69" t="s">
        <v>190</v>
      </c>
      <c r="G34" s="69" t="s">
        <v>202</v>
      </c>
      <c r="H34" s="69" t="s">
        <v>205</v>
      </c>
      <c r="I34" s="69" t="s">
        <v>209</v>
      </c>
    </row>
    <row r="35" spans="1:9" ht="42">
      <c r="A35" s="69">
        <f t="shared" si="1"/>
        <v>35</v>
      </c>
      <c r="B35" s="69" t="str">
        <f t="shared" si="0"/>
        <v xml:space="preserve"> 正常</v>
      </c>
      <c r="C35" s="69" t="str">
        <f>T(IF(E35="","",HLOOKUP(FH_info!$M$2,lang!$E$1:$AA35,A35,FALSE)))</f>
        <v xml:space="preserve"> 正常</v>
      </c>
      <c r="E35" s="69" t="s">
        <v>41</v>
      </c>
      <c r="F35" s="69" t="s">
        <v>191</v>
      </c>
      <c r="G35" s="69" t="s">
        <v>203</v>
      </c>
      <c r="H35" s="69" t="s">
        <v>206</v>
      </c>
      <c r="I35" s="69" t="s">
        <v>212</v>
      </c>
    </row>
    <row r="36" spans="1:9" ht="70">
      <c r="A36" s="69">
        <f t="shared" si="1"/>
        <v>36</v>
      </c>
      <c r="B36" s="69" t="str">
        <f t="shared" si="0"/>
        <v>找专业人员咨询</v>
      </c>
      <c r="C36" s="69" t="str">
        <f>T(IF(E36="","",HLOOKUP(FH_info!$M$2,lang!$E$1:$AA36,A36,FALSE)))</f>
        <v>找专业人员咨询</v>
      </c>
      <c r="E36" s="69" t="s">
        <v>42</v>
      </c>
      <c r="F36" s="69" t="s">
        <v>192</v>
      </c>
      <c r="G36" s="69" t="s">
        <v>204</v>
      </c>
      <c r="H36" s="69" t="s">
        <v>207</v>
      </c>
      <c r="I36" s="69" t="s">
        <v>213</v>
      </c>
    </row>
    <row r="37" spans="1:9" ht="28">
      <c r="A37" s="69">
        <f t="shared" si="1"/>
        <v>37</v>
      </c>
      <c r="B37" s="69" t="str">
        <f t="shared" si="0"/>
        <v>意见</v>
      </c>
      <c r="C37" s="69" t="str">
        <f>T(IF(E37="","",HLOOKUP(FH_info!$M$2,lang!$E$1:$AA37,A37,FALSE)))</f>
        <v>意见</v>
      </c>
      <c r="E37" s="69" t="s">
        <v>43</v>
      </c>
      <c r="F37" s="69" t="s">
        <v>193</v>
      </c>
      <c r="G37" s="69" t="s">
        <v>278</v>
      </c>
      <c r="H37" s="69" t="s">
        <v>208</v>
      </c>
      <c r="I37" s="69" t="s">
        <v>214</v>
      </c>
    </row>
    <row r="38" spans="1:9">
      <c r="A38" s="69">
        <f t="shared" si="1"/>
        <v>38</v>
      </c>
      <c r="B38" s="69" t="str">
        <f t="shared" si="0"/>
        <v>Parameter</v>
      </c>
      <c r="C38" s="69" t="str">
        <f>T(IF(E38="","",HLOOKUP(FH_info!$M$2,lang!$E$1:$AA38,A38,FALSE)))</f>
        <v>Parameter</v>
      </c>
      <c r="E38" s="69" t="s">
        <v>17</v>
      </c>
      <c r="F38" s="69" t="s">
        <v>17</v>
      </c>
      <c r="G38" s="69" t="s">
        <v>272</v>
      </c>
      <c r="H38" s="69" t="s">
        <v>223</v>
      </c>
      <c r="I38" s="69" t="s">
        <v>219</v>
      </c>
    </row>
    <row r="39" spans="1:9">
      <c r="A39" s="69">
        <f t="shared" si="1"/>
        <v>39</v>
      </c>
      <c r="B39" s="69" t="str">
        <f t="shared" ref="B39:B49" si="3">IFERROR(C39,E39)</f>
        <v>Min</v>
      </c>
      <c r="C39" s="69" t="str">
        <f>T(IF(E39="","",HLOOKUP(FH_info!$M$2,lang!$E$1:$AA39,A39,FALSE)))</f>
        <v>Min</v>
      </c>
      <c r="E39" s="69" t="s">
        <v>18</v>
      </c>
      <c r="F39" s="69" t="s">
        <v>18</v>
      </c>
      <c r="G39" s="69" t="s">
        <v>273</v>
      </c>
      <c r="H39" s="69" t="s">
        <v>224</v>
      </c>
      <c r="I39" s="69" t="s">
        <v>220</v>
      </c>
    </row>
    <row r="40" spans="1:9">
      <c r="A40" s="69">
        <f t="shared" si="1"/>
        <v>40</v>
      </c>
      <c r="B40" s="69" t="str">
        <f t="shared" si="3"/>
        <v>Avg</v>
      </c>
      <c r="C40" s="69" t="str">
        <f>T(IF(E40="","",HLOOKUP(FH_info!$M$2,lang!$E$1:$AA40,A40,FALSE)))</f>
        <v>Avg</v>
      </c>
      <c r="E40" s="69" t="s">
        <v>19</v>
      </c>
      <c r="F40" s="69" t="s">
        <v>19</v>
      </c>
      <c r="G40" s="69" t="s">
        <v>274</v>
      </c>
      <c r="H40" s="69" t="s">
        <v>225</v>
      </c>
      <c r="I40" s="69" t="s">
        <v>221</v>
      </c>
    </row>
    <row r="41" spans="1:9">
      <c r="A41" s="69">
        <f t="shared" si="1"/>
        <v>41</v>
      </c>
      <c r="B41" s="69" t="str">
        <f t="shared" si="3"/>
        <v>Max</v>
      </c>
      <c r="C41" s="69" t="str">
        <f>T(IF(E41="","",HLOOKUP(FH_info!$M$2,lang!$E$1:$AA41,A41,FALSE)))</f>
        <v>Max</v>
      </c>
      <c r="E41" s="69" t="s">
        <v>20</v>
      </c>
      <c r="F41" s="69" t="s">
        <v>20</v>
      </c>
      <c r="G41" s="69" t="s">
        <v>275</v>
      </c>
      <c r="H41" s="69" t="s">
        <v>226</v>
      </c>
      <c r="I41" s="69" t="s">
        <v>222</v>
      </c>
    </row>
    <row r="42" spans="1:9">
      <c r="A42" s="69">
        <f t="shared" si="1"/>
        <v>42</v>
      </c>
      <c r="B42" s="69" t="str">
        <f t="shared" si="3"/>
        <v>Vi</v>
      </c>
      <c r="C42" s="69" t="str">
        <f>T(IF(E42="","",HLOOKUP(FH_info!$M$2,lang!$E$1:$AA42,A42,FALSE)))</f>
        <v>Vi</v>
      </c>
      <c r="E42" s="69" t="s">
        <v>21</v>
      </c>
      <c r="F42" s="69" t="s">
        <v>21</v>
      </c>
      <c r="G42" s="69" t="s">
        <v>21</v>
      </c>
      <c r="H42" s="69" t="s">
        <v>227</v>
      </c>
      <c r="I42" s="69" t="s">
        <v>21</v>
      </c>
    </row>
    <row r="43" spans="1:9">
      <c r="A43" s="69">
        <f t="shared" si="1"/>
        <v>43</v>
      </c>
      <c r="B43" s="69" t="str">
        <f t="shared" si="3"/>
        <v>M</v>
      </c>
      <c r="C43" s="69" t="str">
        <f>T(IF(E43="","",HLOOKUP(FH_info!$M$2,lang!$E$1:$AA43,A43,FALSE)))</f>
        <v>M</v>
      </c>
      <c r="E43" s="69" t="s">
        <v>8</v>
      </c>
      <c r="F43" s="69" t="s">
        <v>8</v>
      </c>
      <c r="G43" s="69" t="s">
        <v>276</v>
      </c>
      <c r="H43" s="69" t="s">
        <v>228</v>
      </c>
      <c r="I43" s="69" t="s">
        <v>8</v>
      </c>
    </row>
    <row r="44" spans="1:9">
      <c r="A44" s="69">
        <f t="shared" si="1"/>
        <v>44</v>
      </c>
      <c r="B44" s="69" t="str">
        <f t="shared" si="3"/>
        <v>S</v>
      </c>
      <c r="C44" s="69" t="str">
        <f>T(IF(E44="","",HLOOKUP(FH_info!$M$2,lang!$E$1:$AA44,A44,FALSE)))</f>
        <v>S</v>
      </c>
      <c r="E44" s="69" t="s">
        <v>9</v>
      </c>
      <c r="F44" s="69" t="s">
        <v>9</v>
      </c>
      <c r="G44" s="69" t="s">
        <v>9</v>
      </c>
      <c r="H44" s="69" t="s">
        <v>229</v>
      </c>
      <c r="I44" s="69" t="s">
        <v>9</v>
      </c>
    </row>
    <row r="45" spans="1:9">
      <c r="A45" s="69">
        <f t="shared" si="1"/>
        <v>45</v>
      </c>
      <c r="B45" s="69" t="str">
        <f t="shared" si="3"/>
        <v>Vi (S/M)</v>
      </c>
      <c r="C45" s="69" t="str">
        <f>T(IF(E45="","",HLOOKUP(FH_info!$M$2,lang!$E$1:$AA45,A45,FALSE)))</f>
        <v>Vi (S/M)</v>
      </c>
      <c r="E45" s="69" t="s">
        <v>10</v>
      </c>
      <c r="F45" s="69" t="s">
        <v>10</v>
      </c>
      <c r="G45" s="69" t="s">
        <v>10</v>
      </c>
      <c r="H45" s="69" t="s">
        <v>230</v>
      </c>
      <c r="I45" s="69" t="s">
        <v>10</v>
      </c>
    </row>
    <row r="46" spans="1:9">
      <c r="A46" s="69">
        <f t="shared" si="1"/>
        <v>46</v>
      </c>
      <c r="B46" s="69" t="str">
        <f t="shared" si="3"/>
        <v>bMin</v>
      </c>
      <c r="C46" s="69" t="str">
        <f>T(IF(E46="","",HLOOKUP(FH_info!$M$2,lang!$E$1:$AA46,A46,FALSE)))</f>
        <v>bMin</v>
      </c>
      <c r="E46" s="69" t="s">
        <v>11</v>
      </c>
      <c r="F46" s="69" t="s">
        <v>11</v>
      </c>
      <c r="G46" s="69" t="s">
        <v>11</v>
      </c>
      <c r="H46" s="69" t="s">
        <v>231</v>
      </c>
      <c r="I46" s="69" t="s">
        <v>11</v>
      </c>
    </row>
    <row r="47" spans="1:9">
      <c r="A47" s="69">
        <f t="shared" si="1"/>
        <v>47</v>
      </c>
      <c r="B47" s="69" t="str">
        <f t="shared" si="3"/>
        <v>cMin</v>
      </c>
      <c r="C47" s="69" t="str">
        <f>T(IF(E47="","",HLOOKUP(FH_info!$M$2,lang!$E$1:$AA47,A47,FALSE)))</f>
        <v>cMin</v>
      </c>
      <c r="E47" s="69" t="s">
        <v>12</v>
      </c>
      <c r="F47" s="69" t="s">
        <v>12</v>
      </c>
      <c r="G47" s="69" t="s">
        <v>12</v>
      </c>
      <c r="H47" s="69" t="s">
        <v>232</v>
      </c>
      <c r="I47" s="69" t="s">
        <v>12</v>
      </c>
    </row>
    <row r="48" spans="1:9">
      <c r="A48" s="69">
        <f t="shared" si="1"/>
        <v>48</v>
      </c>
      <c r="B48" s="69" t="str">
        <f t="shared" si="3"/>
        <v>bMax</v>
      </c>
      <c r="C48" s="69" t="str">
        <f>T(IF(E48="","",HLOOKUP(FH_info!$M$2,lang!$E$1:$AA48,A48,FALSE)))</f>
        <v>bMax</v>
      </c>
      <c r="E48" s="69" t="s">
        <v>13</v>
      </c>
      <c r="F48" s="69" t="s">
        <v>13</v>
      </c>
      <c r="G48" s="69" t="s">
        <v>13</v>
      </c>
      <c r="H48" s="69" t="s">
        <v>233</v>
      </c>
      <c r="I48" s="69" t="s">
        <v>13</v>
      </c>
    </row>
    <row r="49" spans="1:9">
      <c r="A49" s="69">
        <f t="shared" si="1"/>
        <v>49</v>
      </c>
      <c r="B49" s="69" t="str">
        <f t="shared" si="3"/>
        <v>cMax</v>
      </c>
      <c r="C49" s="69" t="str">
        <f>T(IF(E49="","",HLOOKUP(FH_info!$M$2,lang!$E$1:$AA49,A49,FALSE)))</f>
        <v>cMax</v>
      </c>
      <c r="E49" s="69" t="s">
        <v>14</v>
      </c>
      <c r="F49" s="69" t="s">
        <v>14</v>
      </c>
      <c r="G49" s="69" t="s">
        <v>14</v>
      </c>
      <c r="H49" s="69" t="s">
        <v>234</v>
      </c>
      <c r="I49" s="69" t="s">
        <v>14</v>
      </c>
    </row>
    <row r="50" spans="1:9">
      <c r="A50" s="69">
        <f t="shared" si="1"/>
        <v>50</v>
      </c>
      <c r="B50" s="69" t="str">
        <f t="shared" si="0"/>
        <v>Sat</v>
      </c>
      <c r="C50" s="69" t="str">
        <f>T(IF(E50="","",HLOOKUP(FH_info!$M$2,lang!$E$1:$AA50,A50,FALSE)))</f>
        <v>Sat</v>
      </c>
      <c r="E50" s="69" t="s">
        <v>279</v>
      </c>
      <c r="F50" s="69" t="s">
        <v>279</v>
      </c>
      <c r="G50" s="69" t="s">
        <v>279</v>
      </c>
      <c r="H50" s="69" t="s">
        <v>279</v>
      </c>
      <c r="I50" s="69" t="s">
        <v>280</v>
      </c>
    </row>
    <row r="51" spans="1:9">
      <c r="A51" s="69" t="str">
        <f t="shared" si="1"/>
        <v/>
      </c>
      <c r="B51" s="69" t="str">
        <f t="shared" si="0"/>
        <v/>
      </c>
      <c r="C51" s="69" t="str">
        <f>T(IF(E51="","",HLOOKUP(FH_info!$M$2,lang!$E$1:$AA51,A51,FALSE)))</f>
        <v/>
      </c>
    </row>
    <row r="52" spans="1:9">
      <c r="A52" s="69" t="str">
        <f t="shared" si="1"/>
        <v/>
      </c>
      <c r="B52" s="69" t="str">
        <f t="shared" si="0"/>
        <v/>
      </c>
      <c r="C52" s="69" t="str">
        <f>T(IF(E52="","",HLOOKUP(FH_info!$M$2,lang!$E$1:$AA52,A52,FALSE)))</f>
        <v/>
      </c>
    </row>
    <row r="53" spans="1:9">
      <c r="A53" s="69" t="str">
        <f t="shared" si="1"/>
        <v/>
      </c>
      <c r="B53" s="69" t="str">
        <f t="shared" si="0"/>
        <v/>
      </c>
      <c r="C53" s="69" t="str">
        <f>T(IF(E53="","",HLOOKUP(FH_info!$M$2,lang!$E$1:$AA53,A53,FALSE)))</f>
        <v/>
      </c>
    </row>
    <row r="54" spans="1:9">
      <c r="A54" s="69" t="str">
        <f t="shared" si="1"/>
        <v/>
      </c>
      <c r="B54" s="69" t="str">
        <f t="shared" si="0"/>
        <v/>
      </c>
      <c r="C54" s="69" t="str">
        <f>T(IF(E54="","",HLOOKUP(FH_info!$M$2,lang!$E$1:$AA54,A54,FALSE)))</f>
        <v/>
      </c>
    </row>
    <row r="55" spans="1:9">
      <c r="A55" s="69" t="str">
        <f t="shared" si="1"/>
        <v/>
      </c>
      <c r="B55" s="69" t="str">
        <f t="shared" si="0"/>
        <v/>
      </c>
      <c r="C55" s="69" t="str">
        <f>T(IF(E55="","",HLOOKUP(FH_info!$M$2,lang!$E$1:$AA55,A55,FALSE)))</f>
        <v/>
      </c>
    </row>
    <row r="56" spans="1:9">
      <c r="A56" s="69" t="str">
        <f t="shared" si="1"/>
        <v/>
      </c>
      <c r="B56" s="69" t="str">
        <f t="shared" si="0"/>
        <v/>
      </c>
      <c r="C56" s="69" t="str">
        <f>T(IF(E56="","",HLOOKUP(FH_info!$M$2,lang!$E$1:$AA56,A56,FALSE)))</f>
        <v/>
      </c>
    </row>
    <row r="57" spans="1:9">
      <c r="A57" s="69" t="str">
        <f t="shared" si="1"/>
        <v/>
      </c>
      <c r="B57" s="69" t="str">
        <f t="shared" si="0"/>
        <v/>
      </c>
      <c r="C57" s="69" t="str">
        <f>T(IF(E57="","",HLOOKUP(FH_info!$M$2,lang!$E$1:$AA57,A57,FALSE)))</f>
        <v/>
      </c>
    </row>
    <row r="58" spans="1:9">
      <c r="A58" s="69" t="str">
        <f t="shared" si="1"/>
        <v/>
      </c>
      <c r="B58" s="69" t="str">
        <f t="shared" si="0"/>
        <v/>
      </c>
      <c r="C58" s="69" t="str">
        <f>T(IF(E58="","",HLOOKUP(FH_info!$M$2,lang!$E$1:$AA58,A58,FALSE)))</f>
        <v/>
      </c>
    </row>
    <row r="59" spans="1:9">
      <c r="A59" s="69" t="str">
        <f t="shared" si="1"/>
        <v/>
      </c>
      <c r="B59" s="69" t="str">
        <f t="shared" si="0"/>
        <v/>
      </c>
      <c r="C59" s="69" t="str">
        <f>T(IF(E59="","",HLOOKUP(FH_info!$M$2,lang!$E$1:$AA59,A59,FALSE)))</f>
        <v/>
      </c>
    </row>
    <row r="60" spans="1:9">
      <c r="A60" s="69" t="str">
        <f t="shared" si="1"/>
        <v/>
      </c>
      <c r="B60" s="69" t="str">
        <f t="shared" si="0"/>
        <v/>
      </c>
      <c r="C60" s="69" t="str">
        <f>T(IF(E60="","",HLOOKUP(FH_info!$M$2,lang!$E$1:$AA60,A60,FALSE)))</f>
        <v/>
      </c>
    </row>
    <row r="61" spans="1:9">
      <c r="A61" s="69" t="str">
        <f t="shared" si="1"/>
        <v/>
      </c>
      <c r="B61" s="69" t="str">
        <f t="shared" si="0"/>
        <v/>
      </c>
      <c r="C61" s="69" t="str">
        <f>T(IF(E61="","",HLOOKUP(FH_info!$M$2,lang!$E$1:$AA61,A61,FALSE)))</f>
        <v/>
      </c>
    </row>
    <row r="62" spans="1:9">
      <c r="A62" s="69" t="str">
        <f t="shared" si="1"/>
        <v/>
      </c>
      <c r="B62" s="69" t="str">
        <f t="shared" si="0"/>
        <v/>
      </c>
      <c r="C62" s="69" t="str">
        <f>T(IF(E62="","",HLOOKUP(FH_info!$M$2,lang!$E$1:$AA62,A62,FALSE)))</f>
        <v/>
      </c>
    </row>
    <row r="63" spans="1:9">
      <c r="A63" s="69" t="str">
        <f t="shared" si="1"/>
        <v/>
      </c>
      <c r="B63" s="69" t="str">
        <f t="shared" si="0"/>
        <v/>
      </c>
      <c r="C63" s="69" t="str">
        <f>T(IF(E63="","",HLOOKUP(FH_info!$M$2,lang!$E$1:$AA63,A63,FALSE)))</f>
        <v/>
      </c>
    </row>
    <row r="64" spans="1:9">
      <c r="A64" s="69" t="str">
        <f t="shared" si="1"/>
        <v/>
      </c>
      <c r="B64" s="69" t="str">
        <f t="shared" si="0"/>
        <v/>
      </c>
      <c r="C64" s="69" t="str">
        <f>T(IF(E64="","",HLOOKUP(FH_info!$M$2,lang!$E$1:$AA64,A64,FALSE)))</f>
        <v/>
      </c>
    </row>
    <row r="65" spans="1:3">
      <c r="A65" s="69" t="str">
        <f t="shared" si="1"/>
        <v/>
      </c>
      <c r="B65" s="69" t="str">
        <f t="shared" si="0"/>
        <v/>
      </c>
      <c r="C65" s="69" t="str">
        <f>T(IF(E65="","",HLOOKUP(FH_info!$M$2,lang!$E$1:$AA65,A65,FALSE)))</f>
        <v/>
      </c>
    </row>
    <row r="66" spans="1:3">
      <c r="A66" s="69" t="str">
        <f t="shared" si="1"/>
        <v/>
      </c>
      <c r="B66" s="69" t="str">
        <f t="shared" si="0"/>
        <v/>
      </c>
      <c r="C66" s="69" t="str">
        <f>T(IF(E66="","",HLOOKUP(FH_info!$M$2,lang!$E$1:$AA66,A66,FALSE)))</f>
        <v/>
      </c>
    </row>
    <row r="67" spans="1:3">
      <c r="A67" s="69" t="str">
        <f t="shared" si="1"/>
        <v/>
      </c>
      <c r="B67" s="69" t="str">
        <f t="shared" ref="B67:B100" si="4">IFERROR(C67,E67)</f>
        <v/>
      </c>
      <c r="C67" s="69" t="str">
        <f>T(IF(E67="","",HLOOKUP(FH_info!$M$2,lang!$E$1:$AA67,A67,FALSE)))</f>
        <v/>
      </c>
    </row>
    <row r="68" spans="1:3">
      <c r="A68" s="69" t="str">
        <f t="shared" ref="A68:A100" si="5">IF(E68="","",A67+1)</f>
        <v/>
      </c>
      <c r="B68" s="69" t="str">
        <f t="shared" si="4"/>
        <v/>
      </c>
      <c r="C68" s="69" t="str">
        <f>T(IF(E68="","",HLOOKUP(FH_info!$M$2,lang!$E$1:$AA68,A68,FALSE)))</f>
        <v/>
      </c>
    </row>
    <row r="69" spans="1:3">
      <c r="A69" s="69" t="str">
        <f t="shared" si="5"/>
        <v/>
      </c>
      <c r="B69" s="69" t="str">
        <f t="shared" si="4"/>
        <v/>
      </c>
      <c r="C69" s="69" t="str">
        <f>T(IF(E69="","",HLOOKUP(FH_info!$M$2,lang!$E$1:$AA69,A69,FALSE)))</f>
        <v/>
      </c>
    </row>
    <row r="70" spans="1:3">
      <c r="A70" s="69" t="str">
        <f t="shared" si="5"/>
        <v/>
      </c>
      <c r="B70" s="69" t="str">
        <f t="shared" si="4"/>
        <v/>
      </c>
      <c r="C70" s="69" t="str">
        <f>T(IF(E70="","",HLOOKUP(FH_info!$M$2,lang!$E$1:$AA70,A70,FALSE)))</f>
        <v/>
      </c>
    </row>
    <row r="71" spans="1:3">
      <c r="A71" s="69" t="str">
        <f t="shared" si="5"/>
        <v/>
      </c>
      <c r="B71" s="69" t="str">
        <f t="shared" si="4"/>
        <v/>
      </c>
      <c r="C71" s="69" t="str">
        <f>T(IF(E71="","",HLOOKUP(FH_info!$M$2,lang!$E$1:$AA71,A71,FALSE)))</f>
        <v/>
      </c>
    </row>
    <row r="72" spans="1:3">
      <c r="A72" s="69" t="str">
        <f t="shared" si="5"/>
        <v/>
      </c>
      <c r="B72" s="69" t="str">
        <f t="shared" si="4"/>
        <v/>
      </c>
      <c r="C72" s="69" t="str">
        <f>T(IF(E72="","",HLOOKUP(FH_info!$M$2,lang!$E$1:$AA72,A72,FALSE)))</f>
        <v/>
      </c>
    </row>
    <row r="73" spans="1:3">
      <c r="A73" s="69" t="str">
        <f t="shared" si="5"/>
        <v/>
      </c>
      <c r="B73" s="69" t="str">
        <f t="shared" si="4"/>
        <v/>
      </c>
      <c r="C73" s="69" t="str">
        <f>T(IF(E73="","",HLOOKUP(FH_info!$M$2,lang!$E$1:$AA73,A73,FALSE)))</f>
        <v/>
      </c>
    </row>
    <row r="74" spans="1:3">
      <c r="A74" s="69" t="str">
        <f t="shared" si="5"/>
        <v/>
      </c>
      <c r="B74" s="69" t="str">
        <f t="shared" si="4"/>
        <v/>
      </c>
      <c r="C74" s="69" t="str">
        <f>T(IF(E74="","",HLOOKUP(FH_info!$M$2,lang!$E$1:$AA74,A74,FALSE)))</f>
        <v/>
      </c>
    </row>
    <row r="75" spans="1:3">
      <c r="A75" s="69" t="str">
        <f t="shared" si="5"/>
        <v/>
      </c>
      <c r="B75" s="69" t="str">
        <f t="shared" si="4"/>
        <v/>
      </c>
      <c r="C75" s="69" t="str">
        <f>T(IF(E75="","",HLOOKUP(FH_info!$M$2,lang!$E$1:$AA75,A75,FALSE)))</f>
        <v/>
      </c>
    </row>
    <row r="76" spans="1:3">
      <c r="A76" s="69" t="str">
        <f t="shared" si="5"/>
        <v/>
      </c>
      <c r="B76" s="69" t="str">
        <f t="shared" si="4"/>
        <v/>
      </c>
      <c r="C76" s="69" t="str">
        <f>T(IF(E76="","",HLOOKUP(FH_info!$M$2,lang!$E$1:$AA76,A76,FALSE)))</f>
        <v/>
      </c>
    </row>
    <row r="77" spans="1:3">
      <c r="A77" s="69" t="str">
        <f t="shared" si="5"/>
        <v/>
      </c>
      <c r="B77" s="69" t="str">
        <f t="shared" si="4"/>
        <v/>
      </c>
      <c r="C77" s="69" t="str">
        <f>T(IF(E77="","",HLOOKUP(FH_info!$M$2,lang!$E$1:$AA77,A77,FALSE)))</f>
        <v/>
      </c>
    </row>
    <row r="78" spans="1:3">
      <c r="A78" s="69" t="str">
        <f t="shared" si="5"/>
        <v/>
      </c>
      <c r="B78" s="69" t="str">
        <f t="shared" si="4"/>
        <v/>
      </c>
      <c r="C78" s="69" t="str">
        <f>T(IF(E78="","",HLOOKUP(FH_info!$M$2,lang!$E$1:$AA78,A78,FALSE)))</f>
        <v/>
      </c>
    </row>
    <row r="79" spans="1:3">
      <c r="A79" s="69" t="str">
        <f t="shared" si="5"/>
        <v/>
      </c>
      <c r="B79" s="69" t="str">
        <f t="shared" si="4"/>
        <v/>
      </c>
      <c r="C79" s="69" t="str">
        <f>T(IF(E79="","",HLOOKUP(FH_info!$M$2,lang!$E$1:$AA79,A79,FALSE)))</f>
        <v/>
      </c>
    </row>
    <row r="80" spans="1:3">
      <c r="A80" s="69" t="str">
        <f t="shared" si="5"/>
        <v/>
      </c>
      <c r="B80" s="69" t="str">
        <f t="shared" si="4"/>
        <v/>
      </c>
      <c r="C80" s="69" t="str">
        <f>T(IF(E80="","",HLOOKUP(FH_info!$M$2,lang!$E$1:$AA80,A80,FALSE)))</f>
        <v/>
      </c>
    </row>
    <row r="81" spans="1:3">
      <c r="A81" s="69" t="str">
        <f t="shared" si="5"/>
        <v/>
      </c>
      <c r="B81" s="69" t="str">
        <f t="shared" si="4"/>
        <v/>
      </c>
      <c r="C81" s="69" t="str">
        <f>T(IF(E81="","",HLOOKUP(FH_info!$M$2,lang!$E$1:$AA81,A81,FALSE)))</f>
        <v/>
      </c>
    </row>
    <row r="82" spans="1:3">
      <c r="A82" s="69" t="str">
        <f t="shared" si="5"/>
        <v/>
      </c>
      <c r="B82" s="69" t="str">
        <f t="shared" si="4"/>
        <v/>
      </c>
      <c r="C82" s="69" t="str">
        <f>T(IF(E82="","",HLOOKUP(FH_info!$M$2,lang!$E$1:$AA82,A82,FALSE)))</f>
        <v/>
      </c>
    </row>
    <row r="83" spans="1:3">
      <c r="A83" s="69" t="str">
        <f t="shared" si="5"/>
        <v/>
      </c>
      <c r="B83" s="69" t="str">
        <f t="shared" si="4"/>
        <v/>
      </c>
      <c r="C83" s="69" t="str">
        <f>T(IF(E83="","",HLOOKUP(FH_info!$M$2,lang!$E$1:$AA83,A83,FALSE)))</f>
        <v/>
      </c>
    </row>
    <row r="84" spans="1:3">
      <c r="A84" s="69" t="str">
        <f t="shared" si="5"/>
        <v/>
      </c>
      <c r="B84" s="69" t="str">
        <f t="shared" si="4"/>
        <v/>
      </c>
      <c r="C84" s="69" t="str">
        <f>T(IF(E84="","",HLOOKUP(FH_info!$M$2,lang!$E$1:$AA84,A84,FALSE)))</f>
        <v/>
      </c>
    </row>
    <row r="85" spans="1:3">
      <c r="A85" s="69" t="str">
        <f t="shared" si="5"/>
        <v/>
      </c>
      <c r="B85" s="69" t="str">
        <f t="shared" si="4"/>
        <v/>
      </c>
      <c r="C85" s="69" t="str">
        <f>T(IF(E85="","",HLOOKUP(FH_info!$M$2,lang!$E$1:$AA85,A85,FALSE)))</f>
        <v/>
      </c>
    </row>
    <row r="86" spans="1:3">
      <c r="A86" s="69" t="str">
        <f t="shared" si="5"/>
        <v/>
      </c>
      <c r="B86" s="69" t="str">
        <f t="shared" si="4"/>
        <v/>
      </c>
      <c r="C86" s="69" t="str">
        <f>T(IF(E86="","",HLOOKUP(FH_info!$M$2,lang!$E$1:$AA86,A86,FALSE)))</f>
        <v/>
      </c>
    </row>
    <row r="87" spans="1:3">
      <c r="A87" s="69" t="str">
        <f t="shared" si="5"/>
        <v/>
      </c>
      <c r="B87" s="69" t="str">
        <f t="shared" si="4"/>
        <v/>
      </c>
      <c r="C87" s="69" t="str">
        <f>T(IF(E87="","",HLOOKUP(FH_info!$M$2,lang!$E$1:$AA87,A87,FALSE)))</f>
        <v/>
      </c>
    </row>
    <row r="88" spans="1:3">
      <c r="A88" s="69" t="str">
        <f t="shared" si="5"/>
        <v/>
      </c>
      <c r="B88" s="69" t="str">
        <f t="shared" si="4"/>
        <v/>
      </c>
      <c r="C88" s="69" t="str">
        <f>T(IF(E88="","",HLOOKUP(FH_info!$M$2,lang!$E$1:$AA88,A88,FALSE)))</f>
        <v/>
      </c>
    </row>
    <row r="89" spans="1:3">
      <c r="A89" s="69" t="str">
        <f t="shared" si="5"/>
        <v/>
      </c>
      <c r="B89" s="69" t="str">
        <f t="shared" si="4"/>
        <v/>
      </c>
      <c r="C89" s="69" t="str">
        <f>T(IF(E89="","",HLOOKUP(FH_info!$M$2,lang!$E$1:$AA89,A89,FALSE)))</f>
        <v/>
      </c>
    </row>
    <row r="90" spans="1:3">
      <c r="A90" s="69" t="str">
        <f t="shared" si="5"/>
        <v/>
      </c>
      <c r="B90" s="69" t="str">
        <f t="shared" si="4"/>
        <v/>
      </c>
      <c r="C90" s="69" t="str">
        <f>T(IF(E90="","",HLOOKUP(FH_info!$M$2,lang!$E$1:$AA90,A90,FALSE)))</f>
        <v/>
      </c>
    </row>
    <row r="91" spans="1:3">
      <c r="A91" s="69" t="str">
        <f t="shared" si="5"/>
        <v/>
      </c>
      <c r="B91" s="69" t="str">
        <f t="shared" si="4"/>
        <v/>
      </c>
      <c r="C91" s="69" t="str">
        <f>T(IF(E91="","",HLOOKUP(FH_info!$M$2,lang!$E$1:$AA91,A91,FALSE)))</f>
        <v/>
      </c>
    </row>
    <row r="92" spans="1:3">
      <c r="A92" s="69" t="str">
        <f t="shared" si="5"/>
        <v/>
      </c>
      <c r="B92" s="69" t="str">
        <f t="shared" si="4"/>
        <v/>
      </c>
      <c r="C92" s="69" t="str">
        <f>T(IF(E92="","",HLOOKUP(FH_info!$M$2,lang!$E$1:$AA92,A92,FALSE)))</f>
        <v/>
      </c>
    </row>
    <row r="93" spans="1:3">
      <c r="A93" s="69" t="str">
        <f t="shared" si="5"/>
        <v/>
      </c>
      <c r="B93" s="69" t="str">
        <f t="shared" si="4"/>
        <v/>
      </c>
      <c r="C93" s="69" t="str">
        <f>T(IF(E93="","",HLOOKUP(FH_info!$M$2,lang!$E$1:$AA93,A93,FALSE)))</f>
        <v/>
      </c>
    </row>
    <row r="94" spans="1:3">
      <c r="A94" s="69" t="str">
        <f t="shared" si="5"/>
        <v/>
      </c>
      <c r="B94" s="69" t="str">
        <f t="shared" si="4"/>
        <v/>
      </c>
      <c r="C94" s="69" t="str">
        <f>T(IF(E94="","",HLOOKUP(FH_info!$M$2,lang!$E$1:$AA94,A94,FALSE)))</f>
        <v/>
      </c>
    </row>
    <row r="95" spans="1:3">
      <c r="A95" s="69" t="str">
        <f t="shared" si="5"/>
        <v/>
      </c>
      <c r="B95" s="69" t="str">
        <f t="shared" si="4"/>
        <v/>
      </c>
      <c r="C95" s="69" t="str">
        <f>T(IF(E95="","",HLOOKUP(FH_info!$M$2,lang!$E$1:$AA95,A95,FALSE)))</f>
        <v/>
      </c>
    </row>
    <row r="96" spans="1:3">
      <c r="A96" s="69" t="str">
        <f t="shared" si="5"/>
        <v/>
      </c>
      <c r="B96" s="69" t="str">
        <f t="shared" si="4"/>
        <v/>
      </c>
      <c r="C96" s="69" t="str">
        <f>T(IF(E96="","",HLOOKUP(FH_info!$M$2,lang!$E$1:$AA96,A96,FALSE)))</f>
        <v/>
      </c>
    </row>
    <row r="97" spans="1:3">
      <c r="A97" s="69" t="str">
        <f t="shared" si="5"/>
        <v/>
      </c>
      <c r="B97" s="69" t="str">
        <f t="shared" si="4"/>
        <v/>
      </c>
      <c r="C97" s="69" t="str">
        <f>T(IF(E97="","",HLOOKUP(FH_info!$M$2,lang!$E$1:$AA97,A97,FALSE)))</f>
        <v/>
      </c>
    </row>
    <row r="98" spans="1:3">
      <c r="A98" s="69" t="str">
        <f t="shared" si="5"/>
        <v/>
      </c>
      <c r="B98" s="69" t="str">
        <f t="shared" si="4"/>
        <v/>
      </c>
      <c r="C98" s="69" t="str">
        <f>T(IF(E98="","",HLOOKUP(FH_info!$M$2,lang!$E$1:$AA98,A98,FALSE)))</f>
        <v/>
      </c>
    </row>
    <row r="99" spans="1:3">
      <c r="A99" s="69" t="str">
        <f t="shared" si="5"/>
        <v/>
      </c>
      <c r="B99" s="69" t="str">
        <f t="shared" si="4"/>
        <v/>
      </c>
      <c r="C99" s="69" t="str">
        <f>T(IF(E99="","",HLOOKUP(FH_info!$M$2,lang!$E$1:$AA99,A99,FALSE)))</f>
        <v/>
      </c>
    </row>
    <row r="100" spans="1:3">
      <c r="A100" s="69" t="str">
        <f t="shared" si="5"/>
        <v/>
      </c>
      <c r="B100" s="69" t="str">
        <f t="shared" si="4"/>
        <v/>
      </c>
      <c r="C100" s="69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陈</cp:lastModifiedBy>
  <cp:lastPrinted>2019-06-16T03:17:36Z</cp:lastPrinted>
  <dcterms:created xsi:type="dcterms:W3CDTF">2010-10-29T12:53:05Z</dcterms:created>
  <dcterms:modified xsi:type="dcterms:W3CDTF">2019-06-16T03:18:18Z</dcterms:modified>
</cp:coreProperties>
</file>